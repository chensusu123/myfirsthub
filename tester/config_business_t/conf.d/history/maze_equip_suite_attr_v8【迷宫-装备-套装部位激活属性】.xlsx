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EF3C241F-189C-4873-A0D6-D58750FFB6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suite_attr_v8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2" l="1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5" i="2"/>
  <c r="F5" i="2"/>
  <c r="G9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P5" i="2"/>
  <c r="P6" i="2"/>
  <c r="G6" i="2" s="1"/>
  <c r="P7" i="2"/>
  <c r="G7" i="2" s="1"/>
  <c r="P8" i="2"/>
  <c r="G8" i="2" s="1"/>
  <c r="P9" i="2"/>
  <c r="P10" i="2"/>
  <c r="P11" i="2"/>
  <c r="P12" i="2"/>
  <c r="P13" i="2"/>
  <c r="P14" i="2"/>
  <c r="P15" i="2"/>
  <c r="P16" i="2"/>
  <c r="P17" i="2"/>
  <c r="P18" i="2"/>
  <c r="P19" i="2"/>
  <c r="P20" i="2"/>
  <c r="F6" i="2" l="1"/>
  <c r="F7" i="2"/>
  <c r="F8" i="2"/>
  <c r="K30" i="2"/>
  <c r="K34" i="2" s="1"/>
  <c r="K38" i="2" s="1"/>
  <c r="J30" i="2"/>
  <c r="J34" i="2" s="1"/>
  <c r="J38" i="2" s="1"/>
  <c r="I30" i="2"/>
  <c r="I34" i="2" s="1"/>
  <c r="I38" i="2" s="1"/>
  <c r="K29" i="2"/>
  <c r="K33" i="2" s="1"/>
  <c r="K37" i="2" s="1"/>
  <c r="J29" i="2"/>
  <c r="J33" i="2" s="1"/>
  <c r="J37" i="2" s="1"/>
  <c r="I29" i="2"/>
  <c r="I33" i="2" s="1"/>
  <c r="I37" i="2" s="1"/>
  <c r="K28" i="2"/>
  <c r="K32" i="2" s="1"/>
  <c r="K36" i="2" s="1"/>
  <c r="J28" i="2"/>
  <c r="J32" i="2" s="1"/>
  <c r="J36" i="2" s="1"/>
  <c r="I28" i="2"/>
  <c r="I32" i="2" s="1"/>
  <c r="K27" i="2"/>
  <c r="K31" i="2" s="1"/>
  <c r="K35" i="2" s="1"/>
  <c r="J27" i="2"/>
  <c r="J31" i="2" s="1"/>
  <c r="J35" i="2" s="1"/>
  <c r="I27" i="2"/>
  <c r="F9" i="2" l="1"/>
  <c r="F20" i="2"/>
  <c r="F19" i="2"/>
  <c r="F10" i="2"/>
  <c r="I36" i="2"/>
  <c r="F18" i="2" s="1"/>
  <c r="F14" i="2"/>
  <c r="I31" i="2"/>
  <c r="F15" i="2"/>
  <c r="F16" i="2"/>
  <c r="F12" i="2"/>
  <c r="F11" i="2"/>
  <c r="K12" i="2"/>
  <c r="K16" i="2" s="1"/>
  <c r="K20" i="2" s="1"/>
  <c r="K11" i="2"/>
  <c r="K15" i="2" s="1"/>
  <c r="K19" i="2" s="1"/>
  <c r="K10" i="2"/>
  <c r="K14" i="2" s="1"/>
  <c r="K18" i="2" s="1"/>
  <c r="K9" i="2"/>
  <c r="K13" i="2" s="1"/>
  <c r="K17" i="2" s="1"/>
  <c r="I12" i="2"/>
  <c r="G12" i="2" s="1"/>
  <c r="I11" i="2"/>
  <c r="I10" i="2"/>
  <c r="I9" i="2"/>
  <c r="J9" i="2"/>
  <c r="J10" i="2"/>
  <c r="J11" i="2"/>
  <c r="J12" i="2"/>
  <c r="G10" i="2" l="1"/>
  <c r="G11" i="2"/>
  <c r="I35" i="2"/>
  <c r="F17" i="2" s="1"/>
  <c r="F13" i="2"/>
  <c r="I15" i="2"/>
  <c r="I13" i="2"/>
  <c r="G13" i="2" s="1"/>
  <c r="I14" i="2"/>
  <c r="I16" i="2"/>
  <c r="J16" i="2"/>
  <c r="J15" i="2"/>
  <c r="J14" i="2"/>
  <c r="J13" i="2"/>
  <c r="G14" i="2" l="1"/>
  <c r="G15" i="2"/>
  <c r="G16" i="2"/>
  <c r="I20" i="2"/>
  <c r="I17" i="2"/>
  <c r="I18" i="2"/>
  <c r="I19" i="2"/>
  <c r="J19" i="2"/>
  <c r="J17" i="2"/>
  <c r="J20" i="2"/>
  <c r="J18" i="2"/>
  <c r="G18" i="2" l="1"/>
  <c r="G17" i="2"/>
  <c r="G20" i="2"/>
  <c r="G19" i="2"/>
</calcChain>
</file>

<file path=xl/sharedStrings.xml><?xml version="1.0" encoding="utf-8"?>
<sst xmlns="http://schemas.openxmlformats.org/spreadsheetml/2006/main" count="1061" uniqueCount="162">
  <si>
    <t>paipaiworld_config</t>
  </si>
  <si>
    <t>INT_K</t>
  </si>
  <si>
    <t>INT_S</t>
  </si>
  <si>
    <t>MAP&lt;INT:LONG&gt;_S</t>
  </si>
  <si>
    <t>STRING_S</t>
  </si>
  <si>
    <t>order</t>
  </si>
  <si>
    <t>suite_id</t>
  </si>
  <si>
    <t>affix_num</t>
  </si>
  <si>
    <t>add_attr</t>
  </si>
  <si>
    <t>add_attr_desc</t>
  </si>
  <si>
    <t>序号</t>
  </si>
  <si>
    <t>套装id</t>
  </si>
  <si>
    <t>套装数量</t>
  </si>
  <si>
    <t>凑齐对应数量后增加的属性:属性值(直接替换已有,目前实现的是只取当前套的属性）</t>
  </si>
  <si>
    <t>套装效果描述</t>
  </si>
  <si>
    <t>火属性攻击有几率燃烧目标并造成20%火伤害</t>
  </si>
  <si>
    <t>防御提升30%</t>
  </si>
  <si>
    <t>火伤害增加40%</t>
  </si>
  <si>
    <t>攻击产生爆炸伤害，对周围所有目标造成60%火伤害</t>
  </si>
  <si>
    <t>冰属性攻击有几率冰冻目标并造成20%冰伤害</t>
  </si>
  <si>
    <t>受到所有伤害降低30%</t>
  </si>
  <si>
    <t>冰伤害增加40%</t>
  </si>
  <si>
    <t>攻击产生溅射伤害，对周围所有目标造成60%冰伤害</t>
  </si>
  <si>
    <t>电属性攻击有几率麻痹目标并造成20%电伤害</t>
  </si>
  <si>
    <t>吸收30%伤害</t>
  </si>
  <si>
    <t>电伤害增加40%</t>
  </si>
  <si>
    <t>攻击产生连锁闪电，对周围所有目标造成60%电伤害</t>
  </si>
  <si>
    <t>毒属性攻击有几率使目标中毒并造成20%毒伤害</t>
  </si>
  <si>
    <t>毒伤害增加40%</t>
  </si>
  <si>
    <t>中毒的敌人会把毒素传染给周围所有敌人，造成60%毒伤害</t>
  </si>
  <si>
    <t>灼烧/冰结/麻痹/中毒</t>
    <phoneticPr fontId="2" type="noConversion"/>
  </si>
  <si>
    <t>额外伤害</t>
    <phoneticPr fontId="2" type="noConversion"/>
  </si>
  <si>
    <t>爆炸/溅射/连锁/毒爆</t>
    <phoneticPr fontId="2" type="noConversion"/>
  </si>
  <si>
    <t>防御/减伤/伤害吸收/受伤回血</t>
    <phoneticPr fontId="2" type="noConversion"/>
  </si>
  <si>
    <t>伤害提高</t>
    <phoneticPr fontId="2" type="noConversion"/>
  </si>
  <si>
    <t>9402:500</t>
  </si>
  <si>
    <t>9402:1000</t>
  </si>
  <si>
    <t>9402:2000</t>
  </si>
  <si>
    <t>9402:3000</t>
  </si>
  <si>
    <t>8402:500</t>
  </si>
  <si>
    <t>8402:1000</t>
  </si>
  <si>
    <t>8402:2000</t>
  </si>
  <si>
    <t>8402:3000</t>
  </si>
  <si>
    <t>7402:500</t>
  </si>
  <si>
    <t>7402:1000</t>
  </si>
  <si>
    <t>7402:2000</t>
  </si>
  <si>
    <t>7402:3000</t>
  </si>
  <si>
    <t>武力pve</t>
    <phoneticPr fontId="2" type="noConversion"/>
  </si>
  <si>
    <t>武力pvp</t>
    <phoneticPr fontId="2" type="noConversion"/>
  </si>
  <si>
    <t>武力展示</t>
    <phoneticPr fontId="2" type="noConversion"/>
  </si>
  <si>
    <t>10192:3000</t>
  </si>
  <si>
    <t>10193:3000</t>
  </si>
  <si>
    <t>10194:3000</t>
  </si>
  <si>
    <t>10195:3000</t>
  </si>
  <si>
    <t>效果描述</t>
    <phoneticPr fontId="2" type="noConversion"/>
  </si>
  <si>
    <t>配表值</t>
    <phoneticPr fontId="2" type="noConversion"/>
  </si>
  <si>
    <t>防御效果提升30%</t>
    <phoneticPr fontId="2" type="noConversion"/>
  </si>
  <si>
    <t>吸收30%受到的伤害</t>
    <phoneticPr fontId="2" type="noConversion"/>
  </si>
  <si>
    <t>属性面板展示值</t>
    <phoneticPr fontId="2" type="noConversion"/>
  </si>
  <si>
    <t>攻击</t>
    <phoneticPr fontId="2" type="noConversion"/>
  </si>
  <si>
    <t>防御</t>
    <phoneticPr fontId="2" type="noConversion"/>
  </si>
  <si>
    <t>生命</t>
    <phoneticPr fontId="2" type="noConversion"/>
  </si>
  <si>
    <t>4402:500</t>
  </si>
  <si>
    <t>4402:1000</t>
  </si>
  <si>
    <t>4402:2000</t>
  </si>
  <si>
    <t>4402:3000</t>
  </si>
  <si>
    <t>5402:500</t>
  </si>
  <si>
    <t>5402:1000</t>
  </si>
  <si>
    <t>5402:2000</t>
  </si>
  <si>
    <t>5402:3000</t>
  </si>
  <si>
    <t>6402:500</t>
  </si>
  <si>
    <t>6402:1000</t>
  </si>
  <si>
    <t>6402:2000</t>
  </si>
  <si>
    <t>6402:3000</t>
  </si>
  <si>
    <t>add_attr_show</t>
    <phoneticPr fontId="2" type="noConversion"/>
  </si>
  <si>
    <t>电属性攻击有几率麻痹目标并造成20%电伤害</t>
    <phoneticPr fontId="2" type="noConversion"/>
  </si>
  <si>
    <t>额外10%伤害</t>
    <phoneticPr fontId="2" type="noConversion"/>
  </si>
  <si>
    <t>额外10%减伤</t>
    <phoneticPr fontId="2" type="noConversion"/>
  </si>
  <si>
    <t>额外20%群体伤害</t>
    <phoneticPr fontId="2" type="noConversion"/>
  </si>
  <si>
    <t>攻击提高10%</t>
    <phoneticPr fontId="2" type="noConversion"/>
  </si>
  <si>
    <t>2件套</t>
    <phoneticPr fontId="2" type="noConversion"/>
  </si>
  <si>
    <t>4件套</t>
    <phoneticPr fontId="2" type="noConversion"/>
  </si>
  <si>
    <t>6件套</t>
  </si>
  <si>
    <t>8件套</t>
  </si>
  <si>
    <t>额外20%伤害</t>
  </si>
  <si>
    <t>额外20%伤害</t>
    <phoneticPr fontId="2" type="noConversion"/>
  </si>
  <si>
    <t>额外30%减伤</t>
  </si>
  <si>
    <t>额外30%减伤</t>
    <phoneticPr fontId="2" type="noConversion"/>
  </si>
  <si>
    <t>攻击提高40%</t>
  </si>
  <si>
    <t>攻击提高40%</t>
    <phoneticPr fontId="2" type="noConversion"/>
  </si>
  <si>
    <t>额外60%伤害</t>
  </si>
  <si>
    <t>额外60%伤害</t>
    <phoneticPr fontId="2" type="noConversion"/>
  </si>
  <si>
    <t>10196:1000</t>
  </si>
  <si>
    <t>10184:1000</t>
  </si>
  <si>
    <t>10185:1000</t>
  </si>
  <si>
    <t>10111:1000</t>
  </si>
  <si>
    <t>10112:1000</t>
  </si>
  <si>
    <t>10113:1000</t>
  </si>
  <si>
    <t>10114:1000</t>
  </si>
  <si>
    <t>副本弱点增伤1</t>
    <phoneticPr fontId="2" type="noConversion"/>
  </si>
  <si>
    <t>副本弱点增伤2</t>
    <phoneticPr fontId="2" type="noConversion"/>
  </si>
  <si>
    <t>10186:2000</t>
  </si>
  <si>
    <t>10187:2000</t>
  </si>
  <si>
    <t>10188:2000</t>
  </si>
  <si>
    <t>10189:2000</t>
  </si>
  <si>
    <t>版本展示</t>
    <phoneticPr fontId="2" type="noConversion"/>
  </si>
  <si>
    <t>下版本，不变</t>
    <phoneticPr fontId="2" type="noConversion"/>
  </si>
  <si>
    <t>当前版本</t>
    <phoneticPr fontId="2" type="noConversion"/>
  </si>
  <si>
    <t>实际效果</t>
    <phoneticPr fontId="2" type="noConversion"/>
  </si>
  <si>
    <t>当前版本</t>
    <phoneticPr fontId="2" type="noConversion"/>
  </si>
  <si>
    <t>改完后</t>
    <phoneticPr fontId="2" type="noConversion"/>
  </si>
  <si>
    <t>额外60%群体伤害</t>
    <phoneticPr fontId="2" type="noConversion"/>
  </si>
  <si>
    <t>没生效</t>
    <phoneticPr fontId="2" type="noConversion"/>
  </si>
  <si>
    <t>套装id</t>
    <phoneticPr fontId="2" type="noConversion"/>
  </si>
  <si>
    <t>效果值</t>
    <phoneticPr fontId="2" type="noConversion"/>
  </si>
  <si>
    <t>套装数量</t>
    <phoneticPr fontId="2" type="noConversion"/>
  </si>
  <si>
    <t>10197:0</t>
  </si>
  <si>
    <t>旧版弱点增伤</t>
    <phoneticPr fontId="2" type="noConversion"/>
  </si>
  <si>
    <t>受到伤害的30%转化为自身生命值</t>
    <phoneticPr fontId="2" type="noConversion"/>
  </si>
  <si>
    <t>安息之地</t>
  </si>
  <si>
    <t>积雪峡谷</t>
  </si>
  <si>
    <t>雷霆镇</t>
  </si>
  <si>
    <t>冰冻高地</t>
  </si>
  <si>
    <t>迷雾森林</t>
  </si>
  <si>
    <t>熔岩地窟</t>
  </si>
  <si>
    <t>静水湖</t>
  </si>
  <si>
    <t>灼热矿井</t>
  </si>
  <si>
    <t>10198:0</t>
    <phoneticPr fontId="2" type="noConversion"/>
  </si>
  <si>
    <t>10199:0</t>
    <phoneticPr fontId="2" type="noConversion"/>
  </si>
  <si>
    <t>10200:0</t>
    <phoneticPr fontId="2" type="noConversion"/>
  </si>
  <si>
    <t>10201:0</t>
    <phoneticPr fontId="2" type="noConversion"/>
  </si>
  <si>
    <t>10202:0</t>
    <phoneticPr fontId="2" type="noConversion"/>
  </si>
  <si>
    <t>10203:0</t>
    <phoneticPr fontId="2" type="noConversion"/>
  </si>
  <si>
    <t>10204:0</t>
    <phoneticPr fontId="2" type="noConversion"/>
  </si>
  <si>
    <t>弱点套装</t>
    <phoneticPr fontId="2" type="noConversion"/>
  </si>
  <si>
    <t>章节id</t>
    <phoneticPr fontId="2" type="noConversion"/>
  </si>
  <si>
    <t>弱点套装id</t>
    <phoneticPr fontId="2" type="noConversion"/>
  </si>
  <si>
    <t>受到伤害的15%转化为自身生命值</t>
    <phoneticPr fontId="2" type="noConversion"/>
  </si>
  <si>
    <t>配表值2</t>
    <phoneticPr fontId="2" type="noConversion"/>
  </si>
  <si>
    <t>4402:500_5402:500_6402:500</t>
  </si>
  <si>
    <t>4402:1000_5402:1000_6402:1000</t>
  </si>
  <si>
    <t>4402:2000_5402:2000_6402:2000</t>
  </si>
  <si>
    <t>4402:3000_5402:3000_6402:3000</t>
  </si>
  <si>
    <t>7402:0_8402:0_9402:0_10192:3000_10196:1000_10199:0_10201:0_10197:0_10198:0_10200:0_10202:0_10203:0_10204:0_4402:500_5402:500_6402:500</t>
  </si>
  <si>
    <t>7402:0_8402:0_9402:0_10192:3000_10196:1000_10184:1000_10199:0_10201:0_10197:0_10198:0_10200:0_10202:0_10203:0_10204:0_4402:1000_5402:1000_6402:1000</t>
  </si>
  <si>
    <t>7402:0_8402:0_9402:0_10192:3000_10196:1000_10184:1000_10111:1000_10199:0_10201:0_10197:0_10198:0_10200:0_10202:0_10203:0_10204:0_4402:2000_5402:2000_6402:2000</t>
  </si>
  <si>
    <t>7402:0_8402:0_9402:0_10192:3000_10196:1000_10184:1000_10111:1000_10199:0_10201:0_10186:2000_10197:0_10198:0_10200:0_10202:0_10203:0_10204:0_4402:3000_5402:3000_6402:3000</t>
  </si>
  <si>
    <t>7402:0_8402:0_9402:0_10193:3000_10196:1000_10198:0_10202:0_10197:0_10199:0_10200:0_10201:0_10203:0_10204:0_4402:500_5402:500_6402:500</t>
  </si>
  <si>
    <t>7402:0_8402:0_9402:0_10193:3000_10196:1000_10184:1000_10198:0_10202:0_10197:0_10199:0_10200:0_10201:0_10203:0_10204:0_4402:1000_5402:1000_6402:1000</t>
  </si>
  <si>
    <t>7402:0_8402:0_9402:0_10193:3000_10196:1000_10184:1000_10112:1000_10198:0_10202:0_10197:0_10199:0_10200:0_10201:0_10203:0_10204:0_4402:2000_5402:2000_6402:2000</t>
  </si>
  <si>
    <t>7402:0_8402:0_9402:0_10193:3000_10196:1000_10184:1000_10112:1000_10198:0_10202:0_10187:2000_10197:0_10199:0_10200:0_10201:0_10203:0_10204:0_4402:3000_5402:3000_6402:3000</t>
  </si>
  <si>
    <t>7402:0_8402:0_9402:0_10194:3000_10196:1000_10197:0_10200:0_10198:0_10199:0_10201:0_10202:0_10203:0_10204:0_4402:500_5402:500_6402:500</t>
  </si>
  <si>
    <t>7402:0_8402:0_9402:0_10194:3000_10196:1000_10184:1000_10197:0_10200:0_10198:0_10199:0_10201:0_10202:0_10203:0_10204:0_4402:1000_5402:1000_6402:1000</t>
  </si>
  <si>
    <t>7402:0_8402:0_9402:0_10194:3000_10196:1000_10184:1000_10113:1000_10197:0_10200:0_10198:0_10199:0_10201:0_10202:0_10203:0_10204:0_4402:2000_5402:2000_6402:2000</t>
  </si>
  <si>
    <t>7402:0_8402:0_9402:0_10194:3000_10196:1000_10184:1000_10113:1000_10197:0_10200:0_10188:2000_10198:0_10199:0_10201:0_10202:0_10203:0_10204:0_4402:3000_5402:3000_6402:3000</t>
  </si>
  <si>
    <t>7402:0_8402:0_9402:0_10195:3000_10196:1000_10204:0_10203:0_10197:0_10198:0_10199:0_10200:0_10201:0_10202:0_4402:500_5402:500_6402:500</t>
  </si>
  <si>
    <t>7402:0_8402:0_9402:0_10195:3000_10196:1000_10185:1000_10204:0_10203:0_10197:0_10198:0_10199:0_10200:0_10201:0_10202:0_4402:1000_5402:1000_6402:1000</t>
  </si>
  <si>
    <t>7402:0_8402:0_9402:0_10195:3000_10196:1000_10185:1000_10114:1000_10204:0_10203:0_10197:0_10198:0_10199:0_10200:0_10201:0_10202:0_4402:2000_5402:2000_6402:2000</t>
  </si>
  <si>
    <t>7402:0_8402:0_9402:0_10195:3000_10196:1000_10185:1000_10114:1000_10204:0_10203:0_10189:2000_10197:0_10198:0_10199:0_10200:0_10201:0_10202:0_4402:3000_5402:3000_6402:3000</t>
  </si>
  <si>
    <t>防御效果提升30%</t>
  </si>
  <si>
    <t>吸收30%受到的伤害</t>
  </si>
  <si>
    <t>受到伤害的15%转化为自身生命值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</si>
</sst>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2" borderId="0" xfId="0" quotePrefix="1" applyFont="1" applyFill="1">
      <alignment vertical="center"/>
    </xf>
    <xf numFmtId="0" fontId="1" fillId="3" borderId="0" xfId="0" quotePrefix="1" applyFont="1" applyFill="1">
      <alignment vertical="center"/>
    </xf>
    <xf numFmtId="0" fontId="1" fillId="4" borderId="0" xfId="0" quotePrefix="1" applyFont="1" applyFill="1">
      <alignment vertical="center"/>
    </xf>
    <xf numFmtId="0" fontId="1" fillId="5" borderId="0" xfId="0" quotePrefix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32</xdr:row>
      <xdr:rowOff>0</xdr:rowOff>
    </xdr:from>
    <xdr:to>
      <xdr:col>5</xdr:col>
      <xdr:colOff>1076325</xdr:colOff>
      <xdr:row>46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D18E78E-A06B-4A09-B8D5-7ACBE60CC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5486400"/>
          <a:ext cx="1990725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6"/>
  <sheetViews>
    <sheetView tabSelected="1" topLeftCell="E1" zoomScaleNormal="100" workbookViewId="0">
      <pane ySplit="4" topLeftCell="A5" activePane="bottomLeft" state="frozen"/>
      <selection pane="bottomLeft" activeCell="I27" sqref="I27"/>
    </sheetView>
  </sheetViews>
  <sheetFormatPr defaultColWidth="9" defaultRowHeight="13.5" x14ac:dyDescent="0.15"/>
  <cols>
    <col min="1" max="1" width="20.5" customWidth="1"/>
    <col min="2" max="2" width="9.5" customWidth="1"/>
    <col min="3" max="3" width="10.5" customWidth="1"/>
    <col min="4" max="4" width="168" customWidth="1"/>
    <col min="5" max="5" width="32.75" bestFit="1" customWidth="1"/>
    <col min="6" max="6" width="72.625" customWidth="1"/>
  </cols>
  <sheetData>
    <row r="1" spans="1:6" x14ac:dyDescent="0.15">
      <c r="A1" s="5" t="s">
        <v>0</v>
      </c>
      <c r="B1" s="5"/>
      <c r="C1" s="5"/>
      <c r="D1" s="5"/>
      <c r="E1" s="5"/>
    </row>
    <row r="2" spans="1:6" x14ac:dyDescent="0.15">
      <c r="A2" s="5" t="s">
        <v>1</v>
      </c>
      <c r="B2" s="5" t="s">
        <v>2</v>
      </c>
      <c r="C2" s="5" t="s">
        <v>2</v>
      </c>
      <c r="D2" s="5" t="s">
        <v>3</v>
      </c>
      <c r="E2" s="5" t="s">
        <v>3</v>
      </c>
      <c r="F2" s="5" t="s">
        <v>4</v>
      </c>
    </row>
    <row r="3" spans="1:6" x14ac:dyDescent="0.15">
      <c r="A3" s="5" t="s">
        <v>5</v>
      </c>
      <c r="B3" s="5" t="s">
        <v>6</v>
      </c>
      <c r="C3" s="5" t="s">
        <v>7</v>
      </c>
      <c r="D3" s="5" t="s">
        <v>8</v>
      </c>
      <c r="E3" s="12" t="s">
        <v>74</v>
      </c>
      <c r="F3" s="5" t="s">
        <v>9</v>
      </c>
    </row>
    <row r="4" spans="1:6" x14ac:dyDescent="0.15">
      <c r="A4" s="5" t="s">
        <v>10</v>
      </c>
      <c r="B4" s="5" t="s">
        <v>11</v>
      </c>
      <c r="C4" s="5" t="s">
        <v>12</v>
      </c>
      <c r="D4" s="5" t="s">
        <v>13</v>
      </c>
      <c r="E4" s="12" t="s">
        <v>58</v>
      </c>
      <c r="F4" s="5" t="s">
        <v>14</v>
      </c>
    </row>
    <row r="5" spans="1:6" x14ac:dyDescent="0.15">
      <c r="A5" s="6">
        <v>10002</v>
      </c>
      <c r="B5" s="6">
        <v>1</v>
      </c>
      <c r="C5" s="6">
        <v>2</v>
      </c>
      <c r="D5" s="7" t="s">
        <v>143</v>
      </c>
      <c r="E5" s="17" t="s">
        <v>139</v>
      </c>
      <c r="F5" s="6" t="s">
        <v>15</v>
      </c>
    </row>
    <row r="6" spans="1:6" x14ac:dyDescent="0.15">
      <c r="A6" s="6">
        <v>10004</v>
      </c>
      <c r="B6" s="6">
        <v>1</v>
      </c>
      <c r="C6" s="6">
        <v>4</v>
      </c>
      <c r="D6" s="7" t="s">
        <v>144</v>
      </c>
      <c r="E6" s="17" t="s">
        <v>140</v>
      </c>
      <c r="F6" s="13" t="s">
        <v>56</v>
      </c>
    </row>
    <row r="7" spans="1:6" x14ac:dyDescent="0.15">
      <c r="A7" s="6">
        <v>10006</v>
      </c>
      <c r="B7" s="6">
        <v>1</v>
      </c>
      <c r="C7" s="6">
        <v>6</v>
      </c>
      <c r="D7" s="7" t="s">
        <v>145</v>
      </c>
      <c r="E7" s="17" t="s">
        <v>141</v>
      </c>
      <c r="F7" s="6" t="s">
        <v>17</v>
      </c>
    </row>
    <row r="8" spans="1:6" x14ac:dyDescent="0.15">
      <c r="A8" s="6">
        <v>10008</v>
      </c>
      <c r="B8" s="6">
        <v>1</v>
      </c>
      <c r="C8" s="6">
        <v>8</v>
      </c>
      <c r="D8" s="7" t="s">
        <v>146</v>
      </c>
      <c r="E8" s="17" t="s">
        <v>142</v>
      </c>
      <c r="F8" s="6" t="s">
        <v>18</v>
      </c>
    </row>
    <row r="9" spans="1:6" x14ac:dyDescent="0.15">
      <c r="A9" s="2">
        <v>20002</v>
      </c>
      <c r="B9" s="2">
        <v>2</v>
      </c>
      <c r="C9" s="2">
        <v>2</v>
      </c>
      <c r="D9" s="8" t="s">
        <v>147</v>
      </c>
      <c r="E9" s="18" t="s">
        <v>139</v>
      </c>
      <c r="F9" s="2" t="s">
        <v>19</v>
      </c>
    </row>
    <row r="10" spans="1:6" x14ac:dyDescent="0.15">
      <c r="A10" s="2">
        <v>20004</v>
      </c>
      <c r="B10" s="2">
        <v>2</v>
      </c>
      <c r="C10" s="2">
        <v>4</v>
      </c>
      <c r="D10" s="8" t="s">
        <v>148</v>
      </c>
      <c r="E10" s="18" t="s">
        <v>140</v>
      </c>
      <c r="F10" s="2" t="s">
        <v>20</v>
      </c>
    </row>
    <row r="11" spans="1:6" x14ac:dyDescent="0.15">
      <c r="A11" s="2">
        <v>20006</v>
      </c>
      <c r="B11" s="2">
        <v>2</v>
      </c>
      <c r="C11" s="2">
        <v>6</v>
      </c>
      <c r="D11" s="8" t="s">
        <v>149</v>
      </c>
      <c r="E11" s="18" t="s">
        <v>141</v>
      </c>
      <c r="F11" s="2" t="s">
        <v>21</v>
      </c>
    </row>
    <row r="12" spans="1:6" x14ac:dyDescent="0.15">
      <c r="A12" s="2">
        <v>20008</v>
      </c>
      <c r="B12" s="2">
        <v>2</v>
      </c>
      <c r="C12" s="2">
        <v>8</v>
      </c>
      <c r="D12" s="8" t="s">
        <v>150</v>
      </c>
      <c r="E12" s="18" t="s">
        <v>142</v>
      </c>
      <c r="F12" s="2" t="s">
        <v>22</v>
      </c>
    </row>
    <row r="13" spans="1:6" x14ac:dyDescent="0.15">
      <c r="A13" s="3">
        <v>30002</v>
      </c>
      <c r="B13" s="3">
        <v>3</v>
      </c>
      <c r="C13" s="3">
        <v>2</v>
      </c>
      <c r="D13" s="9" t="s">
        <v>151</v>
      </c>
      <c r="E13" s="19" t="s">
        <v>139</v>
      </c>
      <c r="F13" s="3" t="s">
        <v>23</v>
      </c>
    </row>
    <row r="14" spans="1:6" x14ac:dyDescent="0.15">
      <c r="A14" s="3">
        <v>30004</v>
      </c>
      <c r="B14" s="3">
        <v>3</v>
      </c>
      <c r="C14" s="3">
        <v>4</v>
      </c>
      <c r="D14" s="9" t="s">
        <v>152</v>
      </c>
      <c r="E14" s="19" t="s">
        <v>140</v>
      </c>
      <c r="F14" s="14" t="s">
        <v>57</v>
      </c>
    </row>
    <row r="15" spans="1:6" x14ac:dyDescent="0.15">
      <c r="A15" s="3">
        <v>30006</v>
      </c>
      <c r="B15" s="3">
        <v>3</v>
      </c>
      <c r="C15" s="3">
        <v>6</v>
      </c>
      <c r="D15" s="9" t="s">
        <v>153</v>
      </c>
      <c r="E15" s="19" t="s">
        <v>141</v>
      </c>
      <c r="F15" s="3" t="s">
        <v>25</v>
      </c>
    </row>
    <row r="16" spans="1:6" x14ac:dyDescent="0.15">
      <c r="A16" s="3">
        <v>30008</v>
      </c>
      <c r="B16" s="3">
        <v>3</v>
      </c>
      <c r="C16" s="3">
        <v>8</v>
      </c>
      <c r="D16" s="9" t="s">
        <v>154</v>
      </c>
      <c r="E16" s="19" t="s">
        <v>142</v>
      </c>
      <c r="F16" s="3" t="s">
        <v>26</v>
      </c>
    </row>
    <row r="17" spans="1:6" x14ac:dyDescent="0.15">
      <c r="A17" s="4">
        <v>40002</v>
      </c>
      <c r="B17" s="4">
        <v>4</v>
      </c>
      <c r="C17" s="4">
        <v>2</v>
      </c>
      <c r="D17" s="10" t="s">
        <v>155</v>
      </c>
      <c r="E17" s="20" t="s">
        <v>139</v>
      </c>
      <c r="F17" s="4" t="s">
        <v>27</v>
      </c>
    </row>
    <row r="18" spans="1:6" x14ac:dyDescent="0.15">
      <c r="A18" s="4">
        <v>40004</v>
      </c>
      <c r="B18" s="4">
        <v>4</v>
      </c>
      <c r="C18" s="4">
        <v>4</v>
      </c>
      <c r="D18" s="10" t="s">
        <v>156</v>
      </c>
      <c r="E18" s="20" t="s">
        <v>140</v>
      </c>
      <c r="F18" s="15" t="s">
        <v>137</v>
      </c>
    </row>
    <row r="19" spans="1:6" x14ac:dyDescent="0.15">
      <c r="A19" s="4">
        <v>40006</v>
      </c>
      <c r="B19" s="4">
        <v>4</v>
      </c>
      <c r="C19" s="4">
        <v>6</v>
      </c>
      <c r="D19" s="10" t="s">
        <v>157</v>
      </c>
      <c r="E19" s="20" t="s">
        <v>141</v>
      </c>
      <c r="F19" s="4" t="s">
        <v>28</v>
      </c>
    </row>
    <row r="20" spans="1:6" x14ac:dyDescent="0.15">
      <c r="A20" s="4">
        <v>40008</v>
      </c>
      <c r="B20" s="4">
        <v>4</v>
      </c>
      <c r="C20" s="4">
        <v>8</v>
      </c>
      <c r="D20" s="10" t="s">
        <v>158</v>
      </c>
      <c r="E20" s="20" t="s">
        <v>142</v>
      </c>
      <c r="F20" s="4" t="s">
        <v>29</v>
      </c>
    </row>
    <row r="21" spans="1:6" x14ac:dyDescent="0.15">
      <c r="A21" s="6">
        <v>110002</v>
      </c>
      <c r="B21" s="6">
        <v>11</v>
      </c>
      <c r="C21" s="6">
        <v>2</v>
      </c>
      <c r="D21" s="7" t="s">
        <v>143</v>
      </c>
      <c r="E21" s="17" t="s">
        <v>139</v>
      </c>
      <c r="F21" s="6" t="s">
        <v>15</v>
      </c>
    </row>
    <row r="22" spans="1:6" x14ac:dyDescent="0.15">
      <c r="A22" s="6">
        <v>110004</v>
      </c>
      <c r="B22" s="6">
        <v>11</v>
      </c>
      <c r="C22" s="6">
        <v>4</v>
      </c>
      <c r="D22" s="7" t="s">
        <v>144</v>
      </c>
      <c r="E22" s="17" t="s">
        <v>140</v>
      </c>
      <c r="F22" s="13" t="s">
        <v>159</v>
      </c>
    </row>
    <row r="23" spans="1:6" x14ac:dyDescent="0.15">
      <c r="A23" s="6">
        <v>110006</v>
      </c>
      <c r="B23" s="6">
        <v>11</v>
      </c>
      <c r="C23" s="6">
        <v>6</v>
      </c>
      <c r="D23" s="7" t="s">
        <v>145</v>
      </c>
      <c r="E23" s="17" t="s">
        <v>141</v>
      </c>
      <c r="F23" s="6" t="s">
        <v>17</v>
      </c>
    </row>
    <row r="24" spans="1:6" x14ac:dyDescent="0.15">
      <c r="A24" s="6">
        <v>110008</v>
      </c>
      <c r="B24" s="6">
        <v>11</v>
      </c>
      <c r="C24" s="6">
        <v>8</v>
      </c>
      <c r="D24" s="7" t="s">
        <v>146</v>
      </c>
      <c r="E24" s="17" t="s">
        <v>142</v>
      </c>
      <c r="F24" s="6" t="s">
        <v>18</v>
      </c>
    </row>
    <row r="25" spans="1:6" x14ac:dyDescent="0.15">
      <c r="A25" s="2">
        <v>120002</v>
      </c>
      <c r="B25" s="2">
        <v>12</v>
      </c>
      <c r="C25" s="2">
        <v>2</v>
      </c>
      <c r="D25" s="8" t="s">
        <v>147</v>
      </c>
      <c r="E25" s="18" t="s">
        <v>139</v>
      </c>
      <c r="F25" s="2" t="s">
        <v>19</v>
      </c>
    </row>
    <row r="26" spans="1:6" x14ac:dyDescent="0.15">
      <c r="A26" s="2">
        <v>120004</v>
      </c>
      <c r="B26" s="2">
        <v>12</v>
      </c>
      <c r="C26" s="2">
        <v>4</v>
      </c>
      <c r="D26" s="8" t="s">
        <v>148</v>
      </c>
      <c r="E26" s="18" t="s">
        <v>140</v>
      </c>
      <c r="F26" s="2" t="s">
        <v>20</v>
      </c>
    </row>
    <row r="27" spans="1:6" x14ac:dyDescent="0.15">
      <c r="A27" s="2">
        <v>120006</v>
      </c>
      <c r="B27" s="2">
        <v>12</v>
      </c>
      <c r="C27" s="2">
        <v>6</v>
      </c>
      <c r="D27" s="8" t="s">
        <v>149</v>
      </c>
      <c r="E27" s="18" t="s">
        <v>141</v>
      </c>
      <c r="F27" s="2" t="s">
        <v>21</v>
      </c>
    </row>
    <row r="28" spans="1:6" x14ac:dyDescent="0.15">
      <c r="A28" s="2">
        <v>120008</v>
      </c>
      <c r="B28" s="2">
        <v>12</v>
      </c>
      <c r="C28" s="2">
        <v>8</v>
      </c>
      <c r="D28" s="8" t="s">
        <v>150</v>
      </c>
      <c r="E28" s="18" t="s">
        <v>142</v>
      </c>
      <c r="F28" s="2" t="s">
        <v>22</v>
      </c>
    </row>
    <row r="29" spans="1:6" x14ac:dyDescent="0.15">
      <c r="A29" s="3">
        <v>130002</v>
      </c>
      <c r="B29" s="3">
        <v>13</v>
      </c>
      <c r="C29" s="3">
        <v>2</v>
      </c>
      <c r="D29" s="9" t="s">
        <v>151</v>
      </c>
      <c r="E29" s="19" t="s">
        <v>139</v>
      </c>
      <c r="F29" s="3" t="s">
        <v>23</v>
      </c>
    </row>
    <row r="30" spans="1:6" x14ac:dyDescent="0.15">
      <c r="A30" s="3">
        <v>130004</v>
      </c>
      <c r="B30" s="3">
        <v>13</v>
      </c>
      <c r="C30" s="3">
        <v>4</v>
      </c>
      <c r="D30" s="9" t="s">
        <v>152</v>
      </c>
      <c r="E30" s="19" t="s">
        <v>140</v>
      </c>
      <c r="F30" s="14" t="s">
        <v>160</v>
      </c>
    </row>
    <row r="31" spans="1:6" x14ac:dyDescent="0.15">
      <c r="A31" s="3">
        <v>130006</v>
      </c>
      <c r="B31" s="3">
        <v>13</v>
      </c>
      <c r="C31" s="3">
        <v>6</v>
      </c>
      <c r="D31" s="9" t="s">
        <v>153</v>
      </c>
      <c r="E31" s="19" t="s">
        <v>141</v>
      </c>
      <c r="F31" s="3" t="s">
        <v>25</v>
      </c>
    </row>
    <row r="32" spans="1:6" x14ac:dyDescent="0.15">
      <c r="A32" s="3">
        <v>130008</v>
      </c>
      <c r="B32" s="3">
        <v>13</v>
      </c>
      <c r="C32" s="3">
        <v>8</v>
      </c>
      <c r="D32" s="9" t="s">
        <v>154</v>
      </c>
      <c r="E32" s="19" t="s">
        <v>142</v>
      </c>
      <c r="F32" s="3" t="s">
        <v>26</v>
      </c>
    </row>
    <row r="33" spans="1:6" x14ac:dyDescent="0.15">
      <c r="A33" s="4">
        <v>140002</v>
      </c>
      <c r="B33" s="4">
        <v>14</v>
      </c>
      <c r="C33" s="4">
        <v>2</v>
      </c>
      <c r="D33" s="10" t="s">
        <v>155</v>
      </c>
      <c r="E33" s="20" t="s">
        <v>139</v>
      </c>
      <c r="F33" s="4" t="s">
        <v>27</v>
      </c>
    </row>
    <row r="34" spans="1:6" x14ac:dyDescent="0.15">
      <c r="A34" s="4">
        <v>140004</v>
      </c>
      <c r="B34" s="4">
        <v>14</v>
      </c>
      <c r="C34" s="4">
        <v>4</v>
      </c>
      <c r="D34" s="10" t="s">
        <v>156</v>
      </c>
      <c r="E34" s="20" t="s">
        <v>140</v>
      </c>
      <c r="F34" s="15" t="s">
        <v>161</v>
      </c>
    </row>
    <row r="35" spans="1:6" x14ac:dyDescent="0.15">
      <c r="A35" s="4">
        <v>140006</v>
      </c>
      <c r="B35" s="4">
        <v>14</v>
      </c>
      <c r="C35" s="4">
        <v>6</v>
      </c>
      <c r="D35" s="10" t="s">
        <v>157</v>
      </c>
      <c r="E35" s="20" t="s">
        <v>141</v>
      </c>
      <c r="F35" s="4" t="s">
        <v>28</v>
      </c>
    </row>
    <row r="36" spans="1:6" x14ac:dyDescent="0.15">
      <c r="A36" s="4">
        <v>140008</v>
      </c>
      <c r="B36" s="4">
        <v>14</v>
      </c>
      <c r="C36" s="4">
        <v>8</v>
      </c>
      <c r="D36" s="10" t="s">
        <v>158</v>
      </c>
      <c r="E36" s="20" t="s">
        <v>142</v>
      </c>
      <c r="F36" s="4" t="s">
        <v>29</v>
      </c>
    </row>
    <row r="37" spans="1:6" x14ac:dyDescent="0.15">
      <c r="A37" s="6">
        <v>210002</v>
      </c>
      <c r="B37" s="6">
        <v>21</v>
      </c>
      <c r="C37" s="6">
        <v>2</v>
      </c>
      <c r="D37" s="7" t="s">
        <v>143</v>
      </c>
      <c r="E37" s="17" t="s">
        <v>139</v>
      </c>
      <c r="F37" s="6" t="s">
        <v>15</v>
      </c>
    </row>
    <row r="38" spans="1:6" x14ac:dyDescent="0.15">
      <c r="A38" s="6">
        <v>210004</v>
      </c>
      <c r="B38" s="6">
        <v>21</v>
      </c>
      <c r="C38" s="6">
        <v>4</v>
      </c>
      <c r="D38" s="7" t="s">
        <v>144</v>
      </c>
      <c r="E38" s="17" t="s">
        <v>140</v>
      </c>
      <c r="F38" s="13" t="s">
        <v>159</v>
      </c>
    </row>
    <row r="39" spans="1:6" x14ac:dyDescent="0.15">
      <c r="A39" s="6">
        <v>210006</v>
      </c>
      <c r="B39" s="6">
        <v>21</v>
      </c>
      <c r="C39" s="6">
        <v>6</v>
      </c>
      <c r="D39" s="7" t="s">
        <v>145</v>
      </c>
      <c r="E39" s="17" t="s">
        <v>141</v>
      </c>
      <c r="F39" s="6" t="s">
        <v>17</v>
      </c>
    </row>
    <row r="40" spans="1:6" x14ac:dyDescent="0.15">
      <c r="A40" s="6">
        <v>210008</v>
      </c>
      <c r="B40" s="6">
        <v>21</v>
      </c>
      <c r="C40" s="6">
        <v>8</v>
      </c>
      <c r="D40" s="7" t="s">
        <v>146</v>
      </c>
      <c r="E40" s="17" t="s">
        <v>142</v>
      </c>
      <c r="F40" s="6" t="s">
        <v>18</v>
      </c>
    </row>
    <row r="41" spans="1:6" x14ac:dyDescent="0.15">
      <c r="A41" s="2">
        <v>220002</v>
      </c>
      <c r="B41" s="2">
        <v>22</v>
      </c>
      <c r="C41" s="2">
        <v>2</v>
      </c>
      <c r="D41" s="8" t="s">
        <v>147</v>
      </c>
      <c r="E41" s="18" t="s">
        <v>139</v>
      </c>
      <c r="F41" s="2" t="s">
        <v>19</v>
      </c>
    </row>
    <row r="42" spans="1:6" x14ac:dyDescent="0.15">
      <c r="A42" s="2">
        <v>220004</v>
      </c>
      <c r="B42" s="2">
        <v>22</v>
      </c>
      <c r="C42" s="2">
        <v>4</v>
      </c>
      <c r="D42" s="8" t="s">
        <v>148</v>
      </c>
      <c r="E42" s="18" t="s">
        <v>140</v>
      </c>
      <c r="F42" s="2" t="s">
        <v>20</v>
      </c>
    </row>
    <row r="43" spans="1:6" x14ac:dyDescent="0.15">
      <c r="A43" s="2">
        <v>220006</v>
      </c>
      <c r="B43" s="2">
        <v>22</v>
      </c>
      <c r="C43" s="2">
        <v>6</v>
      </c>
      <c r="D43" s="8" t="s">
        <v>149</v>
      </c>
      <c r="E43" s="18" t="s">
        <v>141</v>
      </c>
      <c r="F43" s="2" t="s">
        <v>21</v>
      </c>
    </row>
    <row r="44" spans="1:6" x14ac:dyDescent="0.15">
      <c r="A44" s="2">
        <v>220008</v>
      </c>
      <c r="B44" s="2">
        <v>22</v>
      </c>
      <c r="C44" s="2">
        <v>8</v>
      </c>
      <c r="D44" s="8" t="s">
        <v>150</v>
      </c>
      <c r="E44" s="18" t="s">
        <v>142</v>
      </c>
      <c r="F44" s="2" t="s">
        <v>22</v>
      </c>
    </row>
    <row r="45" spans="1:6" x14ac:dyDescent="0.15">
      <c r="A45" s="3">
        <v>230002</v>
      </c>
      <c r="B45" s="3">
        <v>23</v>
      </c>
      <c r="C45" s="3">
        <v>2</v>
      </c>
      <c r="D45" s="9" t="s">
        <v>151</v>
      </c>
      <c r="E45" s="19" t="s">
        <v>139</v>
      </c>
      <c r="F45" s="3" t="s">
        <v>23</v>
      </c>
    </row>
    <row r="46" spans="1:6" x14ac:dyDescent="0.15">
      <c r="A46" s="3">
        <v>230004</v>
      </c>
      <c r="B46" s="3">
        <v>23</v>
      </c>
      <c r="C46" s="3">
        <v>4</v>
      </c>
      <c r="D46" s="9" t="s">
        <v>152</v>
      </c>
      <c r="E46" s="19" t="s">
        <v>140</v>
      </c>
      <c r="F46" s="14" t="s">
        <v>160</v>
      </c>
    </row>
    <row r="47" spans="1:6" x14ac:dyDescent="0.15">
      <c r="A47" s="3">
        <v>230006</v>
      </c>
      <c r="B47" s="3">
        <v>23</v>
      </c>
      <c r="C47" s="3">
        <v>6</v>
      </c>
      <c r="D47" s="9" t="s">
        <v>153</v>
      </c>
      <c r="E47" s="19" t="s">
        <v>141</v>
      </c>
      <c r="F47" s="3" t="s">
        <v>25</v>
      </c>
    </row>
    <row r="48" spans="1:6" x14ac:dyDescent="0.15">
      <c r="A48" s="3">
        <v>230008</v>
      </c>
      <c r="B48" s="3">
        <v>23</v>
      </c>
      <c r="C48" s="3">
        <v>8</v>
      </c>
      <c r="D48" s="9" t="s">
        <v>154</v>
      </c>
      <c r="E48" s="19" t="s">
        <v>142</v>
      </c>
      <c r="F48" s="3" t="s">
        <v>26</v>
      </c>
    </row>
    <row r="49" spans="1:6" x14ac:dyDescent="0.15">
      <c r="A49" s="4">
        <v>240002</v>
      </c>
      <c r="B49" s="4">
        <v>24</v>
      </c>
      <c r="C49" s="4">
        <v>2</v>
      </c>
      <c r="D49" s="10" t="s">
        <v>155</v>
      </c>
      <c r="E49" s="20" t="s">
        <v>139</v>
      </c>
      <c r="F49" s="4" t="s">
        <v>27</v>
      </c>
    </row>
    <row r="50" spans="1:6" x14ac:dyDescent="0.15">
      <c r="A50" s="4">
        <v>240004</v>
      </c>
      <c r="B50" s="4">
        <v>24</v>
      </c>
      <c r="C50" s="4">
        <v>4</v>
      </c>
      <c r="D50" s="10" t="s">
        <v>156</v>
      </c>
      <c r="E50" s="20" t="s">
        <v>140</v>
      </c>
      <c r="F50" s="15" t="s">
        <v>161</v>
      </c>
    </row>
    <row r="51" spans="1:6" x14ac:dyDescent="0.15">
      <c r="A51" s="4">
        <v>240006</v>
      </c>
      <c r="B51" s="4">
        <v>24</v>
      </c>
      <c r="C51" s="4">
        <v>6</v>
      </c>
      <c r="D51" s="10" t="s">
        <v>157</v>
      </c>
      <c r="E51" s="20" t="s">
        <v>141</v>
      </c>
      <c r="F51" s="4" t="s">
        <v>28</v>
      </c>
    </row>
    <row r="52" spans="1:6" x14ac:dyDescent="0.15">
      <c r="A52" s="4">
        <v>240008</v>
      </c>
      <c r="B52" s="4">
        <v>24</v>
      </c>
      <c r="C52" s="4">
        <v>8</v>
      </c>
      <c r="D52" s="10" t="s">
        <v>158</v>
      </c>
      <c r="E52" s="20" t="s">
        <v>142</v>
      </c>
      <c r="F52" s="4" t="s">
        <v>29</v>
      </c>
    </row>
    <row r="53" spans="1:6" x14ac:dyDescent="0.15">
      <c r="A53" s="6">
        <v>310002</v>
      </c>
      <c r="B53" s="6">
        <v>31</v>
      </c>
      <c r="C53" s="6">
        <v>2</v>
      </c>
      <c r="D53" s="7" t="s">
        <v>143</v>
      </c>
      <c r="E53" s="17" t="s">
        <v>139</v>
      </c>
      <c r="F53" s="6" t="s">
        <v>15</v>
      </c>
    </row>
    <row r="54" spans="1:6" x14ac:dyDescent="0.15">
      <c r="A54" s="6">
        <v>310004</v>
      </c>
      <c r="B54" s="6">
        <v>31</v>
      </c>
      <c r="C54" s="6">
        <v>4</v>
      </c>
      <c r="D54" s="7" t="s">
        <v>144</v>
      </c>
      <c r="E54" s="17" t="s">
        <v>140</v>
      </c>
      <c r="F54" s="13" t="s">
        <v>159</v>
      </c>
    </row>
    <row r="55" spans="1:6" x14ac:dyDescent="0.15">
      <c r="A55" s="6">
        <v>310006</v>
      </c>
      <c r="B55" s="6">
        <v>31</v>
      </c>
      <c r="C55" s="6">
        <v>6</v>
      </c>
      <c r="D55" s="7" t="s">
        <v>145</v>
      </c>
      <c r="E55" s="17" t="s">
        <v>141</v>
      </c>
      <c r="F55" s="6" t="s">
        <v>17</v>
      </c>
    </row>
    <row r="56" spans="1:6" x14ac:dyDescent="0.15">
      <c r="A56" s="6">
        <v>310008</v>
      </c>
      <c r="B56" s="6">
        <v>31</v>
      </c>
      <c r="C56" s="6">
        <v>8</v>
      </c>
      <c r="D56" s="7" t="s">
        <v>146</v>
      </c>
      <c r="E56" s="17" t="s">
        <v>142</v>
      </c>
      <c r="F56" s="6" t="s">
        <v>18</v>
      </c>
    </row>
    <row r="57" spans="1:6" x14ac:dyDescent="0.15">
      <c r="A57" s="2">
        <v>320002</v>
      </c>
      <c r="B57" s="2">
        <v>32</v>
      </c>
      <c r="C57" s="2">
        <v>2</v>
      </c>
      <c r="D57" s="8" t="s">
        <v>147</v>
      </c>
      <c r="E57" s="18" t="s">
        <v>139</v>
      </c>
      <c r="F57" s="2" t="s">
        <v>19</v>
      </c>
    </row>
    <row r="58" spans="1:6" x14ac:dyDescent="0.15">
      <c r="A58" s="2">
        <v>320004</v>
      </c>
      <c r="B58" s="2">
        <v>32</v>
      </c>
      <c r="C58" s="2">
        <v>4</v>
      </c>
      <c r="D58" s="8" t="s">
        <v>148</v>
      </c>
      <c r="E58" s="18" t="s">
        <v>140</v>
      </c>
      <c r="F58" s="2" t="s">
        <v>20</v>
      </c>
    </row>
    <row r="59" spans="1:6" x14ac:dyDescent="0.15">
      <c r="A59" s="2">
        <v>320006</v>
      </c>
      <c r="B59" s="2">
        <v>32</v>
      </c>
      <c r="C59" s="2">
        <v>6</v>
      </c>
      <c r="D59" s="8" t="s">
        <v>149</v>
      </c>
      <c r="E59" s="18" t="s">
        <v>141</v>
      </c>
      <c r="F59" s="2" t="s">
        <v>21</v>
      </c>
    </row>
    <row r="60" spans="1:6" x14ac:dyDescent="0.15">
      <c r="A60" s="2">
        <v>320008</v>
      </c>
      <c r="B60" s="2">
        <v>32</v>
      </c>
      <c r="C60" s="2">
        <v>8</v>
      </c>
      <c r="D60" s="8" t="s">
        <v>150</v>
      </c>
      <c r="E60" s="18" t="s">
        <v>142</v>
      </c>
      <c r="F60" s="2" t="s">
        <v>22</v>
      </c>
    </row>
    <row r="61" spans="1:6" x14ac:dyDescent="0.15">
      <c r="A61" s="3">
        <v>330002</v>
      </c>
      <c r="B61" s="3">
        <v>33</v>
      </c>
      <c r="C61" s="3">
        <v>2</v>
      </c>
      <c r="D61" s="9" t="s">
        <v>151</v>
      </c>
      <c r="E61" s="19" t="s">
        <v>139</v>
      </c>
      <c r="F61" s="3" t="s">
        <v>23</v>
      </c>
    </row>
    <row r="62" spans="1:6" x14ac:dyDescent="0.15">
      <c r="A62" s="3">
        <v>330004</v>
      </c>
      <c r="B62" s="3">
        <v>33</v>
      </c>
      <c r="C62" s="3">
        <v>4</v>
      </c>
      <c r="D62" s="9" t="s">
        <v>152</v>
      </c>
      <c r="E62" s="19" t="s">
        <v>140</v>
      </c>
      <c r="F62" s="14" t="s">
        <v>160</v>
      </c>
    </row>
    <row r="63" spans="1:6" x14ac:dyDescent="0.15">
      <c r="A63" s="3">
        <v>330006</v>
      </c>
      <c r="B63" s="3">
        <v>33</v>
      </c>
      <c r="C63" s="3">
        <v>6</v>
      </c>
      <c r="D63" s="9" t="s">
        <v>153</v>
      </c>
      <c r="E63" s="19" t="s">
        <v>141</v>
      </c>
      <c r="F63" s="3" t="s">
        <v>25</v>
      </c>
    </row>
    <row r="64" spans="1:6" x14ac:dyDescent="0.15">
      <c r="A64" s="3">
        <v>330008</v>
      </c>
      <c r="B64" s="3">
        <v>33</v>
      </c>
      <c r="C64" s="3">
        <v>8</v>
      </c>
      <c r="D64" s="9" t="s">
        <v>154</v>
      </c>
      <c r="E64" s="19" t="s">
        <v>142</v>
      </c>
      <c r="F64" s="3" t="s">
        <v>26</v>
      </c>
    </row>
    <row r="65" spans="1:6" x14ac:dyDescent="0.15">
      <c r="A65" s="4">
        <v>340002</v>
      </c>
      <c r="B65" s="4">
        <v>34</v>
      </c>
      <c r="C65" s="4">
        <v>2</v>
      </c>
      <c r="D65" s="10" t="s">
        <v>155</v>
      </c>
      <c r="E65" s="20" t="s">
        <v>139</v>
      </c>
      <c r="F65" s="4" t="s">
        <v>27</v>
      </c>
    </row>
    <row r="66" spans="1:6" x14ac:dyDescent="0.15">
      <c r="A66" s="4">
        <v>340004</v>
      </c>
      <c r="B66" s="4">
        <v>34</v>
      </c>
      <c r="C66" s="4">
        <v>4</v>
      </c>
      <c r="D66" s="10" t="s">
        <v>156</v>
      </c>
      <c r="E66" s="20" t="s">
        <v>140</v>
      </c>
      <c r="F66" s="15" t="s">
        <v>161</v>
      </c>
    </row>
    <row r="67" spans="1:6" x14ac:dyDescent="0.15">
      <c r="A67" s="4">
        <v>340006</v>
      </c>
      <c r="B67" s="4">
        <v>34</v>
      </c>
      <c r="C67" s="4">
        <v>6</v>
      </c>
      <c r="D67" s="10" t="s">
        <v>157</v>
      </c>
      <c r="E67" s="20" t="s">
        <v>141</v>
      </c>
      <c r="F67" s="4" t="s">
        <v>28</v>
      </c>
    </row>
    <row r="68" spans="1:6" x14ac:dyDescent="0.15">
      <c r="A68" s="4">
        <v>340008</v>
      </c>
      <c r="B68" s="4">
        <v>34</v>
      </c>
      <c r="C68" s="4">
        <v>8</v>
      </c>
      <c r="D68" s="10" t="s">
        <v>158</v>
      </c>
      <c r="E68" s="20" t="s">
        <v>142</v>
      </c>
      <c r="F68" s="4" t="s">
        <v>29</v>
      </c>
    </row>
    <row r="69" spans="1:6" x14ac:dyDescent="0.15">
      <c r="A69" s="6">
        <v>410002</v>
      </c>
      <c r="B69" s="6">
        <v>41</v>
      </c>
      <c r="C69" s="6">
        <v>2</v>
      </c>
      <c r="D69" s="7" t="s">
        <v>143</v>
      </c>
      <c r="E69" s="17" t="s">
        <v>139</v>
      </c>
      <c r="F69" s="6" t="s">
        <v>15</v>
      </c>
    </row>
    <row r="70" spans="1:6" x14ac:dyDescent="0.15">
      <c r="A70" s="6">
        <v>410004</v>
      </c>
      <c r="B70" s="6">
        <v>41</v>
      </c>
      <c r="C70" s="6">
        <v>4</v>
      </c>
      <c r="D70" s="7" t="s">
        <v>144</v>
      </c>
      <c r="E70" s="17" t="s">
        <v>140</v>
      </c>
      <c r="F70" s="13" t="s">
        <v>159</v>
      </c>
    </row>
    <row r="71" spans="1:6" x14ac:dyDescent="0.15">
      <c r="A71" s="6">
        <v>410006</v>
      </c>
      <c r="B71" s="6">
        <v>41</v>
      </c>
      <c r="C71" s="6">
        <v>6</v>
      </c>
      <c r="D71" s="7" t="s">
        <v>145</v>
      </c>
      <c r="E71" s="17" t="s">
        <v>141</v>
      </c>
      <c r="F71" s="6" t="s">
        <v>17</v>
      </c>
    </row>
    <row r="72" spans="1:6" x14ac:dyDescent="0.15">
      <c r="A72" s="6">
        <v>410008</v>
      </c>
      <c r="B72" s="6">
        <v>41</v>
      </c>
      <c r="C72" s="6">
        <v>8</v>
      </c>
      <c r="D72" s="7" t="s">
        <v>146</v>
      </c>
      <c r="E72" s="17" t="s">
        <v>142</v>
      </c>
      <c r="F72" s="6" t="s">
        <v>18</v>
      </c>
    </row>
    <row r="73" spans="1:6" x14ac:dyDescent="0.15">
      <c r="A73" s="2">
        <v>420002</v>
      </c>
      <c r="B73" s="2">
        <v>42</v>
      </c>
      <c r="C73" s="2">
        <v>2</v>
      </c>
      <c r="D73" s="8" t="s">
        <v>147</v>
      </c>
      <c r="E73" s="18" t="s">
        <v>139</v>
      </c>
      <c r="F73" s="2" t="s">
        <v>19</v>
      </c>
    </row>
    <row r="74" spans="1:6" x14ac:dyDescent="0.15">
      <c r="A74" s="2">
        <v>420004</v>
      </c>
      <c r="B74" s="2">
        <v>42</v>
      </c>
      <c r="C74" s="2">
        <v>4</v>
      </c>
      <c r="D74" s="8" t="s">
        <v>148</v>
      </c>
      <c r="E74" s="18" t="s">
        <v>140</v>
      </c>
      <c r="F74" s="2" t="s">
        <v>20</v>
      </c>
    </row>
    <row r="75" spans="1:6" x14ac:dyDescent="0.15">
      <c r="A75" s="2">
        <v>420006</v>
      </c>
      <c r="B75" s="2">
        <v>42</v>
      </c>
      <c r="C75" s="2">
        <v>6</v>
      </c>
      <c r="D75" s="8" t="s">
        <v>149</v>
      </c>
      <c r="E75" s="18" t="s">
        <v>141</v>
      </c>
      <c r="F75" s="2" t="s">
        <v>21</v>
      </c>
    </row>
    <row r="76" spans="1:6" x14ac:dyDescent="0.15">
      <c r="A76" s="2">
        <v>420008</v>
      </c>
      <c r="B76" s="2">
        <v>42</v>
      </c>
      <c r="C76" s="2">
        <v>8</v>
      </c>
      <c r="D76" s="8" t="s">
        <v>150</v>
      </c>
      <c r="E76" s="18" t="s">
        <v>142</v>
      </c>
      <c r="F76" s="2" t="s">
        <v>22</v>
      </c>
    </row>
    <row r="77" spans="1:6" x14ac:dyDescent="0.15">
      <c r="A77" s="3">
        <v>430002</v>
      </c>
      <c r="B77" s="3">
        <v>43</v>
      </c>
      <c r="C77" s="3">
        <v>2</v>
      </c>
      <c r="D77" s="9" t="s">
        <v>151</v>
      </c>
      <c r="E77" s="19" t="s">
        <v>139</v>
      </c>
      <c r="F77" s="3" t="s">
        <v>23</v>
      </c>
    </row>
    <row r="78" spans="1:6" x14ac:dyDescent="0.15">
      <c r="A78" s="3">
        <v>430004</v>
      </c>
      <c r="B78" s="3">
        <v>43</v>
      </c>
      <c r="C78" s="3">
        <v>4</v>
      </c>
      <c r="D78" s="9" t="s">
        <v>152</v>
      </c>
      <c r="E78" s="19" t="s">
        <v>140</v>
      </c>
      <c r="F78" s="14" t="s">
        <v>160</v>
      </c>
    </row>
    <row r="79" spans="1:6" x14ac:dyDescent="0.15">
      <c r="A79" s="3">
        <v>430006</v>
      </c>
      <c r="B79" s="3">
        <v>43</v>
      </c>
      <c r="C79" s="3">
        <v>6</v>
      </c>
      <c r="D79" s="9" t="s">
        <v>153</v>
      </c>
      <c r="E79" s="19" t="s">
        <v>141</v>
      </c>
      <c r="F79" s="3" t="s">
        <v>25</v>
      </c>
    </row>
    <row r="80" spans="1:6" x14ac:dyDescent="0.15">
      <c r="A80" s="3">
        <v>430008</v>
      </c>
      <c r="B80" s="3">
        <v>43</v>
      </c>
      <c r="C80" s="3">
        <v>8</v>
      </c>
      <c r="D80" s="9" t="s">
        <v>154</v>
      </c>
      <c r="E80" s="19" t="s">
        <v>142</v>
      </c>
      <c r="F80" s="3" t="s">
        <v>26</v>
      </c>
    </row>
    <row r="81" spans="1:6" x14ac:dyDescent="0.15">
      <c r="A81" s="4">
        <v>440002</v>
      </c>
      <c r="B81" s="4">
        <v>44</v>
      </c>
      <c r="C81" s="4">
        <v>2</v>
      </c>
      <c r="D81" s="10" t="s">
        <v>155</v>
      </c>
      <c r="E81" s="20" t="s">
        <v>139</v>
      </c>
      <c r="F81" s="4" t="s">
        <v>27</v>
      </c>
    </row>
    <row r="82" spans="1:6" x14ac:dyDescent="0.15">
      <c r="A82" s="4">
        <v>440004</v>
      </c>
      <c r="B82" s="4">
        <v>44</v>
      </c>
      <c r="C82" s="4">
        <v>4</v>
      </c>
      <c r="D82" s="10" t="s">
        <v>156</v>
      </c>
      <c r="E82" s="20" t="s">
        <v>140</v>
      </c>
      <c r="F82" s="15" t="s">
        <v>161</v>
      </c>
    </row>
    <row r="83" spans="1:6" x14ac:dyDescent="0.15">
      <c r="A83" s="4">
        <v>440006</v>
      </c>
      <c r="B83" s="4">
        <v>44</v>
      </c>
      <c r="C83" s="4">
        <v>6</v>
      </c>
      <c r="D83" s="10" t="s">
        <v>157</v>
      </c>
      <c r="E83" s="20" t="s">
        <v>141</v>
      </c>
      <c r="F83" s="4" t="s">
        <v>28</v>
      </c>
    </row>
    <row r="84" spans="1:6" x14ac:dyDescent="0.15">
      <c r="A84" s="4">
        <v>440008</v>
      </c>
      <c r="B84" s="4">
        <v>44</v>
      </c>
      <c r="C84" s="4">
        <v>8</v>
      </c>
      <c r="D84" s="10" t="s">
        <v>158</v>
      </c>
      <c r="E84" s="20" t="s">
        <v>142</v>
      </c>
      <c r="F84" s="4" t="s">
        <v>29</v>
      </c>
    </row>
    <row r="85" spans="1:6" x14ac:dyDescent="0.15">
      <c r="A85" s="6">
        <v>510002</v>
      </c>
      <c r="B85" s="6">
        <v>51</v>
      </c>
      <c r="C85" s="6">
        <v>2</v>
      </c>
      <c r="D85" s="7" t="s">
        <v>143</v>
      </c>
      <c r="E85" s="17" t="s">
        <v>139</v>
      </c>
      <c r="F85" s="6" t="s">
        <v>15</v>
      </c>
    </row>
    <row r="86" spans="1:6" x14ac:dyDescent="0.15">
      <c r="A86" s="6">
        <v>510004</v>
      </c>
      <c r="B86" s="6">
        <v>51</v>
      </c>
      <c r="C86" s="6">
        <v>4</v>
      </c>
      <c r="D86" s="7" t="s">
        <v>144</v>
      </c>
      <c r="E86" s="17" t="s">
        <v>140</v>
      </c>
      <c r="F86" s="13" t="s">
        <v>159</v>
      </c>
    </row>
    <row r="87" spans="1:6" x14ac:dyDescent="0.15">
      <c r="A87" s="6">
        <v>510006</v>
      </c>
      <c r="B87" s="6">
        <v>51</v>
      </c>
      <c r="C87" s="6">
        <v>6</v>
      </c>
      <c r="D87" s="7" t="s">
        <v>145</v>
      </c>
      <c r="E87" s="17" t="s">
        <v>141</v>
      </c>
      <c r="F87" s="6" t="s">
        <v>17</v>
      </c>
    </row>
    <row r="88" spans="1:6" x14ac:dyDescent="0.15">
      <c r="A88" s="6">
        <v>510008</v>
      </c>
      <c r="B88" s="6">
        <v>51</v>
      </c>
      <c r="C88" s="6">
        <v>8</v>
      </c>
      <c r="D88" s="7" t="s">
        <v>146</v>
      </c>
      <c r="E88" s="17" t="s">
        <v>142</v>
      </c>
      <c r="F88" s="6" t="s">
        <v>18</v>
      </c>
    </row>
    <row r="89" spans="1:6" x14ac:dyDescent="0.15">
      <c r="A89" s="2">
        <v>520002</v>
      </c>
      <c r="B89" s="2">
        <v>52</v>
      </c>
      <c r="C89" s="2">
        <v>2</v>
      </c>
      <c r="D89" s="8" t="s">
        <v>147</v>
      </c>
      <c r="E89" s="18" t="s">
        <v>139</v>
      </c>
      <c r="F89" s="2" t="s">
        <v>19</v>
      </c>
    </row>
    <row r="90" spans="1:6" x14ac:dyDescent="0.15">
      <c r="A90" s="2">
        <v>520004</v>
      </c>
      <c r="B90" s="2">
        <v>52</v>
      </c>
      <c r="C90" s="2">
        <v>4</v>
      </c>
      <c r="D90" s="8" t="s">
        <v>148</v>
      </c>
      <c r="E90" s="18" t="s">
        <v>140</v>
      </c>
      <c r="F90" s="2" t="s">
        <v>20</v>
      </c>
    </row>
    <row r="91" spans="1:6" x14ac:dyDescent="0.15">
      <c r="A91" s="2">
        <v>520006</v>
      </c>
      <c r="B91" s="2">
        <v>52</v>
      </c>
      <c r="C91" s="2">
        <v>6</v>
      </c>
      <c r="D91" s="8" t="s">
        <v>149</v>
      </c>
      <c r="E91" s="18" t="s">
        <v>141</v>
      </c>
      <c r="F91" s="2" t="s">
        <v>21</v>
      </c>
    </row>
    <row r="92" spans="1:6" x14ac:dyDescent="0.15">
      <c r="A92" s="2">
        <v>520008</v>
      </c>
      <c r="B92" s="2">
        <v>52</v>
      </c>
      <c r="C92" s="2">
        <v>8</v>
      </c>
      <c r="D92" s="8" t="s">
        <v>150</v>
      </c>
      <c r="E92" s="18" t="s">
        <v>142</v>
      </c>
      <c r="F92" s="2" t="s">
        <v>22</v>
      </c>
    </row>
    <row r="93" spans="1:6" x14ac:dyDescent="0.15">
      <c r="A93" s="3">
        <v>530002</v>
      </c>
      <c r="B93" s="3">
        <v>53</v>
      </c>
      <c r="C93" s="3">
        <v>2</v>
      </c>
      <c r="D93" s="9" t="s">
        <v>151</v>
      </c>
      <c r="E93" s="19" t="s">
        <v>139</v>
      </c>
      <c r="F93" s="3" t="s">
        <v>23</v>
      </c>
    </row>
    <row r="94" spans="1:6" x14ac:dyDescent="0.15">
      <c r="A94" s="3">
        <v>530004</v>
      </c>
      <c r="B94" s="3">
        <v>53</v>
      </c>
      <c r="C94" s="3">
        <v>4</v>
      </c>
      <c r="D94" s="9" t="s">
        <v>152</v>
      </c>
      <c r="E94" s="19" t="s">
        <v>140</v>
      </c>
      <c r="F94" s="14" t="s">
        <v>160</v>
      </c>
    </row>
    <row r="95" spans="1:6" x14ac:dyDescent="0.15">
      <c r="A95" s="3">
        <v>530006</v>
      </c>
      <c r="B95" s="3">
        <v>53</v>
      </c>
      <c r="C95" s="3">
        <v>6</v>
      </c>
      <c r="D95" s="9" t="s">
        <v>153</v>
      </c>
      <c r="E95" s="19" t="s">
        <v>141</v>
      </c>
      <c r="F95" s="3" t="s">
        <v>25</v>
      </c>
    </row>
    <row r="96" spans="1:6" x14ac:dyDescent="0.15">
      <c r="A96" s="3">
        <v>530008</v>
      </c>
      <c r="B96" s="3">
        <v>53</v>
      </c>
      <c r="C96" s="3">
        <v>8</v>
      </c>
      <c r="D96" s="9" t="s">
        <v>154</v>
      </c>
      <c r="E96" s="19" t="s">
        <v>142</v>
      </c>
      <c r="F96" s="3" t="s">
        <v>26</v>
      </c>
    </row>
    <row r="97" spans="1:6" x14ac:dyDescent="0.15">
      <c r="A97" s="4">
        <v>540002</v>
      </c>
      <c r="B97" s="4">
        <v>54</v>
      </c>
      <c r="C97" s="4">
        <v>2</v>
      </c>
      <c r="D97" s="10" t="s">
        <v>155</v>
      </c>
      <c r="E97" s="20" t="s">
        <v>139</v>
      </c>
      <c r="F97" s="4" t="s">
        <v>27</v>
      </c>
    </row>
    <row r="98" spans="1:6" x14ac:dyDescent="0.15">
      <c r="A98" s="4">
        <v>540004</v>
      </c>
      <c r="B98" s="4">
        <v>54</v>
      </c>
      <c r="C98" s="4">
        <v>4</v>
      </c>
      <c r="D98" s="10" t="s">
        <v>156</v>
      </c>
      <c r="E98" s="20" t="s">
        <v>140</v>
      </c>
      <c r="F98" s="15" t="s">
        <v>161</v>
      </c>
    </row>
    <row r="99" spans="1:6" x14ac:dyDescent="0.15">
      <c r="A99" s="4">
        <v>540006</v>
      </c>
      <c r="B99" s="4">
        <v>54</v>
      </c>
      <c r="C99" s="4">
        <v>6</v>
      </c>
      <c r="D99" s="10" t="s">
        <v>157</v>
      </c>
      <c r="E99" s="20" t="s">
        <v>141</v>
      </c>
      <c r="F99" s="4" t="s">
        <v>28</v>
      </c>
    </row>
    <row r="100" spans="1:6" x14ac:dyDescent="0.15">
      <c r="A100" s="4">
        <v>540008</v>
      </c>
      <c r="B100" s="4">
        <v>54</v>
      </c>
      <c r="C100" s="4">
        <v>8</v>
      </c>
      <c r="D100" s="10" t="s">
        <v>158</v>
      </c>
      <c r="E100" s="20" t="s">
        <v>142</v>
      </c>
      <c r="F100" s="4" t="s">
        <v>29</v>
      </c>
    </row>
    <row r="101" spans="1:6" x14ac:dyDescent="0.15">
      <c r="A101" s="6">
        <v>610002</v>
      </c>
      <c r="B101" s="6">
        <v>61</v>
      </c>
      <c r="C101" s="6">
        <v>2</v>
      </c>
      <c r="D101" s="7" t="s">
        <v>143</v>
      </c>
      <c r="E101" s="17" t="s">
        <v>139</v>
      </c>
      <c r="F101" s="6" t="s">
        <v>15</v>
      </c>
    </row>
    <row r="102" spans="1:6" x14ac:dyDescent="0.15">
      <c r="A102" s="6">
        <v>610004</v>
      </c>
      <c r="B102" s="6">
        <v>61</v>
      </c>
      <c r="C102" s="6">
        <v>4</v>
      </c>
      <c r="D102" s="7" t="s">
        <v>144</v>
      </c>
      <c r="E102" s="17" t="s">
        <v>140</v>
      </c>
      <c r="F102" s="13" t="s">
        <v>159</v>
      </c>
    </row>
    <row r="103" spans="1:6" x14ac:dyDescent="0.15">
      <c r="A103" s="6">
        <v>610006</v>
      </c>
      <c r="B103" s="6">
        <v>61</v>
      </c>
      <c r="C103" s="6">
        <v>6</v>
      </c>
      <c r="D103" s="7" t="s">
        <v>145</v>
      </c>
      <c r="E103" s="17" t="s">
        <v>141</v>
      </c>
      <c r="F103" s="6" t="s">
        <v>17</v>
      </c>
    </row>
    <row r="104" spans="1:6" x14ac:dyDescent="0.15">
      <c r="A104" s="6">
        <v>610008</v>
      </c>
      <c r="B104" s="6">
        <v>61</v>
      </c>
      <c r="C104" s="6">
        <v>8</v>
      </c>
      <c r="D104" s="7" t="s">
        <v>146</v>
      </c>
      <c r="E104" s="17" t="s">
        <v>142</v>
      </c>
      <c r="F104" s="6" t="s">
        <v>18</v>
      </c>
    </row>
    <row r="105" spans="1:6" x14ac:dyDescent="0.15">
      <c r="A105" s="2">
        <v>620002</v>
      </c>
      <c r="B105" s="2">
        <v>62</v>
      </c>
      <c r="C105" s="2">
        <v>2</v>
      </c>
      <c r="D105" s="8" t="s">
        <v>147</v>
      </c>
      <c r="E105" s="18" t="s">
        <v>139</v>
      </c>
      <c r="F105" s="2" t="s">
        <v>19</v>
      </c>
    </row>
    <row r="106" spans="1:6" x14ac:dyDescent="0.15">
      <c r="A106" s="2">
        <v>620004</v>
      </c>
      <c r="B106" s="2">
        <v>62</v>
      </c>
      <c r="C106" s="2">
        <v>4</v>
      </c>
      <c r="D106" s="8" t="s">
        <v>148</v>
      </c>
      <c r="E106" s="18" t="s">
        <v>140</v>
      </c>
      <c r="F106" s="2" t="s">
        <v>20</v>
      </c>
    </row>
    <row r="107" spans="1:6" x14ac:dyDescent="0.15">
      <c r="A107" s="2">
        <v>620006</v>
      </c>
      <c r="B107" s="2">
        <v>62</v>
      </c>
      <c r="C107" s="2">
        <v>6</v>
      </c>
      <c r="D107" s="8" t="s">
        <v>149</v>
      </c>
      <c r="E107" s="18" t="s">
        <v>141</v>
      </c>
      <c r="F107" s="2" t="s">
        <v>21</v>
      </c>
    </row>
    <row r="108" spans="1:6" x14ac:dyDescent="0.15">
      <c r="A108" s="2">
        <v>620008</v>
      </c>
      <c r="B108" s="2">
        <v>62</v>
      </c>
      <c r="C108" s="2">
        <v>8</v>
      </c>
      <c r="D108" s="8" t="s">
        <v>150</v>
      </c>
      <c r="E108" s="18" t="s">
        <v>142</v>
      </c>
      <c r="F108" s="2" t="s">
        <v>22</v>
      </c>
    </row>
    <row r="109" spans="1:6" x14ac:dyDescent="0.15">
      <c r="A109" s="3">
        <v>630002</v>
      </c>
      <c r="B109" s="3">
        <v>63</v>
      </c>
      <c r="C109" s="3">
        <v>2</v>
      </c>
      <c r="D109" s="9" t="s">
        <v>151</v>
      </c>
      <c r="E109" s="19" t="s">
        <v>139</v>
      </c>
      <c r="F109" s="3" t="s">
        <v>23</v>
      </c>
    </row>
    <row r="110" spans="1:6" x14ac:dyDescent="0.15">
      <c r="A110" s="3">
        <v>630004</v>
      </c>
      <c r="B110" s="3">
        <v>63</v>
      </c>
      <c r="C110" s="3">
        <v>4</v>
      </c>
      <c r="D110" s="9" t="s">
        <v>152</v>
      </c>
      <c r="E110" s="19" t="s">
        <v>140</v>
      </c>
      <c r="F110" s="14" t="s">
        <v>160</v>
      </c>
    </row>
    <row r="111" spans="1:6" x14ac:dyDescent="0.15">
      <c r="A111" s="3">
        <v>630006</v>
      </c>
      <c r="B111" s="3">
        <v>63</v>
      </c>
      <c r="C111" s="3">
        <v>6</v>
      </c>
      <c r="D111" s="9" t="s">
        <v>153</v>
      </c>
      <c r="E111" s="19" t="s">
        <v>141</v>
      </c>
      <c r="F111" s="3" t="s">
        <v>25</v>
      </c>
    </row>
    <row r="112" spans="1:6" x14ac:dyDescent="0.15">
      <c r="A112" s="3">
        <v>630008</v>
      </c>
      <c r="B112" s="3">
        <v>63</v>
      </c>
      <c r="C112" s="3">
        <v>8</v>
      </c>
      <c r="D112" s="9" t="s">
        <v>154</v>
      </c>
      <c r="E112" s="19" t="s">
        <v>142</v>
      </c>
      <c r="F112" s="3" t="s">
        <v>26</v>
      </c>
    </row>
    <row r="113" spans="1:6" x14ac:dyDescent="0.15">
      <c r="A113" s="4">
        <v>640002</v>
      </c>
      <c r="B113" s="4">
        <v>64</v>
      </c>
      <c r="C113" s="4">
        <v>2</v>
      </c>
      <c r="D113" s="10" t="s">
        <v>155</v>
      </c>
      <c r="E113" s="20" t="s">
        <v>139</v>
      </c>
      <c r="F113" s="4" t="s">
        <v>27</v>
      </c>
    </row>
    <row r="114" spans="1:6" x14ac:dyDescent="0.15">
      <c r="A114" s="4">
        <v>640004</v>
      </c>
      <c r="B114" s="4">
        <v>64</v>
      </c>
      <c r="C114" s="4">
        <v>4</v>
      </c>
      <c r="D114" s="10" t="s">
        <v>156</v>
      </c>
      <c r="E114" s="20" t="s">
        <v>140</v>
      </c>
      <c r="F114" s="15" t="s">
        <v>161</v>
      </c>
    </row>
    <row r="115" spans="1:6" x14ac:dyDescent="0.15">
      <c r="A115" s="4">
        <v>640006</v>
      </c>
      <c r="B115" s="4">
        <v>64</v>
      </c>
      <c r="C115" s="4">
        <v>6</v>
      </c>
      <c r="D115" s="10" t="s">
        <v>157</v>
      </c>
      <c r="E115" s="20" t="s">
        <v>141</v>
      </c>
      <c r="F115" s="4" t="s">
        <v>28</v>
      </c>
    </row>
    <row r="116" spans="1:6" x14ac:dyDescent="0.15">
      <c r="A116" s="4">
        <v>640008</v>
      </c>
      <c r="B116" s="4">
        <v>64</v>
      </c>
      <c r="C116" s="4">
        <v>8</v>
      </c>
      <c r="D116" s="10" t="s">
        <v>158</v>
      </c>
      <c r="E116" s="20" t="s">
        <v>142</v>
      </c>
      <c r="F116" s="4" t="s">
        <v>29</v>
      </c>
    </row>
    <row r="117" spans="1:6" x14ac:dyDescent="0.15">
      <c r="A117" s="6">
        <v>710002</v>
      </c>
      <c r="B117" s="6">
        <v>71</v>
      </c>
      <c r="C117" s="6">
        <v>2</v>
      </c>
      <c r="D117" s="7" t="s">
        <v>143</v>
      </c>
      <c r="E117" s="17" t="s">
        <v>139</v>
      </c>
      <c r="F117" s="6" t="s">
        <v>15</v>
      </c>
    </row>
    <row r="118" spans="1:6" x14ac:dyDescent="0.15">
      <c r="A118" s="6">
        <v>710004</v>
      </c>
      <c r="B118" s="6">
        <v>71</v>
      </c>
      <c r="C118" s="6">
        <v>4</v>
      </c>
      <c r="D118" s="7" t="s">
        <v>144</v>
      </c>
      <c r="E118" s="17" t="s">
        <v>140</v>
      </c>
      <c r="F118" s="13" t="s">
        <v>159</v>
      </c>
    </row>
    <row r="119" spans="1:6" x14ac:dyDescent="0.15">
      <c r="A119" s="6">
        <v>710006</v>
      </c>
      <c r="B119" s="6">
        <v>71</v>
      </c>
      <c r="C119" s="6">
        <v>6</v>
      </c>
      <c r="D119" s="7" t="s">
        <v>145</v>
      </c>
      <c r="E119" s="17" t="s">
        <v>141</v>
      </c>
      <c r="F119" s="6" t="s">
        <v>17</v>
      </c>
    </row>
    <row r="120" spans="1:6" x14ac:dyDescent="0.15">
      <c r="A120" s="6">
        <v>710008</v>
      </c>
      <c r="B120" s="6">
        <v>71</v>
      </c>
      <c r="C120" s="6">
        <v>8</v>
      </c>
      <c r="D120" s="7" t="s">
        <v>146</v>
      </c>
      <c r="E120" s="17" t="s">
        <v>142</v>
      </c>
      <c r="F120" s="6" t="s">
        <v>18</v>
      </c>
    </row>
    <row r="121" spans="1:6" x14ac:dyDescent="0.15">
      <c r="A121" s="2">
        <v>720002</v>
      </c>
      <c r="B121" s="2">
        <v>72</v>
      </c>
      <c r="C121" s="2">
        <v>2</v>
      </c>
      <c r="D121" s="8" t="s">
        <v>147</v>
      </c>
      <c r="E121" s="18" t="s">
        <v>139</v>
      </c>
      <c r="F121" s="2" t="s">
        <v>19</v>
      </c>
    </row>
    <row r="122" spans="1:6" x14ac:dyDescent="0.15">
      <c r="A122" s="2">
        <v>720004</v>
      </c>
      <c r="B122" s="2">
        <v>72</v>
      </c>
      <c r="C122" s="2">
        <v>4</v>
      </c>
      <c r="D122" s="8" t="s">
        <v>148</v>
      </c>
      <c r="E122" s="18" t="s">
        <v>140</v>
      </c>
      <c r="F122" s="2" t="s">
        <v>20</v>
      </c>
    </row>
    <row r="123" spans="1:6" x14ac:dyDescent="0.15">
      <c r="A123" s="2">
        <v>720006</v>
      </c>
      <c r="B123" s="2">
        <v>72</v>
      </c>
      <c r="C123" s="2">
        <v>6</v>
      </c>
      <c r="D123" s="8" t="s">
        <v>149</v>
      </c>
      <c r="E123" s="18" t="s">
        <v>141</v>
      </c>
      <c r="F123" s="2" t="s">
        <v>21</v>
      </c>
    </row>
    <row r="124" spans="1:6" x14ac:dyDescent="0.15">
      <c r="A124" s="2">
        <v>720008</v>
      </c>
      <c r="B124" s="2">
        <v>72</v>
      </c>
      <c r="C124" s="2">
        <v>8</v>
      </c>
      <c r="D124" s="8" t="s">
        <v>150</v>
      </c>
      <c r="E124" s="18" t="s">
        <v>142</v>
      </c>
      <c r="F124" s="2" t="s">
        <v>22</v>
      </c>
    </row>
    <row r="125" spans="1:6" x14ac:dyDescent="0.15">
      <c r="A125" s="3">
        <v>730002</v>
      </c>
      <c r="B125" s="3">
        <v>73</v>
      </c>
      <c r="C125" s="3">
        <v>2</v>
      </c>
      <c r="D125" s="9" t="s">
        <v>151</v>
      </c>
      <c r="E125" s="19" t="s">
        <v>139</v>
      </c>
      <c r="F125" s="3" t="s">
        <v>23</v>
      </c>
    </row>
    <row r="126" spans="1:6" x14ac:dyDescent="0.15">
      <c r="A126" s="3">
        <v>730004</v>
      </c>
      <c r="B126" s="3">
        <v>73</v>
      </c>
      <c r="C126" s="3">
        <v>4</v>
      </c>
      <c r="D126" s="9" t="s">
        <v>152</v>
      </c>
      <c r="E126" s="19" t="s">
        <v>140</v>
      </c>
      <c r="F126" s="14" t="s">
        <v>160</v>
      </c>
    </row>
    <row r="127" spans="1:6" x14ac:dyDescent="0.15">
      <c r="A127" s="3">
        <v>730006</v>
      </c>
      <c r="B127" s="3">
        <v>73</v>
      </c>
      <c r="C127" s="3">
        <v>6</v>
      </c>
      <c r="D127" s="9" t="s">
        <v>153</v>
      </c>
      <c r="E127" s="19" t="s">
        <v>141</v>
      </c>
      <c r="F127" s="3" t="s">
        <v>25</v>
      </c>
    </row>
    <row r="128" spans="1:6" x14ac:dyDescent="0.15">
      <c r="A128" s="3">
        <v>730008</v>
      </c>
      <c r="B128" s="3">
        <v>73</v>
      </c>
      <c r="C128" s="3">
        <v>8</v>
      </c>
      <c r="D128" s="9" t="s">
        <v>154</v>
      </c>
      <c r="E128" s="19" t="s">
        <v>142</v>
      </c>
      <c r="F128" s="3" t="s">
        <v>26</v>
      </c>
    </row>
    <row r="129" spans="1:6" x14ac:dyDescent="0.15">
      <c r="A129" s="4">
        <v>740002</v>
      </c>
      <c r="B129" s="4">
        <v>74</v>
      </c>
      <c r="C129" s="4">
        <v>2</v>
      </c>
      <c r="D129" s="10" t="s">
        <v>155</v>
      </c>
      <c r="E129" s="20" t="s">
        <v>139</v>
      </c>
      <c r="F129" s="4" t="s">
        <v>27</v>
      </c>
    </row>
    <row r="130" spans="1:6" x14ac:dyDescent="0.15">
      <c r="A130" s="4">
        <v>740004</v>
      </c>
      <c r="B130" s="4">
        <v>74</v>
      </c>
      <c r="C130" s="4">
        <v>4</v>
      </c>
      <c r="D130" s="10" t="s">
        <v>156</v>
      </c>
      <c r="E130" s="20" t="s">
        <v>140</v>
      </c>
      <c r="F130" s="15" t="s">
        <v>161</v>
      </c>
    </row>
    <row r="131" spans="1:6" x14ac:dyDescent="0.15">
      <c r="A131" s="4">
        <v>740006</v>
      </c>
      <c r="B131" s="4">
        <v>74</v>
      </c>
      <c r="C131" s="4">
        <v>6</v>
      </c>
      <c r="D131" s="10" t="s">
        <v>157</v>
      </c>
      <c r="E131" s="20" t="s">
        <v>141</v>
      </c>
      <c r="F131" s="4" t="s">
        <v>28</v>
      </c>
    </row>
    <row r="132" spans="1:6" x14ac:dyDescent="0.15">
      <c r="A132" s="4">
        <v>740008</v>
      </c>
      <c r="B132" s="4">
        <v>74</v>
      </c>
      <c r="C132" s="4">
        <v>8</v>
      </c>
      <c r="D132" s="10" t="s">
        <v>158</v>
      </c>
      <c r="E132" s="20" t="s">
        <v>142</v>
      </c>
      <c r="F132" s="4" t="s">
        <v>29</v>
      </c>
    </row>
    <row r="133" spans="1:6" x14ac:dyDescent="0.15">
      <c r="A133" s="6">
        <v>810002</v>
      </c>
      <c r="B133" s="6">
        <v>81</v>
      </c>
      <c r="C133" s="6">
        <v>2</v>
      </c>
      <c r="D133" s="7" t="s">
        <v>143</v>
      </c>
      <c r="E133" s="17" t="s">
        <v>139</v>
      </c>
      <c r="F133" s="6" t="s">
        <v>15</v>
      </c>
    </row>
    <row r="134" spans="1:6" x14ac:dyDescent="0.15">
      <c r="A134" s="6">
        <v>810004</v>
      </c>
      <c r="B134" s="6">
        <v>81</v>
      </c>
      <c r="C134" s="6">
        <v>4</v>
      </c>
      <c r="D134" s="7" t="s">
        <v>144</v>
      </c>
      <c r="E134" s="17" t="s">
        <v>140</v>
      </c>
      <c r="F134" s="13" t="s">
        <v>159</v>
      </c>
    </row>
    <row r="135" spans="1:6" x14ac:dyDescent="0.15">
      <c r="A135" s="6">
        <v>810006</v>
      </c>
      <c r="B135" s="6">
        <v>81</v>
      </c>
      <c r="C135" s="6">
        <v>6</v>
      </c>
      <c r="D135" s="7" t="s">
        <v>145</v>
      </c>
      <c r="E135" s="17" t="s">
        <v>141</v>
      </c>
      <c r="F135" s="6" t="s">
        <v>17</v>
      </c>
    </row>
    <row r="136" spans="1:6" x14ac:dyDescent="0.15">
      <c r="A136" s="6">
        <v>810008</v>
      </c>
      <c r="B136" s="6">
        <v>81</v>
      </c>
      <c r="C136" s="6">
        <v>8</v>
      </c>
      <c r="D136" s="7" t="s">
        <v>146</v>
      </c>
      <c r="E136" s="17" t="s">
        <v>142</v>
      </c>
      <c r="F136" s="6" t="s">
        <v>18</v>
      </c>
    </row>
    <row r="137" spans="1:6" x14ac:dyDescent="0.15">
      <c r="A137" s="2">
        <v>820002</v>
      </c>
      <c r="B137" s="2">
        <v>82</v>
      </c>
      <c r="C137" s="2">
        <v>2</v>
      </c>
      <c r="D137" s="8" t="s">
        <v>147</v>
      </c>
      <c r="E137" s="18" t="s">
        <v>139</v>
      </c>
      <c r="F137" s="2" t="s">
        <v>19</v>
      </c>
    </row>
    <row r="138" spans="1:6" x14ac:dyDescent="0.15">
      <c r="A138" s="2">
        <v>820004</v>
      </c>
      <c r="B138" s="2">
        <v>82</v>
      </c>
      <c r="C138" s="2">
        <v>4</v>
      </c>
      <c r="D138" s="8" t="s">
        <v>148</v>
      </c>
      <c r="E138" s="18" t="s">
        <v>140</v>
      </c>
      <c r="F138" s="2" t="s">
        <v>20</v>
      </c>
    </row>
    <row r="139" spans="1:6" x14ac:dyDescent="0.15">
      <c r="A139" s="2">
        <v>820006</v>
      </c>
      <c r="B139" s="2">
        <v>82</v>
      </c>
      <c r="C139" s="2">
        <v>6</v>
      </c>
      <c r="D139" s="8" t="s">
        <v>149</v>
      </c>
      <c r="E139" s="18" t="s">
        <v>141</v>
      </c>
      <c r="F139" s="2" t="s">
        <v>21</v>
      </c>
    </row>
    <row r="140" spans="1:6" x14ac:dyDescent="0.15">
      <c r="A140" s="2">
        <v>820008</v>
      </c>
      <c r="B140" s="2">
        <v>82</v>
      </c>
      <c r="C140" s="2">
        <v>8</v>
      </c>
      <c r="D140" s="8" t="s">
        <v>150</v>
      </c>
      <c r="E140" s="18" t="s">
        <v>142</v>
      </c>
      <c r="F140" s="2" t="s">
        <v>22</v>
      </c>
    </row>
    <row r="141" spans="1:6" x14ac:dyDescent="0.15">
      <c r="A141" s="3">
        <v>830002</v>
      </c>
      <c r="B141" s="3">
        <v>83</v>
      </c>
      <c r="C141" s="3">
        <v>2</v>
      </c>
      <c r="D141" s="9" t="s">
        <v>151</v>
      </c>
      <c r="E141" s="19" t="s">
        <v>139</v>
      </c>
      <c r="F141" s="3" t="s">
        <v>23</v>
      </c>
    </row>
    <row r="142" spans="1:6" x14ac:dyDescent="0.15">
      <c r="A142" s="3">
        <v>830004</v>
      </c>
      <c r="B142" s="3">
        <v>83</v>
      </c>
      <c r="C142" s="3">
        <v>4</v>
      </c>
      <c r="D142" s="9" t="s">
        <v>152</v>
      </c>
      <c r="E142" s="19" t="s">
        <v>140</v>
      </c>
      <c r="F142" s="14" t="s">
        <v>160</v>
      </c>
    </row>
    <row r="143" spans="1:6" x14ac:dyDescent="0.15">
      <c r="A143" s="3">
        <v>830006</v>
      </c>
      <c r="B143" s="3">
        <v>83</v>
      </c>
      <c r="C143" s="3">
        <v>6</v>
      </c>
      <c r="D143" s="9" t="s">
        <v>153</v>
      </c>
      <c r="E143" s="19" t="s">
        <v>141</v>
      </c>
      <c r="F143" s="3" t="s">
        <v>25</v>
      </c>
    </row>
    <row r="144" spans="1:6" x14ac:dyDescent="0.15">
      <c r="A144" s="3">
        <v>830008</v>
      </c>
      <c r="B144" s="3">
        <v>83</v>
      </c>
      <c r="C144" s="3">
        <v>8</v>
      </c>
      <c r="D144" s="9" t="s">
        <v>154</v>
      </c>
      <c r="E144" s="19" t="s">
        <v>142</v>
      </c>
      <c r="F144" s="3" t="s">
        <v>26</v>
      </c>
    </row>
    <row r="145" spans="1:6" x14ac:dyDescent="0.15">
      <c r="A145" s="4">
        <v>840002</v>
      </c>
      <c r="B145" s="4">
        <v>84</v>
      </c>
      <c r="C145" s="4">
        <v>2</v>
      </c>
      <c r="D145" s="10" t="s">
        <v>155</v>
      </c>
      <c r="E145" s="20" t="s">
        <v>139</v>
      </c>
      <c r="F145" s="4" t="s">
        <v>27</v>
      </c>
    </row>
    <row r="146" spans="1:6" x14ac:dyDescent="0.15">
      <c r="A146" s="4">
        <v>840004</v>
      </c>
      <c r="B146" s="4">
        <v>84</v>
      </c>
      <c r="C146" s="4">
        <v>4</v>
      </c>
      <c r="D146" s="10" t="s">
        <v>156</v>
      </c>
      <c r="E146" s="20" t="s">
        <v>140</v>
      </c>
      <c r="F146" s="15" t="s">
        <v>161</v>
      </c>
    </row>
    <row r="147" spans="1:6" x14ac:dyDescent="0.15">
      <c r="A147" s="4">
        <v>840006</v>
      </c>
      <c r="B147" s="4">
        <v>84</v>
      </c>
      <c r="C147" s="4">
        <v>6</v>
      </c>
      <c r="D147" s="10" t="s">
        <v>157</v>
      </c>
      <c r="E147" s="20" t="s">
        <v>141</v>
      </c>
      <c r="F147" s="4" t="s">
        <v>28</v>
      </c>
    </row>
    <row r="148" spans="1:6" x14ac:dyDescent="0.15">
      <c r="A148" s="4">
        <v>840008</v>
      </c>
      <c r="B148" s="4">
        <v>84</v>
      </c>
      <c r="C148" s="4">
        <v>8</v>
      </c>
      <c r="D148" s="10" t="s">
        <v>158</v>
      </c>
      <c r="E148" s="20" t="s">
        <v>142</v>
      </c>
      <c r="F148" s="4" t="s">
        <v>29</v>
      </c>
    </row>
    <row r="149" spans="1:6" x14ac:dyDescent="0.15">
      <c r="A149" s="6">
        <v>910002</v>
      </c>
      <c r="B149" s="6">
        <v>91</v>
      </c>
      <c r="C149" s="6">
        <v>2</v>
      </c>
      <c r="D149" s="7" t="s">
        <v>143</v>
      </c>
      <c r="E149" s="17" t="s">
        <v>139</v>
      </c>
      <c r="F149" s="6" t="s">
        <v>15</v>
      </c>
    </row>
    <row r="150" spans="1:6" x14ac:dyDescent="0.15">
      <c r="A150" s="6">
        <v>910004</v>
      </c>
      <c r="B150" s="6">
        <v>91</v>
      </c>
      <c r="C150" s="6">
        <v>4</v>
      </c>
      <c r="D150" s="7" t="s">
        <v>144</v>
      </c>
      <c r="E150" s="17" t="s">
        <v>140</v>
      </c>
      <c r="F150" s="13" t="s">
        <v>159</v>
      </c>
    </row>
    <row r="151" spans="1:6" x14ac:dyDescent="0.15">
      <c r="A151" s="6">
        <v>910006</v>
      </c>
      <c r="B151" s="6">
        <v>91</v>
      </c>
      <c r="C151" s="6">
        <v>6</v>
      </c>
      <c r="D151" s="7" t="s">
        <v>145</v>
      </c>
      <c r="E151" s="17" t="s">
        <v>141</v>
      </c>
      <c r="F151" s="6" t="s">
        <v>17</v>
      </c>
    </row>
    <row r="152" spans="1:6" x14ac:dyDescent="0.15">
      <c r="A152" s="6">
        <v>910008</v>
      </c>
      <c r="B152" s="6">
        <v>91</v>
      </c>
      <c r="C152" s="6">
        <v>8</v>
      </c>
      <c r="D152" s="7" t="s">
        <v>146</v>
      </c>
      <c r="E152" s="17" t="s">
        <v>142</v>
      </c>
      <c r="F152" s="6" t="s">
        <v>18</v>
      </c>
    </row>
    <row r="153" spans="1:6" x14ac:dyDescent="0.15">
      <c r="A153" s="2">
        <v>920002</v>
      </c>
      <c r="B153" s="2">
        <v>92</v>
      </c>
      <c r="C153" s="2">
        <v>2</v>
      </c>
      <c r="D153" s="8" t="s">
        <v>147</v>
      </c>
      <c r="E153" s="18" t="s">
        <v>139</v>
      </c>
      <c r="F153" s="2" t="s">
        <v>19</v>
      </c>
    </row>
    <row r="154" spans="1:6" x14ac:dyDescent="0.15">
      <c r="A154" s="2">
        <v>920004</v>
      </c>
      <c r="B154" s="2">
        <v>92</v>
      </c>
      <c r="C154" s="2">
        <v>4</v>
      </c>
      <c r="D154" s="8" t="s">
        <v>148</v>
      </c>
      <c r="E154" s="18" t="s">
        <v>140</v>
      </c>
      <c r="F154" s="2" t="s">
        <v>20</v>
      </c>
    </row>
    <row r="155" spans="1:6" x14ac:dyDescent="0.15">
      <c r="A155" s="2">
        <v>920006</v>
      </c>
      <c r="B155" s="2">
        <v>92</v>
      </c>
      <c r="C155" s="2">
        <v>6</v>
      </c>
      <c r="D155" s="8" t="s">
        <v>149</v>
      </c>
      <c r="E155" s="18" t="s">
        <v>141</v>
      </c>
      <c r="F155" s="2" t="s">
        <v>21</v>
      </c>
    </row>
    <row r="156" spans="1:6" x14ac:dyDescent="0.15">
      <c r="A156" s="2">
        <v>920008</v>
      </c>
      <c r="B156" s="2">
        <v>92</v>
      </c>
      <c r="C156" s="2">
        <v>8</v>
      </c>
      <c r="D156" s="8" t="s">
        <v>150</v>
      </c>
      <c r="E156" s="18" t="s">
        <v>142</v>
      </c>
      <c r="F156" s="2" t="s">
        <v>22</v>
      </c>
    </row>
    <row r="157" spans="1:6" x14ac:dyDescent="0.15">
      <c r="A157" s="3">
        <v>930002</v>
      </c>
      <c r="B157" s="3">
        <v>93</v>
      </c>
      <c r="C157" s="3">
        <v>2</v>
      </c>
      <c r="D157" s="9" t="s">
        <v>151</v>
      </c>
      <c r="E157" s="19" t="s">
        <v>139</v>
      </c>
      <c r="F157" s="3" t="s">
        <v>23</v>
      </c>
    </row>
    <row r="158" spans="1:6" x14ac:dyDescent="0.15">
      <c r="A158" s="3">
        <v>930004</v>
      </c>
      <c r="B158" s="3">
        <v>93</v>
      </c>
      <c r="C158" s="3">
        <v>4</v>
      </c>
      <c r="D158" s="9" t="s">
        <v>152</v>
      </c>
      <c r="E158" s="19" t="s">
        <v>140</v>
      </c>
      <c r="F158" s="14" t="s">
        <v>160</v>
      </c>
    </row>
    <row r="159" spans="1:6" x14ac:dyDescent="0.15">
      <c r="A159" s="3">
        <v>930006</v>
      </c>
      <c r="B159" s="3">
        <v>93</v>
      </c>
      <c r="C159" s="3">
        <v>6</v>
      </c>
      <c r="D159" s="9" t="s">
        <v>153</v>
      </c>
      <c r="E159" s="19" t="s">
        <v>141</v>
      </c>
      <c r="F159" s="3" t="s">
        <v>25</v>
      </c>
    </row>
    <row r="160" spans="1:6" x14ac:dyDescent="0.15">
      <c r="A160" s="3">
        <v>930008</v>
      </c>
      <c r="B160" s="3">
        <v>93</v>
      </c>
      <c r="C160" s="3">
        <v>8</v>
      </c>
      <c r="D160" s="9" t="s">
        <v>154</v>
      </c>
      <c r="E160" s="19" t="s">
        <v>142</v>
      </c>
      <c r="F160" s="3" t="s">
        <v>26</v>
      </c>
    </row>
    <row r="161" spans="1:6" x14ac:dyDescent="0.15">
      <c r="A161" s="4">
        <v>940002</v>
      </c>
      <c r="B161" s="4">
        <v>94</v>
      </c>
      <c r="C161" s="4">
        <v>2</v>
      </c>
      <c r="D161" s="10" t="s">
        <v>155</v>
      </c>
      <c r="E161" s="20" t="s">
        <v>139</v>
      </c>
      <c r="F161" s="4" t="s">
        <v>27</v>
      </c>
    </row>
    <row r="162" spans="1:6" x14ac:dyDescent="0.15">
      <c r="A162" s="4">
        <v>940004</v>
      </c>
      <c r="B162" s="4">
        <v>94</v>
      </c>
      <c r="C162" s="4">
        <v>4</v>
      </c>
      <c r="D162" s="10" t="s">
        <v>156</v>
      </c>
      <c r="E162" s="20" t="s">
        <v>140</v>
      </c>
      <c r="F162" s="15" t="s">
        <v>161</v>
      </c>
    </row>
    <row r="163" spans="1:6" x14ac:dyDescent="0.15">
      <c r="A163" s="4">
        <v>940006</v>
      </c>
      <c r="B163" s="4">
        <v>94</v>
      </c>
      <c r="C163" s="4">
        <v>6</v>
      </c>
      <c r="D163" s="10" t="s">
        <v>157</v>
      </c>
      <c r="E163" s="20" t="s">
        <v>141</v>
      </c>
      <c r="F163" s="4" t="s">
        <v>28</v>
      </c>
    </row>
    <row r="164" spans="1:6" x14ac:dyDescent="0.15">
      <c r="A164" s="4">
        <v>940008</v>
      </c>
      <c r="B164" s="4">
        <v>94</v>
      </c>
      <c r="C164" s="4">
        <v>8</v>
      </c>
      <c r="D164" s="10" t="s">
        <v>158</v>
      </c>
      <c r="E164" s="20" t="s">
        <v>142</v>
      </c>
      <c r="F164" s="4" t="s">
        <v>29</v>
      </c>
    </row>
    <row r="165" spans="1:6" x14ac:dyDescent="0.15">
      <c r="A165" s="6">
        <v>1010002</v>
      </c>
      <c r="B165" s="6">
        <v>101</v>
      </c>
      <c r="C165" s="6">
        <v>2</v>
      </c>
      <c r="D165" s="7" t="s">
        <v>143</v>
      </c>
      <c r="E165" s="17" t="s">
        <v>139</v>
      </c>
      <c r="F165" s="6" t="s">
        <v>15</v>
      </c>
    </row>
    <row r="166" spans="1:6" x14ac:dyDescent="0.15">
      <c r="A166" s="6">
        <v>1010004</v>
      </c>
      <c r="B166" s="6">
        <v>101</v>
      </c>
      <c r="C166" s="6">
        <v>4</v>
      </c>
      <c r="D166" s="7" t="s">
        <v>144</v>
      </c>
      <c r="E166" s="17" t="s">
        <v>140</v>
      </c>
      <c r="F166" s="13" t="s">
        <v>159</v>
      </c>
    </row>
    <row r="167" spans="1:6" x14ac:dyDescent="0.15">
      <c r="A167" s="6">
        <v>1010006</v>
      </c>
      <c r="B167" s="6">
        <v>101</v>
      </c>
      <c r="C167" s="6">
        <v>6</v>
      </c>
      <c r="D167" s="7" t="s">
        <v>145</v>
      </c>
      <c r="E167" s="17" t="s">
        <v>141</v>
      </c>
      <c r="F167" s="6" t="s">
        <v>17</v>
      </c>
    </row>
    <row r="168" spans="1:6" x14ac:dyDescent="0.15">
      <c r="A168" s="6">
        <v>1010008</v>
      </c>
      <c r="B168" s="6">
        <v>101</v>
      </c>
      <c r="C168" s="6">
        <v>8</v>
      </c>
      <c r="D168" s="7" t="s">
        <v>146</v>
      </c>
      <c r="E168" s="17" t="s">
        <v>142</v>
      </c>
      <c r="F168" s="6" t="s">
        <v>18</v>
      </c>
    </row>
    <row r="169" spans="1:6" x14ac:dyDescent="0.15">
      <c r="A169" s="2">
        <v>1020002</v>
      </c>
      <c r="B169" s="2">
        <v>102</v>
      </c>
      <c r="C169" s="2">
        <v>2</v>
      </c>
      <c r="D169" s="8" t="s">
        <v>147</v>
      </c>
      <c r="E169" s="18" t="s">
        <v>139</v>
      </c>
      <c r="F169" s="2" t="s">
        <v>19</v>
      </c>
    </row>
    <row r="170" spans="1:6" x14ac:dyDescent="0.15">
      <c r="A170" s="2">
        <v>1020004</v>
      </c>
      <c r="B170" s="2">
        <v>102</v>
      </c>
      <c r="C170" s="2">
        <v>4</v>
      </c>
      <c r="D170" s="8" t="s">
        <v>148</v>
      </c>
      <c r="E170" s="18" t="s">
        <v>140</v>
      </c>
      <c r="F170" s="2" t="s">
        <v>20</v>
      </c>
    </row>
    <row r="171" spans="1:6" x14ac:dyDescent="0.15">
      <c r="A171" s="2">
        <v>1020006</v>
      </c>
      <c r="B171" s="2">
        <v>102</v>
      </c>
      <c r="C171" s="2">
        <v>6</v>
      </c>
      <c r="D171" s="8" t="s">
        <v>149</v>
      </c>
      <c r="E171" s="18" t="s">
        <v>141</v>
      </c>
      <c r="F171" s="2" t="s">
        <v>21</v>
      </c>
    </row>
    <row r="172" spans="1:6" x14ac:dyDescent="0.15">
      <c r="A172" s="2">
        <v>1020008</v>
      </c>
      <c r="B172" s="2">
        <v>102</v>
      </c>
      <c r="C172" s="2">
        <v>8</v>
      </c>
      <c r="D172" s="8" t="s">
        <v>150</v>
      </c>
      <c r="E172" s="18" t="s">
        <v>142</v>
      </c>
      <c r="F172" s="2" t="s">
        <v>22</v>
      </c>
    </row>
    <row r="173" spans="1:6" x14ac:dyDescent="0.15">
      <c r="A173" s="3">
        <v>1030002</v>
      </c>
      <c r="B173" s="3">
        <v>103</v>
      </c>
      <c r="C173" s="3">
        <v>2</v>
      </c>
      <c r="D173" s="9" t="s">
        <v>151</v>
      </c>
      <c r="E173" s="19" t="s">
        <v>139</v>
      </c>
      <c r="F173" s="3" t="s">
        <v>23</v>
      </c>
    </row>
    <row r="174" spans="1:6" x14ac:dyDescent="0.15">
      <c r="A174" s="3">
        <v>1030004</v>
      </c>
      <c r="B174" s="3">
        <v>103</v>
      </c>
      <c r="C174" s="3">
        <v>4</v>
      </c>
      <c r="D174" s="9" t="s">
        <v>152</v>
      </c>
      <c r="E174" s="19" t="s">
        <v>140</v>
      </c>
      <c r="F174" s="14" t="s">
        <v>160</v>
      </c>
    </row>
    <row r="175" spans="1:6" x14ac:dyDescent="0.15">
      <c r="A175" s="3">
        <v>1030006</v>
      </c>
      <c r="B175" s="3">
        <v>103</v>
      </c>
      <c r="C175" s="3">
        <v>6</v>
      </c>
      <c r="D175" s="9" t="s">
        <v>153</v>
      </c>
      <c r="E175" s="19" t="s">
        <v>141</v>
      </c>
      <c r="F175" s="3" t="s">
        <v>25</v>
      </c>
    </row>
    <row r="176" spans="1:6" x14ac:dyDescent="0.15">
      <c r="A176" s="3">
        <v>1030008</v>
      </c>
      <c r="B176" s="3">
        <v>103</v>
      </c>
      <c r="C176" s="3">
        <v>8</v>
      </c>
      <c r="D176" s="9" t="s">
        <v>154</v>
      </c>
      <c r="E176" s="19" t="s">
        <v>142</v>
      </c>
      <c r="F176" s="3" t="s">
        <v>26</v>
      </c>
    </row>
    <row r="177" spans="1:6" x14ac:dyDescent="0.15">
      <c r="A177" s="4">
        <v>1040002</v>
      </c>
      <c r="B177" s="4">
        <v>104</v>
      </c>
      <c r="C177" s="4">
        <v>2</v>
      </c>
      <c r="D177" s="10" t="s">
        <v>155</v>
      </c>
      <c r="E177" s="20" t="s">
        <v>139</v>
      </c>
      <c r="F177" s="4" t="s">
        <v>27</v>
      </c>
    </row>
    <row r="178" spans="1:6" x14ac:dyDescent="0.15">
      <c r="A178" s="4">
        <v>1040004</v>
      </c>
      <c r="B178" s="4">
        <v>104</v>
      </c>
      <c r="C178" s="4">
        <v>4</v>
      </c>
      <c r="D178" s="10" t="s">
        <v>156</v>
      </c>
      <c r="E178" s="20" t="s">
        <v>140</v>
      </c>
      <c r="F178" s="15" t="s">
        <v>161</v>
      </c>
    </row>
    <row r="179" spans="1:6" x14ac:dyDescent="0.15">
      <c r="A179" s="4">
        <v>1040006</v>
      </c>
      <c r="B179" s="4">
        <v>104</v>
      </c>
      <c r="C179" s="4">
        <v>6</v>
      </c>
      <c r="D179" s="10" t="s">
        <v>157</v>
      </c>
      <c r="E179" s="20" t="s">
        <v>141</v>
      </c>
      <c r="F179" s="4" t="s">
        <v>28</v>
      </c>
    </row>
    <row r="180" spans="1:6" x14ac:dyDescent="0.15">
      <c r="A180" s="4">
        <v>1040008</v>
      </c>
      <c r="B180" s="4">
        <v>104</v>
      </c>
      <c r="C180" s="4">
        <v>8</v>
      </c>
      <c r="D180" s="10" t="s">
        <v>158</v>
      </c>
      <c r="E180" s="20" t="s">
        <v>142</v>
      </c>
      <c r="F180" s="4" t="s">
        <v>29</v>
      </c>
    </row>
    <row r="181" spans="1:6" x14ac:dyDescent="0.15">
      <c r="A181" s="6">
        <v>1110002</v>
      </c>
      <c r="B181" s="6">
        <v>111</v>
      </c>
      <c r="C181" s="6">
        <v>2</v>
      </c>
      <c r="D181" s="7" t="s">
        <v>143</v>
      </c>
      <c r="E181" s="17" t="s">
        <v>139</v>
      </c>
      <c r="F181" s="6" t="s">
        <v>15</v>
      </c>
    </row>
    <row r="182" spans="1:6" x14ac:dyDescent="0.15">
      <c r="A182" s="6">
        <v>1110004</v>
      </c>
      <c r="B182" s="6">
        <v>111</v>
      </c>
      <c r="C182" s="6">
        <v>4</v>
      </c>
      <c r="D182" s="7" t="s">
        <v>144</v>
      </c>
      <c r="E182" s="17" t="s">
        <v>140</v>
      </c>
      <c r="F182" s="13" t="s">
        <v>159</v>
      </c>
    </row>
    <row r="183" spans="1:6" x14ac:dyDescent="0.15">
      <c r="A183" s="6">
        <v>1110006</v>
      </c>
      <c r="B183" s="6">
        <v>111</v>
      </c>
      <c r="C183" s="6">
        <v>6</v>
      </c>
      <c r="D183" s="7" t="s">
        <v>145</v>
      </c>
      <c r="E183" s="17" t="s">
        <v>141</v>
      </c>
      <c r="F183" s="6" t="s">
        <v>17</v>
      </c>
    </row>
    <row r="184" spans="1:6" x14ac:dyDescent="0.15">
      <c r="A184" s="6">
        <v>1110008</v>
      </c>
      <c r="B184" s="6">
        <v>111</v>
      </c>
      <c r="C184" s="6">
        <v>8</v>
      </c>
      <c r="D184" s="7" t="s">
        <v>146</v>
      </c>
      <c r="E184" s="17" t="s">
        <v>142</v>
      </c>
      <c r="F184" s="6" t="s">
        <v>18</v>
      </c>
    </row>
    <row r="185" spans="1:6" x14ac:dyDescent="0.15">
      <c r="A185" s="2">
        <v>1120002</v>
      </c>
      <c r="B185" s="2">
        <v>112</v>
      </c>
      <c r="C185" s="2">
        <v>2</v>
      </c>
      <c r="D185" s="8" t="s">
        <v>147</v>
      </c>
      <c r="E185" s="18" t="s">
        <v>139</v>
      </c>
      <c r="F185" s="2" t="s">
        <v>19</v>
      </c>
    </row>
    <row r="186" spans="1:6" x14ac:dyDescent="0.15">
      <c r="A186" s="2">
        <v>1120004</v>
      </c>
      <c r="B186" s="2">
        <v>112</v>
      </c>
      <c r="C186" s="2">
        <v>4</v>
      </c>
      <c r="D186" s="8" t="s">
        <v>148</v>
      </c>
      <c r="E186" s="18" t="s">
        <v>140</v>
      </c>
      <c r="F186" s="2" t="s">
        <v>20</v>
      </c>
    </row>
    <row r="187" spans="1:6" x14ac:dyDescent="0.15">
      <c r="A187" s="2">
        <v>1120006</v>
      </c>
      <c r="B187" s="2">
        <v>112</v>
      </c>
      <c r="C187" s="2">
        <v>6</v>
      </c>
      <c r="D187" s="8" t="s">
        <v>149</v>
      </c>
      <c r="E187" s="18" t="s">
        <v>141</v>
      </c>
      <c r="F187" s="2" t="s">
        <v>21</v>
      </c>
    </row>
    <row r="188" spans="1:6" x14ac:dyDescent="0.15">
      <c r="A188" s="2">
        <v>1120008</v>
      </c>
      <c r="B188" s="2">
        <v>112</v>
      </c>
      <c r="C188" s="2">
        <v>8</v>
      </c>
      <c r="D188" s="8" t="s">
        <v>150</v>
      </c>
      <c r="E188" s="18" t="s">
        <v>142</v>
      </c>
      <c r="F188" s="2" t="s">
        <v>22</v>
      </c>
    </row>
    <row r="189" spans="1:6" x14ac:dyDescent="0.15">
      <c r="A189" s="3">
        <v>1130002</v>
      </c>
      <c r="B189" s="3">
        <v>113</v>
      </c>
      <c r="C189" s="3">
        <v>2</v>
      </c>
      <c r="D189" s="9" t="s">
        <v>151</v>
      </c>
      <c r="E189" s="19" t="s">
        <v>139</v>
      </c>
      <c r="F189" s="3" t="s">
        <v>23</v>
      </c>
    </row>
    <row r="190" spans="1:6" x14ac:dyDescent="0.15">
      <c r="A190" s="3">
        <v>1130004</v>
      </c>
      <c r="B190" s="3">
        <v>113</v>
      </c>
      <c r="C190" s="3">
        <v>4</v>
      </c>
      <c r="D190" s="9" t="s">
        <v>152</v>
      </c>
      <c r="E190" s="19" t="s">
        <v>140</v>
      </c>
      <c r="F190" s="14" t="s">
        <v>160</v>
      </c>
    </row>
    <row r="191" spans="1:6" x14ac:dyDescent="0.15">
      <c r="A191" s="3">
        <v>1130006</v>
      </c>
      <c r="B191" s="3">
        <v>113</v>
      </c>
      <c r="C191" s="3">
        <v>6</v>
      </c>
      <c r="D191" s="9" t="s">
        <v>153</v>
      </c>
      <c r="E191" s="19" t="s">
        <v>141</v>
      </c>
      <c r="F191" s="3" t="s">
        <v>25</v>
      </c>
    </row>
    <row r="192" spans="1:6" x14ac:dyDescent="0.15">
      <c r="A192" s="3">
        <v>1130008</v>
      </c>
      <c r="B192" s="3">
        <v>113</v>
      </c>
      <c r="C192" s="3">
        <v>8</v>
      </c>
      <c r="D192" s="9" t="s">
        <v>154</v>
      </c>
      <c r="E192" s="19" t="s">
        <v>142</v>
      </c>
      <c r="F192" s="3" t="s">
        <v>26</v>
      </c>
    </row>
    <row r="193" spans="1:6" x14ac:dyDescent="0.15">
      <c r="A193" s="4">
        <v>1140002</v>
      </c>
      <c r="B193" s="4">
        <v>114</v>
      </c>
      <c r="C193" s="4">
        <v>2</v>
      </c>
      <c r="D193" s="10" t="s">
        <v>155</v>
      </c>
      <c r="E193" s="20" t="s">
        <v>139</v>
      </c>
      <c r="F193" s="4" t="s">
        <v>27</v>
      </c>
    </row>
    <row r="194" spans="1:6" x14ac:dyDescent="0.15">
      <c r="A194" s="4">
        <v>1140004</v>
      </c>
      <c r="B194" s="4">
        <v>114</v>
      </c>
      <c r="C194" s="4">
        <v>4</v>
      </c>
      <c r="D194" s="10" t="s">
        <v>156</v>
      </c>
      <c r="E194" s="20" t="s">
        <v>140</v>
      </c>
      <c r="F194" s="15" t="s">
        <v>161</v>
      </c>
    </row>
    <row r="195" spans="1:6" x14ac:dyDescent="0.15">
      <c r="A195" s="4">
        <v>1140006</v>
      </c>
      <c r="B195" s="4">
        <v>114</v>
      </c>
      <c r="C195" s="4">
        <v>6</v>
      </c>
      <c r="D195" s="10" t="s">
        <v>157</v>
      </c>
      <c r="E195" s="20" t="s">
        <v>141</v>
      </c>
      <c r="F195" s="4" t="s">
        <v>28</v>
      </c>
    </row>
    <row r="196" spans="1:6" x14ac:dyDescent="0.15">
      <c r="A196" s="4">
        <v>1140008</v>
      </c>
      <c r="B196" s="4">
        <v>114</v>
      </c>
      <c r="C196" s="4">
        <v>8</v>
      </c>
      <c r="D196" s="10" t="s">
        <v>158</v>
      </c>
      <c r="E196" s="20" t="s">
        <v>142</v>
      </c>
      <c r="F196" s="4" t="s">
        <v>29</v>
      </c>
    </row>
    <row r="197" spans="1:6" x14ac:dyDescent="0.15">
      <c r="A197" s="6">
        <v>1210002</v>
      </c>
      <c r="B197" s="6">
        <v>121</v>
      </c>
      <c r="C197" s="6">
        <v>2</v>
      </c>
      <c r="D197" s="7" t="s">
        <v>143</v>
      </c>
      <c r="E197" s="17" t="s">
        <v>139</v>
      </c>
      <c r="F197" s="6" t="s">
        <v>15</v>
      </c>
    </row>
    <row r="198" spans="1:6" x14ac:dyDescent="0.15">
      <c r="A198" s="6">
        <v>1210004</v>
      </c>
      <c r="B198" s="6">
        <v>121</v>
      </c>
      <c r="C198" s="6">
        <v>4</v>
      </c>
      <c r="D198" s="7" t="s">
        <v>144</v>
      </c>
      <c r="E198" s="17" t="s">
        <v>140</v>
      </c>
      <c r="F198" s="13" t="s">
        <v>159</v>
      </c>
    </row>
    <row r="199" spans="1:6" x14ac:dyDescent="0.15">
      <c r="A199" s="6">
        <v>1210006</v>
      </c>
      <c r="B199" s="6">
        <v>121</v>
      </c>
      <c r="C199" s="6">
        <v>6</v>
      </c>
      <c r="D199" s="7" t="s">
        <v>145</v>
      </c>
      <c r="E199" s="17" t="s">
        <v>141</v>
      </c>
      <c r="F199" s="6" t="s">
        <v>17</v>
      </c>
    </row>
    <row r="200" spans="1:6" x14ac:dyDescent="0.15">
      <c r="A200" s="6">
        <v>1210008</v>
      </c>
      <c r="B200" s="6">
        <v>121</v>
      </c>
      <c r="C200" s="6">
        <v>8</v>
      </c>
      <c r="D200" s="7" t="s">
        <v>146</v>
      </c>
      <c r="E200" s="17" t="s">
        <v>142</v>
      </c>
      <c r="F200" s="6" t="s">
        <v>18</v>
      </c>
    </row>
    <row r="201" spans="1:6" x14ac:dyDescent="0.15">
      <c r="A201" s="2">
        <v>1220002</v>
      </c>
      <c r="B201" s="2">
        <v>122</v>
      </c>
      <c r="C201" s="2">
        <v>2</v>
      </c>
      <c r="D201" s="8" t="s">
        <v>147</v>
      </c>
      <c r="E201" s="18" t="s">
        <v>139</v>
      </c>
      <c r="F201" s="2" t="s">
        <v>19</v>
      </c>
    </row>
    <row r="202" spans="1:6" x14ac:dyDescent="0.15">
      <c r="A202" s="2">
        <v>1220004</v>
      </c>
      <c r="B202" s="2">
        <v>122</v>
      </c>
      <c r="C202" s="2">
        <v>4</v>
      </c>
      <c r="D202" s="8" t="s">
        <v>148</v>
      </c>
      <c r="E202" s="18" t="s">
        <v>140</v>
      </c>
      <c r="F202" s="2" t="s">
        <v>20</v>
      </c>
    </row>
    <row r="203" spans="1:6" x14ac:dyDescent="0.15">
      <c r="A203" s="2">
        <v>1220006</v>
      </c>
      <c r="B203" s="2">
        <v>122</v>
      </c>
      <c r="C203" s="2">
        <v>6</v>
      </c>
      <c r="D203" s="8" t="s">
        <v>149</v>
      </c>
      <c r="E203" s="18" t="s">
        <v>141</v>
      </c>
      <c r="F203" s="2" t="s">
        <v>21</v>
      </c>
    </row>
    <row r="204" spans="1:6" x14ac:dyDescent="0.15">
      <c r="A204" s="2">
        <v>1220008</v>
      </c>
      <c r="B204" s="2">
        <v>122</v>
      </c>
      <c r="C204" s="2">
        <v>8</v>
      </c>
      <c r="D204" s="8" t="s">
        <v>150</v>
      </c>
      <c r="E204" s="18" t="s">
        <v>142</v>
      </c>
      <c r="F204" s="2" t="s">
        <v>22</v>
      </c>
    </row>
    <row r="205" spans="1:6" x14ac:dyDescent="0.15">
      <c r="A205" s="3">
        <v>1230002</v>
      </c>
      <c r="B205" s="3">
        <v>123</v>
      </c>
      <c r="C205" s="3">
        <v>2</v>
      </c>
      <c r="D205" s="9" t="s">
        <v>151</v>
      </c>
      <c r="E205" s="19" t="s">
        <v>139</v>
      </c>
      <c r="F205" s="3" t="s">
        <v>23</v>
      </c>
    </row>
    <row r="206" spans="1:6" x14ac:dyDescent="0.15">
      <c r="A206" s="3">
        <v>1230004</v>
      </c>
      <c r="B206" s="3">
        <v>123</v>
      </c>
      <c r="C206" s="3">
        <v>4</v>
      </c>
      <c r="D206" s="9" t="s">
        <v>152</v>
      </c>
      <c r="E206" s="19" t="s">
        <v>140</v>
      </c>
      <c r="F206" s="14" t="s">
        <v>160</v>
      </c>
    </row>
    <row r="207" spans="1:6" x14ac:dyDescent="0.15">
      <c r="A207" s="3">
        <v>1230006</v>
      </c>
      <c r="B207" s="3">
        <v>123</v>
      </c>
      <c r="C207" s="3">
        <v>6</v>
      </c>
      <c r="D207" s="9" t="s">
        <v>153</v>
      </c>
      <c r="E207" s="19" t="s">
        <v>141</v>
      </c>
      <c r="F207" s="3" t="s">
        <v>25</v>
      </c>
    </row>
    <row r="208" spans="1:6" x14ac:dyDescent="0.15">
      <c r="A208" s="3">
        <v>1230008</v>
      </c>
      <c r="B208" s="3">
        <v>123</v>
      </c>
      <c r="C208" s="3">
        <v>8</v>
      </c>
      <c r="D208" s="9" t="s">
        <v>154</v>
      </c>
      <c r="E208" s="19" t="s">
        <v>142</v>
      </c>
      <c r="F208" s="3" t="s">
        <v>26</v>
      </c>
    </row>
    <row r="209" spans="1:6" x14ac:dyDescent="0.15">
      <c r="A209" s="4">
        <v>1240002</v>
      </c>
      <c r="B209" s="4">
        <v>124</v>
      </c>
      <c r="C209" s="4">
        <v>2</v>
      </c>
      <c r="D209" s="10" t="s">
        <v>155</v>
      </c>
      <c r="E209" s="20" t="s">
        <v>139</v>
      </c>
      <c r="F209" s="4" t="s">
        <v>27</v>
      </c>
    </row>
    <row r="210" spans="1:6" x14ac:dyDescent="0.15">
      <c r="A210" s="4">
        <v>1240004</v>
      </c>
      <c r="B210" s="4">
        <v>124</v>
      </c>
      <c r="C210" s="4">
        <v>4</v>
      </c>
      <c r="D210" s="10" t="s">
        <v>156</v>
      </c>
      <c r="E210" s="20" t="s">
        <v>140</v>
      </c>
      <c r="F210" s="15" t="s">
        <v>161</v>
      </c>
    </row>
    <row r="211" spans="1:6" x14ac:dyDescent="0.15">
      <c r="A211" s="4">
        <v>1240006</v>
      </c>
      <c r="B211" s="4">
        <v>124</v>
      </c>
      <c r="C211" s="4">
        <v>6</v>
      </c>
      <c r="D211" s="10" t="s">
        <v>157</v>
      </c>
      <c r="E211" s="20" t="s">
        <v>141</v>
      </c>
      <c r="F211" s="4" t="s">
        <v>28</v>
      </c>
    </row>
    <row r="212" spans="1:6" x14ac:dyDescent="0.15">
      <c r="A212" s="4">
        <v>1240008</v>
      </c>
      <c r="B212" s="4">
        <v>124</v>
      </c>
      <c r="C212" s="4">
        <v>8</v>
      </c>
      <c r="D212" s="10" t="s">
        <v>158</v>
      </c>
      <c r="E212" s="20" t="s">
        <v>142</v>
      </c>
      <c r="F212" s="4" t="s">
        <v>29</v>
      </c>
    </row>
    <row r="213" spans="1:6" x14ac:dyDescent="0.15">
      <c r="A213" s="6">
        <v>1310002</v>
      </c>
      <c r="B213" s="6">
        <v>131</v>
      </c>
      <c r="C213" s="6">
        <v>2</v>
      </c>
      <c r="D213" s="7" t="s">
        <v>143</v>
      </c>
      <c r="E213" s="17" t="s">
        <v>139</v>
      </c>
      <c r="F213" s="6" t="s">
        <v>15</v>
      </c>
    </row>
    <row r="214" spans="1:6" x14ac:dyDescent="0.15">
      <c r="A214" s="6">
        <v>1310004</v>
      </c>
      <c r="B214" s="6">
        <v>131</v>
      </c>
      <c r="C214" s="6">
        <v>4</v>
      </c>
      <c r="D214" s="7" t="s">
        <v>144</v>
      </c>
      <c r="E214" s="17" t="s">
        <v>140</v>
      </c>
      <c r="F214" s="13" t="s">
        <v>159</v>
      </c>
    </row>
    <row r="215" spans="1:6" x14ac:dyDescent="0.15">
      <c r="A215" s="6">
        <v>1310006</v>
      </c>
      <c r="B215" s="6">
        <v>131</v>
      </c>
      <c r="C215" s="6">
        <v>6</v>
      </c>
      <c r="D215" s="7" t="s">
        <v>145</v>
      </c>
      <c r="E215" s="17" t="s">
        <v>141</v>
      </c>
      <c r="F215" s="6" t="s">
        <v>17</v>
      </c>
    </row>
    <row r="216" spans="1:6" x14ac:dyDescent="0.15">
      <c r="A216" s="6">
        <v>1310008</v>
      </c>
      <c r="B216" s="6">
        <v>131</v>
      </c>
      <c r="C216" s="6">
        <v>8</v>
      </c>
      <c r="D216" s="7" t="s">
        <v>146</v>
      </c>
      <c r="E216" s="17" t="s">
        <v>142</v>
      </c>
      <c r="F216" s="6" t="s">
        <v>18</v>
      </c>
    </row>
    <row r="217" spans="1:6" x14ac:dyDescent="0.15">
      <c r="A217" s="2">
        <v>1320002</v>
      </c>
      <c r="B217" s="2">
        <v>132</v>
      </c>
      <c r="C217" s="2">
        <v>2</v>
      </c>
      <c r="D217" s="8" t="s">
        <v>147</v>
      </c>
      <c r="E217" s="18" t="s">
        <v>139</v>
      </c>
      <c r="F217" s="2" t="s">
        <v>19</v>
      </c>
    </row>
    <row r="218" spans="1:6" x14ac:dyDescent="0.15">
      <c r="A218" s="2">
        <v>1320004</v>
      </c>
      <c r="B218" s="2">
        <v>132</v>
      </c>
      <c r="C218" s="2">
        <v>4</v>
      </c>
      <c r="D218" s="8" t="s">
        <v>148</v>
      </c>
      <c r="E218" s="18" t="s">
        <v>140</v>
      </c>
      <c r="F218" s="2" t="s">
        <v>20</v>
      </c>
    </row>
    <row r="219" spans="1:6" x14ac:dyDescent="0.15">
      <c r="A219" s="2">
        <v>1320006</v>
      </c>
      <c r="B219" s="2">
        <v>132</v>
      </c>
      <c r="C219" s="2">
        <v>6</v>
      </c>
      <c r="D219" s="8" t="s">
        <v>149</v>
      </c>
      <c r="E219" s="18" t="s">
        <v>141</v>
      </c>
      <c r="F219" s="2" t="s">
        <v>21</v>
      </c>
    </row>
    <row r="220" spans="1:6" x14ac:dyDescent="0.15">
      <c r="A220" s="2">
        <v>1320008</v>
      </c>
      <c r="B220" s="2">
        <v>132</v>
      </c>
      <c r="C220" s="2">
        <v>8</v>
      </c>
      <c r="D220" s="8" t="s">
        <v>150</v>
      </c>
      <c r="E220" s="18" t="s">
        <v>142</v>
      </c>
      <c r="F220" s="2" t="s">
        <v>22</v>
      </c>
    </row>
    <row r="221" spans="1:6" x14ac:dyDescent="0.15">
      <c r="A221" s="3">
        <v>1330002</v>
      </c>
      <c r="B221" s="3">
        <v>133</v>
      </c>
      <c r="C221" s="3">
        <v>2</v>
      </c>
      <c r="D221" s="9" t="s">
        <v>151</v>
      </c>
      <c r="E221" s="19" t="s">
        <v>139</v>
      </c>
      <c r="F221" s="3" t="s">
        <v>23</v>
      </c>
    </row>
    <row r="222" spans="1:6" x14ac:dyDescent="0.15">
      <c r="A222" s="3">
        <v>1330004</v>
      </c>
      <c r="B222" s="3">
        <v>133</v>
      </c>
      <c r="C222" s="3">
        <v>4</v>
      </c>
      <c r="D222" s="9" t="s">
        <v>152</v>
      </c>
      <c r="E222" s="19" t="s">
        <v>140</v>
      </c>
      <c r="F222" s="14" t="s">
        <v>160</v>
      </c>
    </row>
    <row r="223" spans="1:6" x14ac:dyDescent="0.15">
      <c r="A223" s="3">
        <v>1330006</v>
      </c>
      <c r="B223" s="3">
        <v>133</v>
      </c>
      <c r="C223" s="3">
        <v>6</v>
      </c>
      <c r="D223" s="9" t="s">
        <v>153</v>
      </c>
      <c r="E223" s="19" t="s">
        <v>141</v>
      </c>
      <c r="F223" s="3" t="s">
        <v>25</v>
      </c>
    </row>
    <row r="224" spans="1:6" x14ac:dyDescent="0.15">
      <c r="A224" s="3">
        <v>1330008</v>
      </c>
      <c r="B224" s="3">
        <v>133</v>
      </c>
      <c r="C224" s="3">
        <v>8</v>
      </c>
      <c r="D224" s="9" t="s">
        <v>154</v>
      </c>
      <c r="E224" s="19" t="s">
        <v>142</v>
      </c>
      <c r="F224" s="3" t="s">
        <v>26</v>
      </c>
    </row>
    <row r="225" spans="1:6" x14ac:dyDescent="0.15">
      <c r="A225" s="4">
        <v>1340002</v>
      </c>
      <c r="B225" s="4">
        <v>134</v>
      </c>
      <c r="C225" s="4">
        <v>2</v>
      </c>
      <c r="D225" s="10" t="s">
        <v>155</v>
      </c>
      <c r="E225" s="20" t="s">
        <v>139</v>
      </c>
      <c r="F225" s="4" t="s">
        <v>27</v>
      </c>
    </row>
    <row r="226" spans="1:6" x14ac:dyDescent="0.15">
      <c r="A226" s="4">
        <v>1340004</v>
      </c>
      <c r="B226" s="4">
        <v>134</v>
      </c>
      <c r="C226" s="4">
        <v>4</v>
      </c>
      <c r="D226" s="10" t="s">
        <v>156</v>
      </c>
      <c r="E226" s="20" t="s">
        <v>140</v>
      </c>
      <c r="F226" s="15" t="s">
        <v>161</v>
      </c>
    </row>
    <row r="227" spans="1:6" x14ac:dyDescent="0.15">
      <c r="A227" s="4">
        <v>1340006</v>
      </c>
      <c r="B227" s="4">
        <v>134</v>
      </c>
      <c r="C227" s="4">
        <v>6</v>
      </c>
      <c r="D227" s="10" t="s">
        <v>157</v>
      </c>
      <c r="E227" s="20" t="s">
        <v>141</v>
      </c>
      <c r="F227" s="4" t="s">
        <v>28</v>
      </c>
    </row>
    <row r="228" spans="1:6" x14ac:dyDescent="0.15">
      <c r="A228" s="4">
        <v>1340008</v>
      </c>
      <c r="B228" s="4">
        <v>134</v>
      </c>
      <c r="C228" s="4">
        <v>8</v>
      </c>
      <c r="D228" s="10" t="s">
        <v>158</v>
      </c>
      <c r="E228" s="20" t="s">
        <v>142</v>
      </c>
      <c r="F228" s="4" t="s">
        <v>29</v>
      </c>
    </row>
    <row r="229" spans="1:6" x14ac:dyDescent="0.15">
      <c r="A229" s="6">
        <v>1410002</v>
      </c>
      <c r="B229" s="6">
        <v>141</v>
      </c>
      <c r="C229" s="6">
        <v>2</v>
      </c>
      <c r="D229" s="7" t="s">
        <v>143</v>
      </c>
      <c r="E229" s="17" t="s">
        <v>139</v>
      </c>
      <c r="F229" s="6" t="s">
        <v>15</v>
      </c>
    </row>
    <row r="230" spans="1:6" x14ac:dyDescent="0.15">
      <c r="A230" s="6">
        <v>1410004</v>
      </c>
      <c r="B230" s="6">
        <v>141</v>
      </c>
      <c r="C230" s="6">
        <v>4</v>
      </c>
      <c r="D230" s="7" t="s">
        <v>144</v>
      </c>
      <c r="E230" s="17" t="s">
        <v>140</v>
      </c>
      <c r="F230" s="13" t="s">
        <v>159</v>
      </c>
    </row>
    <row r="231" spans="1:6" x14ac:dyDescent="0.15">
      <c r="A231" s="6">
        <v>1410006</v>
      </c>
      <c r="B231" s="6">
        <v>141</v>
      </c>
      <c r="C231" s="6">
        <v>6</v>
      </c>
      <c r="D231" s="7" t="s">
        <v>145</v>
      </c>
      <c r="E231" s="17" t="s">
        <v>141</v>
      </c>
      <c r="F231" s="6" t="s">
        <v>17</v>
      </c>
    </row>
    <row r="232" spans="1:6" x14ac:dyDescent="0.15">
      <c r="A232" s="6">
        <v>1410008</v>
      </c>
      <c r="B232" s="6">
        <v>141</v>
      </c>
      <c r="C232" s="6">
        <v>8</v>
      </c>
      <c r="D232" s="7" t="s">
        <v>146</v>
      </c>
      <c r="E232" s="17" t="s">
        <v>142</v>
      </c>
      <c r="F232" s="6" t="s">
        <v>18</v>
      </c>
    </row>
    <row r="233" spans="1:6" x14ac:dyDescent="0.15">
      <c r="A233" s="2">
        <v>1420002</v>
      </c>
      <c r="B233" s="2">
        <v>142</v>
      </c>
      <c r="C233" s="2">
        <v>2</v>
      </c>
      <c r="D233" s="8" t="s">
        <v>147</v>
      </c>
      <c r="E233" s="18" t="s">
        <v>139</v>
      </c>
      <c r="F233" s="2" t="s">
        <v>19</v>
      </c>
    </row>
    <row r="234" spans="1:6" x14ac:dyDescent="0.15">
      <c r="A234" s="2">
        <v>1420004</v>
      </c>
      <c r="B234" s="2">
        <v>142</v>
      </c>
      <c r="C234" s="2">
        <v>4</v>
      </c>
      <c r="D234" s="8" t="s">
        <v>148</v>
      </c>
      <c r="E234" s="18" t="s">
        <v>140</v>
      </c>
      <c r="F234" s="2" t="s">
        <v>20</v>
      </c>
    </row>
    <row r="235" spans="1:6" x14ac:dyDescent="0.15">
      <c r="A235" s="2">
        <v>1420006</v>
      </c>
      <c r="B235" s="2">
        <v>142</v>
      </c>
      <c r="C235" s="2">
        <v>6</v>
      </c>
      <c r="D235" s="8" t="s">
        <v>149</v>
      </c>
      <c r="E235" s="18" t="s">
        <v>141</v>
      </c>
      <c r="F235" s="2" t="s">
        <v>21</v>
      </c>
    </row>
    <row r="236" spans="1:6" x14ac:dyDescent="0.15">
      <c r="A236" s="2">
        <v>1420008</v>
      </c>
      <c r="B236" s="2">
        <v>142</v>
      </c>
      <c r="C236" s="2">
        <v>8</v>
      </c>
      <c r="D236" s="8" t="s">
        <v>150</v>
      </c>
      <c r="E236" s="18" t="s">
        <v>142</v>
      </c>
      <c r="F236" s="2" t="s">
        <v>22</v>
      </c>
    </row>
    <row r="237" spans="1:6" x14ac:dyDescent="0.15">
      <c r="A237" s="3">
        <v>1430002</v>
      </c>
      <c r="B237" s="3">
        <v>143</v>
      </c>
      <c r="C237" s="3">
        <v>2</v>
      </c>
      <c r="D237" s="9" t="s">
        <v>151</v>
      </c>
      <c r="E237" s="19" t="s">
        <v>139</v>
      </c>
      <c r="F237" s="3" t="s">
        <v>23</v>
      </c>
    </row>
    <row r="238" spans="1:6" x14ac:dyDescent="0.15">
      <c r="A238" s="3">
        <v>1430004</v>
      </c>
      <c r="B238" s="3">
        <v>143</v>
      </c>
      <c r="C238" s="3">
        <v>4</v>
      </c>
      <c r="D238" s="9" t="s">
        <v>152</v>
      </c>
      <c r="E238" s="19" t="s">
        <v>140</v>
      </c>
      <c r="F238" s="14" t="s">
        <v>160</v>
      </c>
    </row>
    <row r="239" spans="1:6" x14ac:dyDescent="0.15">
      <c r="A239" s="3">
        <v>1430006</v>
      </c>
      <c r="B239" s="3">
        <v>143</v>
      </c>
      <c r="C239" s="3">
        <v>6</v>
      </c>
      <c r="D239" s="9" t="s">
        <v>153</v>
      </c>
      <c r="E239" s="19" t="s">
        <v>141</v>
      </c>
      <c r="F239" s="3" t="s">
        <v>25</v>
      </c>
    </row>
    <row r="240" spans="1:6" x14ac:dyDescent="0.15">
      <c r="A240" s="3">
        <v>1430008</v>
      </c>
      <c r="B240" s="3">
        <v>143</v>
      </c>
      <c r="C240" s="3">
        <v>8</v>
      </c>
      <c r="D240" s="9" t="s">
        <v>154</v>
      </c>
      <c r="E240" s="19" t="s">
        <v>142</v>
      </c>
      <c r="F240" s="3" t="s">
        <v>26</v>
      </c>
    </row>
    <row r="241" spans="1:6" x14ac:dyDescent="0.15">
      <c r="A241" s="4">
        <v>1440002</v>
      </c>
      <c r="B241" s="4">
        <v>144</v>
      </c>
      <c r="C241" s="4">
        <v>2</v>
      </c>
      <c r="D241" s="10" t="s">
        <v>155</v>
      </c>
      <c r="E241" s="20" t="s">
        <v>139</v>
      </c>
      <c r="F241" s="4" t="s">
        <v>27</v>
      </c>
    </row>
    <row r="242" spans="1:6" x14ac:dyDescent="0.15">
      <c r="A242" s="4">
        <v>1440004</v>
      </c>
      <c r="B242" s="4">
        <v>144</v>
      </c>
      <c r="C242" s="4">
        <v>4</v>
      </c>
      <c r="D242" s="10" t="s">
        <v>156</v>
      </c>
      <c r="E242" s="20" t="s">
        <v>140</v>
      </c>
      <c r="F242" s="15" t="s">
        <v>161</v>
      </c>
    </row>
    <row r="243" spans="1:6" x14ac:dyDescent="0.15">
      <c r="A243" s="4">
        <v>1440006</v>
      </c>
      <c r="B243" s="4">
        <v>144</v>
      </c>
      <c r="C243" s="4">
        <v>6</v>
      </c>
      <c r="D243" s="10" t="s">
        <v>157</v>
      </c>
      <c r="E243" s="20" t="s">
        <v>141</v>
      </c>
      <c r="F243" s="4" t="s">
        <v>28</v>
      </c>
    </row>
    <row r="244" spans="1:6" x14ac:dyDescent="0.15">
      <c r="A244" s="4">
        <v>1440008</v>
      </c>
      <c r="B244" s="4">
        <v>144</v>
      </c>
      <c r="C244" s="4">
        <v>8</v>
      </c>
      <c r="D244" s="10" t="s">
        <v>158</v>
      </c>
      <c r="E244" s="20" t="s">
        <v>142</v>
      </c>
      <c r="F244" s="4" t="s">
        <v>29</v>
      </c>
    </row>
    <row r="245" spans="1:6" x14ac:dyDescent="0.15">
      <c r="A245" s="6">
        <v>1510002</v>
      </c>
      <c r="B245" s="6">
        <v>151</v>
      </c>
      <c r="C245" s="6">
        <v>2</v>
      </c>
      <c r="D245" s="7" t="s">
        <v>143</v>
      </c>
      <c r="E245" s="17" t="s">
        <v>139</v>
      </c>
      <c r="F245" s="6" t="s">
        <v>15</v>
      </c>
    </row>
    <row r="246" spans="1:6" x14ac:dyDescent="0.15">
      <c r="A246" s="6">
        <v>1510004</v>
      </c>
      <c r="B246" s="6">
        <v>151</v>
      </c>
      <c r="C246" s="6">
        <v>4</v>
      </c>
      <c r="D246" s="7" t="s">
        <v>144</v>
      </c>
      <c r="E246" s="17" t="s">
        <v>140</v>
      </c>
      <c r="F246" s="13" t="s">
        <v>159</v>
      </c>
    </row>
    <row r="247" spans="1:6" x14ac:dyDescent="0.15">
      <c r="A247" s="6">
        <v>1510006</v>
      </c>
      <c r="B247" s="6">
        <v>151</v>
      </c>
      <c r="C247" s="6">
        <v>6</v>
      </c>
      <c r="D247" s="7" t="s">
        <v>145</v>
      </c>
      <c r="E247" s="17" t="s">
        <v>141</v>
      </c>
      <c r="F247" s="6" t="s">
        <v>17</v>
      </c>
    </row>
    <row r="248" spans="1:6" x14ac:dyDescent="0.15">
      <c r="A248" s="6">
        <v>1510008</v>
      </c>
      <c r="B248" s="6">
        <v>151</v>
      </c>
      <c r="C248" s="6">
        <v>8</v>
      </c>
      <c r="D248" s="7" t="s">
        <v>146</v>
      </c>
      <c r="E248" s="17" t="s">
        <v>142</v>
      </c>
      <c r="F248" s="6" t="s">
        <v>18</v>
      </c>
    </row>
    <row r="249" spans="1:6" x14ac:dyDescent="0.15">
      <c r="A249" s="2">
        <v>1520002</v>
      </c>
      <c r="B249" s="2">
        <v>152</v>
      </c>
      <c r="C249" s="2">
        <v>2</v>
      </c>
      <c r="D249" s="8" t="s">
        <v>147</v>
      </c>
      <c r="E249" s="18" t="s">
        <v>139</v>
      </c>
      <c r="F249" s="2" t="s">
        <v>19</v>
      </c>
    </row>
    <row r="250" spans="1:6" x14ac:dyDescent="0.15">
      <c r="A250" s="2">
        <v>1520004</v>
      </c>
      <c r="B250" s="2">
        <v>152</v>
      </c>
      <c r="C250" s="2">
        <v>4</v>
      </c>
      <c r="D250" s="8" t="s">
        <v>148</v>
      </c>
      <c r="E250" s="18" t="s">
        <v>140</v>
      </c>
      <c r="F250" s="2" t="s">
        <v>20</v>
      </c>
    </row>
    <row r="251" spans="1:6" x14ac:dyDescent="0.15">
      <c r="A251" s="2">
        <v>1520006</v>
      </c>
      <c r="B251" s="2">
        <v>152</v>
      </c>
      <c r="C251" s="2">
        <v>6</v>
      </c>
      <c r="D251" s="8" t="s">
        <v>149</v>
      </c>
      <c r="E251" s="18" t="s">
        <v>141</v>
      </c>
      <c r="F251" s="2" t="s">
        <v>21</v>
      </c>
    </row>
    <row r="252" spans="1:6" x14ac:dyDescent="0.15">
      <c r="A252" s="2">
        <v>1520008</v>
      </c>
      <c r="B252" s="2">
        <v>152</v>
      </c>
      <c r="C252" s="2">
        <v>8</v>
      </c>
      <c r="D252" s="8" t="s">
        <v>150</v>
      </c>
      <c r="E252" s="18" t="s">
        <v>142</v>
      </c>
      <c r="F252" s="2" t="s">
        <v>22</v>
      </c>
    </row>
    <row r="253" spans="1:6" x14ac:dyDescent="0.15">
      <c r="A253" s="3">
        <v>1530002</v>
      </c>
      <c r="B253" s="3">
        <v>153</v>
      </c>
      <c r="C253" s="3">
        <v>2</v>
      </c>
      <c r="D253" s="9" t="s">
        <v>151</v>
      </c>
      <c r="E253" s="19" t="s">
        <v>139</v>
      </c>
      <c r="F253" s="3" t="s">
        <v>23</v>
      </c>
    </row>
    <row r="254" spans="1:6" x14ac:dyDescent="0.15">
      <c r="A254" s="3">
        <v>1530004</v>
      </c>
      <c r="B254" s="3">
        <v>153</v>
      </c>
      <c r="C254" s="3">
        <v>4</v>
      </c>
      <c r="D254" s="9" t="s">
        <v>152</v>
      </c>
      <c r="E254" s="19" t="s">
        <v>140</v>
      </c>
      <c r="F254" s="14" t="s">
        <v>160</v>
      </c>
    </row>
    <row r="255" spans="1:6" x14ac:dyDescent="0.15">
      <c r="A255" s="3">
        <v>1530006</v>
      </c>
      <c r="B255" s="3">
        <v>153</v>
      </c>
      <c r="C255" s="3">
        <v>6</v>
      </c>
      <c r="D255" s="9" t="s">
        <v>153</v>
      </c>
      <c r="E255" s="19" t="s">
        <v>141</v>
      </c>
      <c r="F255" s="3" t="s">
        <v>25</v>
      </c>
    </row>
    <row r="256" spans="1:6" x14ac:dyDescent="0.15">
      <c r="A256" s="3">
        <v>1530008</v>
      </c>
      <c r="B256" s="3">
        <v>153</v>
      </c>
      <c r="C256" s="3">
        <v>8</v>
      </c>
      <c r="D256" s="9" t="s">
        <v>154</v>
      </c>
      <c r="E256" s="19" t="s">
        <v>142</v>
      </c>
      <c r="F256" s="3" t="s">
        <v>26</v>
      </c>
    </row>
    <row r="257" spans="1:6" x14ac:dyDescent="0.15">
      <c r="A257" s="4">
        <v>1540002</v>
      </c>
      <c r="B257" s="4">
        <v>154</v>
      </c>
      <c r="C257" s="4">
        <v>2</v>
      </c>
      <c r="D257" s="10" t="s">
        <v>155</v>
      </c>
      <c r="E257" s="20" t="s">
        <v>139</v>
      </c>
      <c r="F257" s="4" t="s">
        <v>27</v>
      </c>
    </row>
    <row r="258" spans="1:6" x14ac:dyDescent="0.15">
      <c r="A258" s="4">
        <v>1540004</v>
      </c>
      <c r="B258" s="4">
        <v>154</v>
      </c>
      <c r="C258" s="4">
        <v>4</v>
      </c>
      <c r="D258" s="10" t="s">
        <v>156</v>
      </c>
      <c r="E258" s="20" t="s">
        <v>140</v>
      </c>
      <c r="F258" s="15" t="s">
        <v>161</v>
      </c>
    </row>
    <row r="259" spans="1:6" x14ac:dyDescent="0.15">
      <c r="A259" s="4">
        <v>1540006</v>
      </c>
      <c r="B259" s="4">
        <v>154</v>
      </c>
      <c r="C259" s="4">
        <v>6</v>
      </c>
      <c r="D259" s="10" t="s">
        <v>157</v>
      </c>
      <c r="E259" s="20" t="s">
        <v>141</v>
      </c>
      <c r="F259" s="4" t="s">
        <v>28</v>
      </c>
    </row>
    <row r="260" spans="1:6" x14ac:dyDescent="0.15">
      <c r="A260" s="4">
        <v>1540008</v>
      </c>
      <c r="B260" s="4">
        <v>154</v>
      </c>
      <c r="C260" s="4">
        <v>8</v>
      </c>
      <c r="D260" s="10" t="s">
        <v>158</v>
      </c>
      <c r="E260" s="20" t="s">
        <v>142</v>
      </c>
      <c r="F260" s="4" t="s">
        <v>29</v>
      </c>
    </row>
    <row r="261" spans="1:6" x14ac:dyDescent="0.15">
      <c r="D261" s="5"/>
      <c r="E261" s="5"/>
      <c r="F261" s="5"/>
    </row>
    <row r="262" spans="1:6" x14ac:dyDescent="0.15">
      <c r="D262" s="5"/>
      <c r="E262" s="5"/>
      <c r="F262" s="5"/>
    </row>
    <row r="263" spans="1:6" x14ac:dyDescent="0.15">
      <c r="D263" s="5"/>
      <c r="E263" s="5"/>
      <c r="F263" s="5"/>
    </row>
    <row r="264" spans="1:6" x14ac:dyDescent="0.15">
      <c r="D264" s="5"/>
      <c r="E264" s="5"/>
      <c r="F264" s="5"/>
    </row>
    <row r="265" spans="1:6" x14ac:dyDescent="0.15">
      <c r="D265" s="5"/>
      <c r="E265" s="5"/>
      <c r="F265" s="5"/>
    </row>
    <row r="266" spans="1:6" x14ac:dyDescent="0.15">
      <c r="D266" s="5"/>
      <c r="E266" s="5"/>
      <c r="F266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Z58"/>
  <sheetViews>
    <sheetView workbookViewId="0"/>
  </sheetViews>
  <sheetFormatPr defaultColWidth="9" defaultRowHeight="13.5" x14ac:dyDescent="0.15"/>
  <cols>
    <col min="4" max="4" width="16.875" customWidth="1"/>
    <col min="5" max="5" width="19.25" customWidth="1"/>
    <col min="6" max="6" width="32.75" bestFit="1" customWidth="1"/>
    <col min="7" max="8" width="20.625" customWidth="1"/>
    <col min="9" max="11" width="10.5" bestFit="1" customWidth="1"/>
    <col min="12" max="12" width="20.5" bestFit="1" customWidth="1"/>
    <col min="13" max="13" width="11.625" bestFit="1" customWidth="1"/>
    <col min="14" max="14" width="14.625" customWidth="1"/>
    <col min="15" max="17" width="11.625" bestFit="1" customWidth="1"/>
    <col min="18" max="18" width="20.5" bestFit="1" customWidth="1"/>
  </cols>
  <sheetData>
    <row r="4" spans="2:26" x14ac:dyDescent="0.15">
      <c r="B4" s="5" t="s">
        <v>10</v>
      </c>
      <c r="C4" s="5" t="s">
        <v>11</v>
      </c>
      <c r="D4" s="5" t="s">
        <v>12</v>
      </c>
      <c r="E4" s="5" t="s">
        <v>54</v>
      </c>
      <c r="F4" s="12" t="s">
        <v>58</v>
      </c>
      <c r="G4" s="12" t="s">
        <v>55</v>
      </c>
      <c r="H4" s="12"/>
      <c r="I4" s="11" t="s">
        <v>47</v>
      </c>
      <c r="J4" s="11" t="s">
        <v>48</v>
      </c>
      <c r="K4" s="11" t="s">
        <v>49</v>
      </c>
      <c r="L4" s="11" t="s">
        <v>30</v>
      </c>
      <c r="M4" s="11" t="s">
        <v>31</v>
      </c>
      <c r="N4" s="11" t="s">
        <v>33</v>
      </c>
      <c r="O4" s="11" t="s">
        <v>34</v>
      </c>
      <c r="P4" s="11" t="s">
        <v>99</v>
      </c>
      <c r="Q4" s="11" t="s">
        <v>100</v>
      </c>
      <c r="R4" s="11" t="s">
        <v>32</v>
      </c>
      <c r="S4" s="11" t="s">
        <v>117</v>
      </c>
      <c r="T4" s="11" t="s">
        <v>117</v>
      </c>
      <c r="U4" s="11" t="s">
        <v>117</v>
      </c>
      <c r="V4" s="11" t="s">
        <v>117</v>
      </c>
      <c r="W4" s="11" t="s">
        <v>117</v>
      </c>
      <c r="X4" s="11" t="s">
        <v>117</v>
      </c>
      <c r="Y4" s="11" t="s">
        <v>117</v>
      </c>
      <c r="Z4" s="11" t="s">
        <v>117</v>
      </c>
    </row>
    <row r="5" spans="2:26" x14ac:dyDescent="0.15">
      <c r="B5" s="6">
        <v>10002</v>
      </c>
      <c r="C5" s="6">
        <v>1</v>
      </c>
      <c r="D5" s="6">
        <v>2</v>
      </c>
      <c r="E5" s="6" t="s">
        <v>15</v>
      </c>
      <c r="F5" s="6" t="str">
        <f>_xlfn.TEXTJOIN("_",TRUE,I23:K23)</f>
        <v>4402:500_5402:500_6402:500</v>
      </c>
      <c r="G5" s="6" t="str">
        <f>_xlfn.TEXTJOIN("_",TRUE,I5:Z5)</f>
        <v>7402:500_8402:500_9402:500_10192:3000_10196:1000_10199:0_10201:0_10197:0_10198:0_10200:0_10202:0_10203:0_10204:0</v>
      </c>
      <c r="I5" s="6" t="s">
        <v>43</v>
      </c>
      <c r="J5" s="6" t="s">
        <v>39</v>
      </c>
      <c r="K5" s="6" t="s">
        <v>35</v>
      </c>
      <c r="L5" s="7" t="s">
        <v>50</v>
      </c>
      <c r="M5" s="7" t="s">
        <v>92</v>
      </c>
      <c r="N5" s="7"/>
      <c r="O5" s="7"/>
      <c r="P5" s="1" t="str">
        <f t="shared" ref="P5:P20" si="0">VLOOKUP($C5,$B$23:$D$26,2,FALSE)&amp;":"&amp;VLOOKUP($D5,$B$30:$C$33,2,FALSE)</f>
        <v>10199:0</v>
      </c>
      <c r="Q5" s="1" t="str">
        <f t="shared" ref="Q5:Q20" si="1">VLOOKUP($C5,$B$23:$D$26,3,FALSE)&amp;":"&amp;VLOOKUP($D5,$B$30:$C$33,2,FALSE)</f>
        <v>10201:0</v>
      </c>
      <c r="R5" s="7"/>
      <c r="S5" t="s">
        <v>116</v>
      </c>
      <c r="T5" s="11" t="s">
        <v>127</v>
      </c>
      <c r="U5" s="11"/>
      <c r="V5" s="11" t="s">
        <v>129</v>
      </c>
      <c r="W5" s="11"/>
      <c r="X5" s="11" t="s">
        <v>131</v>
      </c>
      <c r="Y5" s="11" t="s">
        <v>132</v>
      </c>
      <c r="Z5" s="11" t="s">
        <v>133</v>
      </c>
    </row>
    <row r="6" spans="2:26" x14ac:dyDescent="0.15">
      <c r="B6" s="6">
        <v>10004</v>
      </c>
      <c r="C6" s="6">
        <v>1</v>
      </c>
      <c r="D6" s="6">
        <v>4</v>
      </c>
      <c r="E6" s="6" t="s">
        <v>16</v>
      </c>
      <c r="F6" s="6" t="str">
        <f t="shared" ref="F6:F20" si="2">_xlfn.TEXTJOIN("_",TRUE,I24:K24)</f>
        <v>4402:1000_5402:1000_6402:1000</v>
      </c>
      <c r="G6" s="6" t="str">
        <f t="shared" ref="G6:G20" si="3">_xlfn.TEXTJOIN("_",TRUE,I6:Z6)</f>
        <v>7402:1000_8402:1000_9402:1000_10192:3000_10196:1000_10184:1000_10199:0_10201:0_10197:0_10198:0_10200:0_10202:0_10203:0_10204:0</v>
      </c>
      <c r="I6" s="6" t="s">
        <v>44</v>
      </c>
      <c r="J6" s="6" t="s">
        <v>40</v>
      </c>
      <c r="K6" s="6" t="s">
        <v>36</v>
      </c>
      <c r="L6" s="1" t="s">
        <v>50</v>
      </c>
      <c r="M6" s="1" t="s">
        <v>92</v>
      </c>
      <c r="N6" s="1" t="s">
        <v>93</v>
      </c>
      <c r="O6" s="1"/>
      <c r="P6" s="1" t="str">
        <f t="shared" si="0"/>
        <v>10199:0</v>
      </c>
      <c r="Q6" s="1" t="str">
        <f t="shared" si="1"/>
        <v>10201:0</v>
      </c>
      <c r="R6" s="1"/>
      <c r="S6" t="s">
        <v>116</v>
      </c>
      <c r="T6" s="11" t="s">
        <v>127</v>
      </c>
      <c r="U6" s="11"/>
      <c r="V6" s="11" t="s">
        <v>129</v>
      </c>
      <c r="W6" s="11"/>
      <c r="X6" s="11" t="s">
        <v>131</v>
      </c>
      <c r="Y6" s="11" t="s">
        <v>132</v>
      </c>
      <c r="Z6" s="11" t="s">
        <v>133</v>
      </c>
    </row>
    <row r="7" spans="2:26" x14ac:dyDescent="0.15">
      <c r="B7" s="6">
        <v>10006</v>
      </c>
      <c r="C7" s="6">
        <v>1</v>
      </c>
      <c r="D7" s="6">
        <v>6</v>
      </c>
      <c r="E7" s="6" t="s">
        <v>17</v>
      </c>
      <c r="F7" s="6" t="str">
        <f t="shared" si="2"/>
        <v>4402:2000_5402:2000_6402:2000</v>
      </c>
      <c r="G7" s="6" t="str">
        <f t="shared" si="3"/>
        <v>7402:2000_8402:2000_9402:2000_10192:3000_10196:1000_10184:1000_10111:1000_10199:0_10201:0_10197:0_10198:0_10200:0_10202:0_10203:0_10204:0</v>
      </c>
      <c r="I7" s="6" t="s">
        <v>45</v>
      </c>
      <c r="J7" s="6" t="s">
        <v>41</v>
      </c>
      <c r="K7" s="6" t="s">
        <v>37</v>
      </c>
      <c r="L7" s="7" t="s">
        <v>50</v>
      </c>
      <c r="M7" s="7" t="s">
        <v>92</v>
      </c>
      <c r="N7" s="7" t="s">
        <v>93</v>
      </c>
      <c r="O7" s="7" t="s">
        <v>95</v>
      </c>
      <c r="P7" s="7" t="str">
        <f t="shared" si="0"/>
        <v>10199:0</v>
      </c>
      <c r="Q7" s="7" t="str">
        <f t="shared" si="1"/>
        <v>10201:0</v>
      </c>
      <c r="R7" s="7"/>
      <c r="S7" t="s">
        <v>116</v>
      </c>
      <c r="T7" s="11" t="s">
        <v>127</v>
      </c>
      <c r="U7" s="11"/>
      <c r="V7" s="11" t="s">
        <v>129</v>
      </c>
      <c r="W7" s="11"/>
      <c r="X7" s="11" t="s">
        <v>131</v>
      </c>
      <c r="Y7" s="11" t="s">
        <v>132</v>
      </c>
      <c r="Z7" s="11" t="s">
        <v>133</v>
      </c>
    </row>
    <row r="8" spans="2:26" x14ac:dyDescent="0.15">
      <c r="B8" s="6">
        <v>10008</v>
      </c>
      <c r="C8" s="6">
        <v>1</v>
      </c>
      <c r="D8" s="6">
        <v>8</v>
      </c>
      <c r="E8" s="6" t="s">
        <v>18</v>
      </c>
      <c r="F8" s="6" t="str">
        <f t="shared" si="2"/>
        <v>4402:3000_5402:3000_6402:3000</v>
      </c>
      <c r="G8" s="6" t="str">
        <f t="shared" si="3"/>
        <v>7402:3000_8402:3000_9402:3000_10192:3000_10196:1000_10184:1000_10111:1000_10199:0_10201:0_10186:2000_10197:0_10198:0_10200:0_10202:0_10203:0_10204:0</v>
      </c>
      <c r="I8" s="6" t="s">
        <v>46</v>
      </c>
      <c r="J8" s="6" t="s">
        <v>42</v>
      </c>
      <c r="K8" s="6" t="s">
        <v>38</v>
      </c>
      <c r="L8" s="7" t="s">
        <v>50</v>
      </c>
      <c r="M8" s="7" t="s">
        <v>92</v>
      </c>
      <c r="N8" s="7" t="s">
        <v>93</v>
      </c>
      <c r="O8" s="7" t="s">
        <v>95</v>
      </c>
      <c r="P8" s="7" t="str">
        <f t="shared" si="0"/>
        <v>10199:0</v>
      </c>
      <c r="Q8" s="7" t="str">
        <f t="shared" si="1"/>
        <v>10201:0</v>
      </c>
      <c r="R8" s="7" t="s">
        <v>101</v>
      </c>
      <c r="S8" t="s">
        <v>116</v>
      </c>
      <c r="T8" s="11" t="s">
        <v>127</v>
      </c>
      <c r="U8" s="11"/>
      <c r="V8" s="11" t="s">
        <v>129</v>
      </c>
      <c r="W8" s="11"/>
      <c r="X8" s="11" t="s">
        <v>131</v>
      </c>
      <c r="Y8" s="11" t="s">
        <v>132</v>
      </c>
      <c r="Z8" s="11" t="s">
        <v>133</v>
      </c>
    </row>
    <row r="9" spans="2:26" x14ac:dyDescent="0.15">
      <c r="B9" s="2">
        <v>20002</v>
      </c>
      <c r="C9" s="2">
        <v>2</v>
      </c>
      <c r="D9" s="2">
        <v>2</v>
      </c>
      <c r="E9" s="2" t="s">
        <v>19</v>
      </c>
      <c r="F9" s="2" t="str">
        <f t="shared" si="2"/>
        <v>4402:500_5402:500_6402:500</v>
      </c>
      <c r="G9" s="2" t="str">
        <f>_xlfn.TEXTJOIN("_",TRUE,I9:Z9)</f>
        <v>7402:500_8402:500_9402:500_10193:3000_10196:1000_10198:0_10202:0_10197:0_10199:0_10200:0_10201:0_10203:0_10204:0</v>
      </c>
      <c r="I9" s="2" t="str">
        <f t="shared" ref="I9:J20" si="4">I5</f>
        <v>7402:500</v>
      </c>
      <c r="J9" s="2" t="str">
        <f t="shared" si="4"/>
        <v>8402:500</v>
      </c>
      <c r="K9" s="2" t="str">
        <f t="shared" ref="K9" si="5">K5</f>
        <v>9402:500</v>
      </c>
      <c r="L9" s="2" t="s">
        <v>51</v>
      </c>
      <c r="M9" s="2" t="s">
        <v>92</v>
      </c>
      <c r="N9" s="2"/>
      <c r="O9" s="2"/>
      <c r="P9" s="2" t="str">
        <f t="shared" si="0"/>
        <v>10198:0</v>
      </c>
      <c r="Q9" s="2" t="str">
        <f t="shared" si="1"/>
        <v>10202:0</v>
      </c>
      <c r="R9" s="2"/>
      <c r="S9" t="s">
        <v>116</v>
      </c>
      <c r="T9" s="11"/>
      <c r="U9" s="11" t="s">
        <v>128</v>
      </c>
      <c r="V9" s="11" t="s">
        <v>129</v>
      </c>
      <c r="W9" s="11" t="s">
        <v>130</v>
      </c>
      <c r="X9" s="11"/>
      <c r="Y9" s="11" t="s">
        <v>132</v>
      </c>
      <c r="Z9" s="11" t="s">
        <v>133</v>
      </c>
    </row>
    <row r="10" spans="2:26" x14ac:dyDescent="0.15">
      <c r="B10" s="2">
        <v>20004</v>
      </c>
      <c r="C10" s="2">
        <v>2</v>
      </c>
      <c r="D10" s="2">
        <v>4</v>
      </c>
      <c r="E10" s="2" t="s">
        <v>20</v>
      </c>
      <c r="F10" s="2" t="str">
        <f t="shared" si="2"/>
        <v>4402:1000_5402:1000_6402:1000</v>
      </c>
      <c r="G10" s="2" t="str">
        <f t="shared" si="3"/>
        <v>7402:1000_8402:1000_9402:1000_10193:3000_10196:1000_10184:1000_10198:0_10202:0_10197:0_10199:0_10200:0_10201:0_10203:0_10204:0</v>
      </c>
      <c r="I10" s="2" t="str">
        <f t="shared" si="4"/>
        <v>7402:1000</v>
      </c>
      <c r="J10" s="2" t="str">
        <f t="shared" si="4"/>
        <v>8402:1000</v>
      </c>
      <c r="K10" s="2" t="str">
        <f t="shared" ref="K10" si="6">K6</f>
        <v>9402:1000</v>
      </c>
      <c r="L10" s="2" t="s">
        <v>51</v>
      </c>
      <c r="M10" s="2" t="s">
        <v>92</v>
      </c>
      <c r="N10" s="2" t="s">
        <v>93</v>
      </c>
      <c r="O10" s="2"/>
      <c r="P10" s="2" t="str">
        <f t="shared" si="0"/>
        <v>10198:0</v>
      </c>
      <c r="Q10" s="2" t="str">
        <f t="shared" si="1"/>
        <v>10202:0</v>
      </c>
      <c r="R10" s="2"/>
      <c r="S10" t="s">
        <v>116</v>
      </c>
      <c r="T10" s="11"/>
      <c r="U10" s="11" t="s">
        <v>128</v>
      </c>
      <c r="V10" s="11" t="s">
        <v>129</v>
      </c>
      <c r="W10" s="11" t="s">
        <v>130</v>
      </c>
      <c r="X10" s="11"/>
      <c r="Y10" s="11" t="s">
        <v>132</v>
      </c>
      <c r="Z10" s="11" t="s">
        <v>133</v>
      </c>
    </row>
    <row r="11" spans="2:26" x14ac:dyDescent="0.15">
      <c r="B11" s="2">
        <v>20006</v>
      </c>
      <c r="C11" s="2">
        <v>2</v>
      </c>
      <c r="D11" s="2">
        <v>6</v>
      </c>
      <c r="E11" s="2" t="s">
        <v>21</v>
      </c>
      <c r="F11" s="2" t="str">
        <f t="shared" ref="F11:F18" si="7">_xlfn.TEXTJOIN("_",TRUE,I29:K29)</f>
        <v>4402:2000_5402:2000_6402:2000</v>
      </c>
      <c r="G11" s="2" t="str">
        <f t="shared" si="3"/>
        <v>7402:2000_8402:2000_9402:2000_10193:3000_10196:1000_10184:1000_10112:1000_10198:0_10202:0_10197:0_10199:0_10200:0_10201:0_10203:0_10204:0</v>
      </c>
      <c r="I11" s="2" t="str">
        <f t="shared" si="4"/>
        <v>7402:2000</v>
      </c>
      <c r="J11" s="2" t="str">
        <f t="shared" si="4"/>
        <v>8402:2000</v>
      </c>
      <c r="K11" s="2" t="str">
        <f t="shared" ref="K11" si="8">K7</f>
        <v>9402:2000</v>
      </c>
      <c r="L11" s="2" t="s">
        <v>51</v>
      </c>
      <c r="M11" s="2" t="s">
        <v>92</v>
      </c>
      <c r="N11" s="2" t="s">
        <v>93</v>
      </c>
      <c r="O11" s="2" t="s">
        <v>96</v>
      </c>
      <c r="P11" s="2" t="str">
        <f t="shared" si="0"/>
        <v>10198:0</v>
      </c>
      <c r="Q11" s="2" t="str">
        <f t="shared" si="1"/>
        <v>10202:0</v>
      </c>
      <c r="R11" s="2"/>
      <c r="S11" t="s">
        <v>116</v>
      </c>
      <c r="T11" s="11"/>
      <c r="U11" s="11" t="s">
        <v>128</v>
      </c>
      <c r="V11" s="11" t="s">
        <v>129</v>
      </c>
      <c r="W11" s="11" t="s">
        <v>130</v>
      </c>
      <c r="X11" s="11"/>
      <c r="Y11" s="11" t="s">
        <v>132</v>
      </c>
      <c r="Z11" s="11" t="s">
        <v>133</v>
      </c>
    </row>
    <row r="12" spans="2:26" x14ac:dyDescent="0.15">
      <c r="B12" s="2">
        <v>20008</v>
      </c>
      <c r="C12" s="2">
        <v>2</v>
      </c>
      <c r="D12" s="2">
        <v>8</v>
      </c>
      <c r="E12" s="2" t="s">
        <v>22</v>
      </c>
      <c r="F12" s="2" t="str">
        <f t="shared" si="7"/>
        <v>4402:3000_5402:3000_6402:3000</v>
      </c>
      <c r="G12" s="2" t="str">
        <f t="shared" si="3"/>
        <v>7402:3000_8402:3000_9402:3000_10193:3000_10196:1000_10184:1000_10112:1000_10198:0_10202:0_10187:2000_10197:0_10199:0_10200:0_10201:0_10203:0_10204:0</v>
      </c>
      <c r="I12" s="2" t="str">
        <f t="shared" si="4"/>
        <v>7402:3000</v>
      </c>
      <c r="J12" s="2" t="str">
        <f t="shared" si="4"/>
        <v>8402:3000</v>
      </c>
      <c r="K12" s="2" t="str">
        <f t="shared" ref="K12" si="9">K8</f>
        <v>9402:3000</v>
      </c>
      <c r="L12" s="2" t="s">
        <v>51</v>
      </c>
      <c r="M12" s="2" t="s">
        <v>92</v>
      </c>
      <c r="N12" s="2" t="s">
        <v>93</v>
      </c>
      <c r="O12" s="2" t="s">
        <v>96</v>
      </c>
      <c r="P12" s="2" t="str">
        <f t="shared" si="0"/>
        <v>10198:0</v>
      </c>
      <c r="Q12" s="2" t="str">
        <f t="shared" si="1"/>
        <v>10202:0</v>
      </c>
      <c r="R12" s="2" t="s">
        <v>102</v>
      </c>
      <c r="S12" t="s">
        <v>116</v>
      </c>
      <c r="T12" s="11"/>
      <c r="U12" s="11" t="s">
        <v>128</v>
      </c>
      <c r="V12" s="11" t="s">
        <v>129</v>
      </c>
      <c r="W12" s="11" t="s">
        <v>130</v>
      </c>
      <c r="X12" s="11"/>
      <c r="Y12" s="11" t="s">
        <v>132</v>
      </c>
      <c r="Z12" s="11" t="s">
        <v>133</v>
      </c>
    </row>
    <row r="13" spans="2:26" x14ac:dyDescent="0.15">
      <c r="B13" s="3">
        <v>30002</v>
      </c>
      <c r="C13" s="3">
        <v>3</v>
      </c>
      <c r="D13" s="3">
        <v>2</v>
      </c>
      <c r="E13" s="14" t="s">
        <v>75</v>
      </c>
      <c r="F13" s="3" t="str">
        <f t="shared" si="7"/>
        <v>4402:500_5402:500_6402:500</v>
      </c>
      <c r="G13" s="3" t="str">
        <f t="shared" si="3"/>
        <v>7402:500_8402:500_9402:500_10194:3000_10196:1000_10197:0_10200:0_10198:0_10199:0_10201:0_10202:0_10203:0_10204:0</v>
      </c>
      <c r="I13" s="3" t="str">
        <f t="shared" si="4"/>
        <v>7402:500</v>
      </c>
      <c r="J13" s="3" t="str">
        <f t="shared" si="4"/>
        <v>8402:500</v>
      </c>
      <c r="K13" s="3" t="str">
        <f t="shared" ref="K13" si="10">K9</f>
        <v>9402:500</v>
      </c>
      <c r="L13" s="3" t="s">
        <v>52</v>
      </c>
      <c r="M13" s="3" t="s">
        <v>92</v>
      </c>
      <c r="N13" s="3"/>
      <c r="O13" s="3"/>
      <c r="P13" s="3" t="str">
        <f t="shared" si="0"/>
        <v>10197:0</v>
      </c>
      <c r="Q13" s="3" t="str">
        <f t="shared" si="1"/>
        <v>10200:0</v>
      </c>
      <c r="R13" s="3"/>
      <c r="T13" s="11" t="s">
        <v>127</v>
      </c>
      <c r="U13" s="11" t="s">
        <v>128</v>
      </c>
      <c r="V13" s="11"/>
      <c r="W13" s="11" t="s">
        <v>130</v>
      </c>
      <c r="X13" s="11" t="s">
        <v>131</v>
      </c>
      <c r="Y13" s="11" t="s">
        <v>132</v>
      </c>
      <c r="Z13" s="11" t="s">
        <v>133</v>
      </c>
    </row>
    <row r="14" spans="2:26" x14ac:dyDescent="0.15">
      <c r="B14" s="3">
        <v>30004</v>
      </c>
      <c r="C14" s="3">
        <v>3</v>
      </c>
      <c r="D14" s="3">
        <v>4</v>
      </c>
      <c r="E14" s="3" t="s">
        <v>24</v>
      </c>
      <c r="F14" s="3" t="str">
        <f t="shared" si="7"/>
        <v>4402:1000_5402:1000_6402:1000</v>
      </c>
      <c r="G14" s="3" t="str">
        <f t="shared" si="3"/>
        <v>7402:1000_8402:1000_9402:1000_10194:3000_10196:1000_10184:1000_10197:0_10200:0_10198:0_10199:0_10201:0_10202:0_10203:0_10204:0</v>
      </c>
      <c r="I14" s="3" t="str">
        <f t="shared" si="4"/>
        <v>7402:1000</v>
      </c>
      <c r="J14" s="3" t="str">
        <f t="shared" si="4"/>
        <v>8402:1000</v>
      </c>
      <c r="K14" s="3" t="str">
        <f t="shared" ref="K14" si="11">K10</f>
        <v>9402:1000</v>
      </c>
      <c r="L14" s="3" t="s">
        <v>52</v>
      </c>
      <c r="M14" s="3" t="s">
        <v>92</v>
      </c>
      <c r="N14" s="3" t="s">
        <v>93</v>
      </c>
      <c r="O14" s="3"/>
      <c r="P14" s="3" t="str">
        <f t="shared" si="0"/>
        <v>10197:0</v>
      </c>
      <c r="Q14" s="3" t="str">
        <f t="shared" si="1"/>
        <v>10200:0</v>
      </c>
      <c r="R14" s="3"/>
      <c r="T14" s="11" t="s">
        <v>127</v>
      </c>
      <c r="U14" s="11" t="s">
        <v>128</v>
      </c>
      <c r="V14" s="11"/>
      <c r="W14" s="11" t="s">
        <v>130</v>
      </c>
      <c r="X14" s="11" t="s">
        <v>131</v>
      </c>
      <c r="Y14" s="11" t="s">
        <v>132</v>
      </c>
      <c r="Z14" s="11" t="s">
        <v>133</v>
      </c>
    </row>
    <row r="15" spans="2:26" x14ac:dyDescent="0.15">
      <c r="B15" s="3">
        <v>30006</v>
      </c>
      <c r="C15" s="3">
        <v>3</v>
      </c>
      <c r="D15" s="3">
        <v>6</v>
      </c>
      <c r="E15" s="3" t="s">
        <v>25</v>
      </c>
      <c r="F15" s="3" t="str">
        <f t="shared" si="7"/>
        <v>4402:2000_5402:2000_6402:2000</v>
      </c>
      <c r="G15" s="3" t="str">
        <f t="shared" si="3"/>
        <v>7402:2000_8402:2000_9402:2000_10194:3000_10196:1000_10184:1000_10113:1000_10197:0_10200:0_10198:0_10199:0_10201:0_10202:0_10203:0_10204:0</v>
      </c>
      <c r="I15" s="3" t="str">
        <f t="shared" si="4"/>
        <v>7402:2000</v>
      </c>
      <c r="J15" s="3" t="str">
        <f t="shared" si="4"/>
        <v>8402:2000</v>
      </c>
      <c r="K15" s="3" t="str">
        <f t="shared" ref="K15" si="12">K11</f>
        <v>9402:2000</v>
      </c>
      <c r="L15" s="3" t="s">
        <v>52</v>
      </c>
      <c r="M15" s="3" t="s">
        <v>92</v>
      </c>
      <c r="N15" s="3" t="s">
        <v>93</v>
      </c>
      <c r="O15" s="3" t="s">
        <v>97</v>
      </c>
      <c r="P15" s="3" t="str">
        <f t="shared" si="0"/>
        <v>10197:0</v>
      </c>
      <c r="Q15" s="3" t="str">
        <f t="shared" si="1"/>
        <v>10200:0</v>
      </c>
      <c r="R15" s="3"/>
      <c r="T15" s="11" t="s">
        <v>127</v>
      </c>
      <c r="U15" s="11" t="s">
        <v>128</v>
      </c>
      <c r="V15" s="11"/>
      <c r="W15" s="11" t="s">
        <v>130</v>
      </c>
      <c r="X15" s="11" t="s">
        <v>131</v>
      </c>
      <c r="Y15" s="11" t="s">
        <v>132</v>
      </c>
      <c r="Z15" s="11" t="s">
        <v>133</v>
      </c>
    </row>
    <row r="16" spans="2:26" x14ac:dyDescent="0.15">
      <c r="B16" s="3">
        <v>30008</v>
      </c>
      <c r="C16" s="3">
        <v>3</v>
      </c>
      <c r="D16" s="3">
        <v>8</v>
      </c>
      <c r="E16" s="3" t="s">
        <v>26</v>
      </c>
      <c r="F16" s="3" t="str">
        <f t="shared" si="7"/>
        <v>4402:3000_5402:3000_6402:3000</v>
      </c>
      <c r="G16" s="3" t="str">
        <f t="shared" si="3"/>
        <v>7402:3000_8402:3000_9402:3000_10194:3000_10196:1000_10184:1000_10113:1000_10197:0_10200:0_10188:2000_10198:0_10199:0_10201:0_10202:0_10203:0_10204:0</v>
      </c>
      <c r="I16" s="3" t="str">
        <f t="shared" si="4"/>
        <v>7402:3000</v>
      </c>
      <c r="J16" s="3" t="str">
        <f t="shared" si="4"/>
        <v>8402:3000</v>
      </c>
      <c r="K16" s="3" t="str">
        <f t="shared" ref="K16" si="13">K12</f>
        <v>9402:3000</v>
      </c>
      <c r="L16" s="3" t="s">
        <v>52</v>
      </c>
      <c r="M16" s="3" t="s">
        <v>92</v>
      </c>
      <c r="N16" s="3" t="s">
        <v>93</v>
      </c>
      <c r="O16" s="3" t="s">
        <v>97</v>
      </c>
      <c r="P16" s="3" t="str">
        <f t="shared" si="0"/>
        <v>10197:0</v>
      </c>
      <c r="Q16" s="3" t="str">
        <f t="shared" si="1"/>
        <v>10200:0</v>
      </c>
      <c r="R16" s="3" t="s">
        <v>103</v>
      </c>
      <c r="T16" s="11" t="s">
        <v>127</v>
      </c>
      <c r="U16" s="11" t="s">
        <v>128</v>
      </c>
      <c r="V16" s="11"/>
      <c r="W16" s="11" t="s">
        <v>130</v>
      </c>
      <c r="X16" s="11" t="s">
        <v>131</v>
      </c>
      <c r="Y16" s="11" t="s">
        <v>132</v>
      </c>
      <c r="Z16" s="11" t="s">
        <v>133</v>
      </c>
    </row>
    <row r="17" spans="2:26" x14ac:dyDescent="0.15">
      <c r="B17" s="4">
        <v>40002</v>
      </c>
      <c r="C17" s="4">
        <v>4</v>
      </c>
      <c r="D17" s="4">
        <v>2</v>
      </c>
      <c r="E17" s="4" t="s">
        <v>27</v>
      </c>
      <c r="F17" s="4" t="str">
        <f t="shared" si="7"/>
        <v>4402:500_5402:500_6402:500</v>
      </c>
      <c r="G17" s="4" t="str">
        <f t="shared" si="3"/>
        <v>7402:500_8402:500_9402:500_10195:3000_10196:1000_10204:0_10203:0_10197:0_10198:0_10199:0_10200:0_10201:0_10202:0</v>
      </c>
      <c r="I17" s="4" t="str">
        <f t="shared" si="4"/>
        <v>7402:500</v>
      </c>
      <c r="J17" s="4" t="str">
        <f t="shared" si="4"/>
        <v>8402:500</v>
      </c>
      <c r="K17" s="4" t="str">
        <f t="shared" ref="K17" si="14">K13</f>
        <v>9402:500</v>
      </c>
      <c r="L17" s="4" t="s">
        <v>53</v>
      </c>
      <c r="M17" s="4" t="s">
        <v>92</v>
      </c>
      <c r="N17" s="4"/>
      <c r="O17" s="4"/>
      <c r="P17" s="4" t="str">
        <f t="shared" si="0"/>
        <v>10204:0</v>
      </c>
      <c r="Q17" s="4" t="str">
        <f t="shared" si="1"/>
        <v>10203:0</v>
      </c>
      <c r="R17" s="4"/>
      <c r="S17" t="s">
        <v>116</v>
      </c>
      <c r="T17" s="11" t="s">
        <v>127</v>
      </c>
      <c r="U17" s="11" t="s">
        <v>128</v>
      </c>
      <c r="V17" s="11" t="s">
        <v>129</v>
      </c>
      <c r="W17" s="11" t="s">
        <v>130</v>
      </c>
      <c r="X17" s="11" t="s">
        <v>131</v>
      </c>
      <c r="Y17" s="11"/>
      <c r="Z17" s="11"/>
    </row>
    <row r="18" spans="2:26" x14ac:dyDescent="0.15">
      <c r="B18" s="4">
        <v>40004</v>
      </c>
      <c r="C18" s="4">
        <v>4</v>
      </c>
      <c r="D18" s="4">
        <v>4</v>
      </c>
      <c r="E18" s="15" t="s">
        <v>118</v>
      </c>
      <c r="F18" s="4" t="str">
        <f t="shared" si="7"/>
        <v>4402:1000_5402:1000_6402:1000</v>
      </c>
      <c r="G18" s="4" t="str">
        <f t="shared" si="3"/>
        <v>7402:1000_8402:1000_9402:1000_10195:3000_10196:1000_10185:1000_10204:0_10203:0_10197:0_10198:0_10199:0_10200:0_10201:0_10202:0</v>
      </c>
      <c r="I18" s="4" t="str">
        <f t="shared" si="4"/>
        <v>7402:1000</v>
      </c>
      <c r="J18" s="4" t="str">
        <f t="shared" si="4"/>
        <v>8402:1000</v>
      </c>
      <c r="K18" s="4" t="str">
        <f t="shared" ref="K18" si="15">K14</f>
        <v>9402:1000</v>
      </c>
      <c r="L18" s="4" t="s">
        <v>53</v>
      </c>
      <c r="M18" s="4" t="s">
        <v>92</v>
      </c>
      <c r="N18" s="4" t="s">
        <v>94</v>
      </c>
      <c r="O18" s="4"/>
      <c r="P18" s="4" t="str">
        <f t="shared" si="0"/>
        <v>10204:0</v>
      </c>
      <c r="Q18" s="4" t="str">
        <f t="shared" si="1"/>
        <v>10203:0</v>
      </c>
      <c r="R18" s="4"/>
      <c r="S18" t="s">
        <v>116</v>
      </c>
      <c r="T18" s="11" t="s">
        <v>127</v>
      </c>
      <c r="U18" s="11" t="s">
        <v>128</v>
      </c>
      <c r="V18" s="11" t="s">
        <v>129</v>
      </c>
      <c r="W18" s="11" t="s">
        <v>130</v>
      </c>
      <c r="X18" s="11" t="s">
        <v>131</v>
      </c>
      <c r="Y18" s="11"/>
      <c r="Z18" s="11"/>
    </row>
    <row r="19" spans="2:26" x14ac:dyDescent="0.15">
      <c r="B19" s="4">
        <v>40006</v>
      </c>
      <c r="C19" s="4">
        <v>4</v>
      </c>
      <c r="D19" s="4">
        <v>6</v>
      </c>
      <c r="E19" s="4" t="s">
        <v>28</v>
      </c>
      <c r="F19" s="4" t="str">
        <f t="shared" si="2"/>
        <v>4402:2000_5402:2000_6402:2000</v>
      </c>
      <c r="G19" s="4" t="str">
        <f t="shared" si="3"/>
        <v>7402:2000_8402:2000_9402:2000_10195:3000_10196:1000_10185:1000_10114:1000_10204:0_10203:0_10197:0_10198:0_10199:0_10200:0_10201:0_10202:0</v>
      </c>
      <c r="I19" s="4" t="str">
        <f t="shared" si="4"/>
        <v>7402:2000</v>
      </c>
      <c r="J19" s="4" t="str">
        <f t="shared" si="4"/>
        <v>8402:2000</v>
      </c>
      <c r="K19" s="4" t="str">
        <f t="shared" ref="K19" si="16">K15</f>
        <v>9402:2000</v>
      </c>
      <c r="L19" s="4" t="s">
        <v>53</v>
      </c>
      <c r="M19" s="4" t="s">
        <v>92</v>
      </c>
      <c r="N19" s="4" t="s">
        <v>94</v>
      </c>
      <c r="O19" s="4" t="s">
        <v>98</v>
      </c>
      <c r="P19" s="4" t="str">
        <f t="shared" si="0"/>
        <v>10204:0</v>
      </c>
      <c r="Q19" s="4" t="str">
        <f t="shared" si="1"/>
        <v>10203:0</v>
      </c>
      <c r="R19" s="4"/>
      <c r="S19" t="s">
        <v>116</v>
      </c>
      <c r="T19" s="11" t="s">
        <v>127</v>
      </c>
      <c r="U19" s="11" t="s">
        <v>128</v>
      </c>
      <c r="V19" s="11" t="s">
        <v>129</v>
      </c>
      <c r="W19" s="11" t="s">
        <v>130</v>
      </c>
      <c r="X19" s="11" t="s">
        <v>131</v>
      </c>
      <c r="Y19" s="11"/>
      <c r="Z19" s="11"/>
    </row>
    <row r="20" spans="2:26" x14ac:dyDescent="0.15">
      <c r="B20" s="4">
        <v>40008</v>
      </c>
      <c r="C20" s="4">
        <v>4</v>
      </c>
      <c r="D20" s="4">
        <v>8</v>
      </c>
      <c r="E20" s="4" t="s">
        <v>29</v>
      </c>
      <c r="F20" s="4" t="str">
        <f t="shared" si="2"/>
        <v>4402:3000_5402:3000_6402:3000</v>
      </c>
      <c r="G20" s="4" t="str">
        <f t="shared" si="3"/>
        <v>7402:3000_8402:3000_9402:3000_10195:3000_10196:1000_10185:1000_10114:1000_10204:0_10203:0_10189:2000_10197:0_10198:0_10199:0_10200:0_10201:0_10202:0</v>
      </c>
      <c r="I20" s="4" t="str">
        <f t="shared" si="4"/>
        <v>7402:3000</v>
      </c>
      <c r="J20" s="4" t="str">
        <f t="shared" si="4"/>
        <v>8402:3000</v>
      </c>
      <c r="K20" s="4" t="str">
        <f t="shared" ref="K20" si="17">K16</f>
        <v>9402:3000</v>
      </c>
      <c r="L20" s="4" t="s">
        <v>53</v>
      </c>
      <c r="M20" s="4" t="s">
        <v>92</v>
      </c>
      <c r="N20" s="4" t="s">
        <v>94</v>
      </c>
      <c r="O20" s="4" t="s">
        <v>98</v>
      </c>
      <c r="P20" s="4" t="str">
        <f t="shared" si="0"/>
        <v>10204:0</v>
      </c>
      <c r="Q20" s="4" t="str">
        <f t="shared" si="1"/>
        <v>10203:0</v>
      </c>
      <c r="R20" s="4" t="s">
        <v>104</v>
      </c>
      <c r="S20" t="s">
        <v>116</v>
      </c>
      <c r="T20" s="11" t="s">
        <v>127</v>
      </c>
      <c r="U20" s="11" t="s">
        <v>128</v>
      </c>
      <c r="V20" s="11" t="s">
        <v>129</v>
      </c>
      <c r="W20" s="11" t="s">
        <v>130</v>
      </c>
      <c r="X20" s="11" t="s">
        <v>131</v>
      </c>
      <c r="Y20" s="11"/>
      <c r="Z20" s="11"/>
    </row>
    <row r="22" spans="2:26" x14ac:dyDescent="0.15">
      <c r="B22" s="11" t="s">
        <v>113</v>
      </c>
      <c r="G22" s="12" t="s">
        <v>138</v>
      </c>
      <c r="I22" s="11" t="s">
        <v>59</v>
      </c>
      <c r="J22" s="11" t="s">
        <v>60</v>
      </c>
      <c r="K22" s="11" t="s">
        <v>61</v>
      </c>
    </row>
    <row r="23" spans="2:26" x14ac:dyDescent="0.15">
      <c r="B23" s="6">
        <v>1</v>
      </c>
      <c r="C23" s="6">
        <v>10199</v>
      </c>
      <c r="D23" s="6">
        <v>10201</v>
      </c>
      <c r="E23" s="13" t="s">
        <v>123</v>
      </c>
      <c r="F23" s="13" t="s">
        <v>121</v>
      </c>
      <c r="G23" s="6" t="str">
        <f>_xlfn.TEXTJOIN("_",TRUE,G5,F5)</f>
        <v>7402:500_8402:500_9402:500_10192:3000_10196:1000_10199:0_10201:0_10197:0_10198:0_10200:0_10202:0_10203:0_10204:0_4402:500_5402:500_6402:500</v>
      </c>
      <c r="I23" s="6" t="s">
        <v>62</v>
      </c>
      <c r="J23" s="6" t="s">
        <v>66</v>
      </c>
      <c r="K23" s="6" t="s">
        <v>70</v>
      </c>
    </row>
    <row r="24" spans="2:26" x14ac:dyDescent="0.15">
      <c r="B24" s="2">
        <v>2</v>
      </c>
      <c r="C24" s="2">
        <v>10198</v>
      </c>
      <c r="D24" s="2">
        <v>10202</v>
      </c>
      <c r="E24" s="16" t="s">
        <v>125</v>
      </c>
      <c r="F24" s="16" t="s">
        <v>126</v>
      </c>
      <c r="G24" s="6" t="str">
        <f t="shared" ref="G24:G38" si="18">_xlfn.TEXTJOIN("_",TRUE,G6,F6)</f>
        <v>7402:1000_8402:1000_9402:1000_10192:3000_10196:1000_10184:1000_10199:0_10201:0_10197:0_10198:0_10200:0_10202:0_10203:0_10204:0_4402:1000_5402:1000_6402:1000</v>
      </c>
      <c r="I24" s="6" t="s">
        <v>63</v>
      </c>
      <c r="J24" s="6" t="s">
        <v>67</v>
      </c>
      <c r="K24" s="6" t="s">
        <v>71</v>
      </c>
    </row>
    <row r="25" spans="2:26" x14ac:dyDescent="0.15">
      <c r="B25" s="3">
        <v>3</v>
      </c>
      <c r="C25" s="3">
        <v>10197</v>
      </c>
      <c r="D25" s="3">
        <v>10200</v>
      </c>
      <c r="E25" s="14" t="s">
        <v>119</v>
      </c>
      <c r="F25" s="14" t="s">
        <v>124</v>
      </c>
      <c r="G25" s="6" t="str">
        <f t="shared" si="18"/>
        <v>7402:2000_8402:2000_9402:2000_10192:3000_10196:1000_10184:1000_10111:1000_10199:0_10201:0_10197:0_10198:0_10200:0_10202:0_10203:0_10204:0_4402:2000_5402:2000_6402:2000</v>
      </c>
      <c r="I25" s="6" t="s">
        <v>64</v>
      </c>
      <c r="J25" s="6" t="s">
        <v>68</v>
      </c>
      <c r="K25" s="6" t="s">
        <v>72</v>
      </c>
    </row>
    <row r="26" spans="2:26" x14ac:dyDescent="0.15">
      <c r="B26" s="4">
        <v>4</v>
      </c>
      <c r="C26" s="4">
        <v>10204</v>
      </c>
      <c r="D26" s="4">
        <v>10203</v>
      </c>
      <c r="E26" s="15" t="s">
        <v>120</v>
      </c>
      <c r="F26" s="15" t="s">
        <v>122</v>
      </c>
      <c r="G26" s="6" t="str">
        <f t="shared" si="18"/>
        <v>7402:3000_8402:3000_9402:3000_10192:3000_10196:1000_10184:1000_10111:1000_10199:0_10201:0_10186:2000_10197:0_10198:0_10200:0_10202:0_10203:0_10204:0_4402:3000_5402:3000_6402:3000</v>
      </c>
      <c r="I26" s="6" t="s">
        <v>65</v>
      </c>
      <c r="J26" s="6" t="s">
        <v>69</v>
      </c>
      <c r="K26" s="6" t="s">
        <v>73</v>
      </c>
    </row>
    <row r="27" spans="2:26" x14ac:dyDescent="0.15">
      <c r="G27" s="2" t="str">
        <f t="shared" si="18"/>
        <v>7402:500_8402:500_9402:500_10193:3000_10196:1000_10198:0_10202:0_10197:0_10199:0_10200:0_10201:0_10203:0_10204:0_4402:500_5402:500_6402:500</v>
      </c>
      <c r="I27" s="2" t="str">
        <f t="shared" ref="I27:K36" si="19">I23</f>
        <v>4402:500</v>
      </c>
      <c r="J27" s="2" t="str">
        <f t="shared" si="19"/>
        <v>5402:500</v>
      </c>
      <c r="K27" s="2" t="str">
        <f t="shared" si="19"/>
        <v>6402:500</v>
      </c>
    </row>
    <row r="28" spans="2:26" x14ac:dyDescent="0.15">
      <c r="E28" s="11"/>
      <c r="F28" s="11"/>
      <c r="G28" s="2" t="str">
        <f t="shared" si="18"/>
        <v>7402:1000_8402:1000_9402:1000_10193:3000_10196:1000_10184:1000_10198:0_10202:0_10197:0_10199:0_10200:0_10201:0_10203:0_10204:0_4402:1000_5402:1000_6402:1000</v>
      </c>
      <c r="I28" s="2" t="str">
        <f t="shared" ref="I28:J28" si="20">I24</f>
        <v>4402:1000</v>
      </c>
      <c r="J28" s="2" t="str">
        <f t="shared" si="20"/>
        <v>5402:1000</v>
      </c>
      <c r="K28" s="2" t="str">
        <f t="shared" si="19"/>
        <v>6402:1000</v>
      </c>
    </row>
    <row r="29" spans="2:26" x14ac:dyDescent="0.15">
      <c r="B29" s="11" t="s">
        <v>115</v>
      </c>
      <c r="C29" s="11" t="s">
        <v>114</v>
      </c>
      <c r="E29" s="12"/>
      <c r="F29" s="12"/>
      <c r="G29" s="2" t="str">
        <f t="shared" si="18"/>
        <v>7402:2000_8402:2000_9402:2000_10193:3000_10196:1000_10184:1000_10112:1000_10198:0_10202:0_10197:0_10199:0_10200:0_10201:0_10203:0_10204:0_4402:2000_5402:2000_6402:2000</v>
      </c>
      <c r="I29" s="2" t="str">
        <f t="shared" ref="I29:K32" si="21">I25</f>
        <v>4402:2000</v>
      </c>
      <c r="J29" s="2" t="str">
        <f t="shared" si="21"/>
        <v>5402:2000</v>
      </c>
      <c r="K29" s="2" t="str">
        <f t="shared" si="21"/>
        <v>6402:2000</v>
      </c>
    </row>
    <row r="30" spans="2:26" x14ac:dyDescent="0.15">
      <c r="B30">
        <v>2</v>
      </c>
      <c r="C30" s="13">
        <v>0</v>
      </c>
      <c r="E30" s="12"/>
      <c r="F30" s="12"/>
      <c r="G30" s="2" t="str">
        <f t="shared" si="18"/>
        <v>7402:3000_8402:3000_9402:3000_10193:3000_10196:1000_10184:1000_10112:1000_10198:0_10202:0_10187:2000_10197:0_10199:0_10200:0_10201:0_10203:0_10204:0_4402:3000_5402:3000_6402:3000</v>
      </c>
      <c r="I30" s="2" t="str">
        <f t="shared" si="21"/>
        <v>4402:3000</v>
      </c>
      <c r="J30" s="2" t="str">
        <f t="shared" si="21"/>
        <v>5402:3000</v>
      </c>
      <c r="K30" s="2" t="str">
        <f t="shared" si="21"/>
        <v>6402:3000</v>
      </c>
    </row>
    <row r="31" spans="2:26" x14ac:dyDescent="0.15">
      <c r="B31">
        <v>4</v>
      </c>
      <c r="C31" s="16">
        <v>0</v>
      </c>
      <c r="E31" s="12"/>
      <c r="F31" s="12"/>
      <c r="G31" s="3" t="str">
        <f t="shared" si="18"/>
        <v>7402:500_8402:500_9402:500_10194:3000_10196:1000_10197:0_10200:0_10198:0_10199:0_10201:0_10202:0_10203:0_10204:0_4402:500_5402:500_6402:500</v>
      </c>
      <c r="I31" s="3" t="str">
        <f t="shared" si="21"/>
        <v>4402:500</v>
      </c>
      <c r="J31" s="3" t="str">
        <f t="shared" si="21"/>
        <v>5402:500</v>
      </c>
      <c r="K31" s="3" t="str">
        <f t="shared" si="21"/>
        <v>6402:500</v>
      </c>
    </row>
    <row r="32" spans="2:26" x14ac:dyDescent="0.15">
      <c r="B32">
        <v>6</v>
      </c>
      <c r="C32" s="14">
        <v>0</v>
      </c>
      <c r="E32" s="12"/>
      <c r="F32" s="12"/>
      <c r="G32" s="3" t="str">
        <f t="shared" si="18"/>
        <v>7402:1000_8402:1000_9402:1000_10194:3000_10196:1000_10184:1000_10197:0_10200:0_10198:0_10199:0_10201:0_10202:0_10203:0_10204:0_4402:1000_5402:1000_6402:1000</v>
      </c>
      <c r="I32" s="3" t="str">
        <f t="shared" si="21"/>
        <v>4402:1000</v>
      </c>
      <c r="J32" s="3" t="str">
        <f t="shared" si="21"/>
        <v>5402:1000</v>
      </c>
      <c r="K32" s="3" t="str">
        <f t="shared" si="21"/>
        <v>6402:1000</v>
      </c>
    </row>
    <row r="33" spans="2:11" x14ac:dyDescent="0.15">
      <c r="B33">
        <v>8</v>
      </c>
      <c r="C33" s="15">
        <v>0</v>
      </c>
      <c r="E33" s="12"/>
      <c r="F33" s="12"/>
      <c r="G33" s="3" t="str">
        <f t="shared" si="18"/>
        <v>7402:2000_8402:2000_9402:2000_10194:3000_10196:1000_10184:1000_10113:1000_10197:0_10200:0_10198:0_10199:0_10201:0_10202:0_10203:0_10204:0_4402:2000_5402:2000_6402:2000</v>
      </c>
      <c r="I33" s="3" t="str">
        <f t="shared" ref="I33:J33" si="22">I29</f>
        <v>4402:2000</v>
      </c>
      <c r="J33" s="3" t="str">
        <f t="shared" si="22"/>
        <v>5402:2000</v>
      </c>
      <c r="K33" s="3" t="str">
        <f t="shared" si="19"/>
        <v>6402:2000</v>
      </c>
    </row>
    <row r="34" spans="2:11" x14ac:dyDescent="0.15">
      <c r="E34" s="12"/>
      <c r="F34" s="12"/>
      <c r="G34" s="3" t="str">
        <f t="shared" si="18"/>
        <v>7402:3000_8402:3000_9402:3000_10194:3000_10196:1000_10184:1000_10113:1000_10197:0_10200:0_10188:2000_10198:0_10199:0_10201:0_10202:0_10203:0_10204:0_4402:3000_5402:3000_6402:3000</v>
      </c>
      <c r="I34" s="3" t="str">
        <f t="shared" ref="I34:J34" si="23">I30</f>
        <v>4402:3000</v>
      </c>
      <c r="J34" s="3" t="str">
        <f t="shared" si="23"/>
        <v>5402:3000</v>
      </c>
      <c r="K34" s="3" t="str">
        <f t="shared" si="19"/>
        <v>6402:3000</v>
      </c>
    </row>
    <row r="35" spans="2:11" x14ac:dyDescent="0.15">
      <c r="B35" s="11" t="s">
        <v>134</v>
      </c>
      <c r="C35" s="11" t="s">
        <v>135</v>
      </c>
      <c r="D35" s="11" t="s">
        <v>136</v>
      </c>
      <c r="E35" s="12"/>
      <c r="F35" s="12"/>
      <c r="G35" s="4" t="str">
        <f t="shared" si="18"/>
        <v>7402:500_8402:500_9402:500_10195:3000_10196:1000_10204:0_10203:0_10197:0_10198:0_10199:0_10200:0_10201:0_10202:0_4402:500_5402:500_6402:500</v>
      </c>
      <c r="I35" s="4" t="str">
        <f t="shared" ref="I35:J35" si="24">I31</f>
        <v>4402:500</v>
      </c>
      <c r="J35" s="4" t="str">
        <f t="shared" si="24"/>
        <v>5402:500</v>
      </c>
      <c r="K35" s="4" t="str">
        <f t="shared" si="19"/>
        <v>6402:500</v>
      </c>
    </row>
    <row r="36" spans="2:11" x14ac:dyDescent="0.15">
      <c r="B36" s="12" t="s">
        <v>119</v>
      </c>
      <c r="C36" s="12">
        <v>1</v>
      </c>
      <c r="D36">
        <v>3</v>
      </c>
      <c r="E36" s="12"/>
      <c r="F36" s="12"/>
      <c r="G36" s="4" t="str">
        <f t="shared" si="18"/>
        <v>7402:1000_8402:1000_9402:1000_10195:3000_10196:1000_10185:1000_10204:0_10203:0_10197:0_10198:0_10199:0_10200:0_10201:0_10202:0_4402:1000_5402:1000_6402:1000</v>
      </c>
      <c r="I36" s="4" t="str">
        <f t="shared" ref="I36:J36" si="25">I32</f>
        <v>4402:1000</v>
      </c>
      <c r="J36" s="4" t="str">
        <f t="shared" si="25"/>
        <v>5402:1000</v>
      </c>
      <c r="K36" s="4" t="str">
        <f t="shared" si="19"/>
        <v>6402:1000</v>
      </c>
    </row>
    <row r="37" spans="2:11" x14ac:dyDescent="0.15">
      <c r="B37" s="12" t="s">
        <v>125</v>
      </c>
      <c r="C37" s="12">
        <v>2</v>
      </c>
      <c r="D37">
        <v>2</v>
      </c>
      <c r="G37" s="4" t="str">
        <f t="shared" si="18"/>
        <v>7402:2000_8402:2000_9402:2000_10195:3000_10196:1000_10185:1000_10114:1000_10204:0_10203:0_10197:0_10198:0_10199:0_10200:0_10201:0_10202:0_4402:2000_5402:2000_6402:2000</v>
      </c>
      <c r="I37" s="4" t="str">
        <f t="shared" ref="I37:J37" si="26">I33</f>
        <v>4402:2000</v>
      </c>
      <c r="J37" s="4" t="str">
        <f t="shared" si="26"/>
        <v>5402:2000</v>
      </c>
      <c r="K37" s="4" t="str">
        <f>K33</f>
        <v>6402:2000</v>
      </c>
    </row>
    <row r="38" spans="2:11" x14ac:dyDescent="0.15">
      <c r="B38" s="12" t="s">
        <v>123</v>
      </c>
      <c r="C38" s="12">
        <v>3</v>
      </c>
      <c r="D38">
        <v>1</v>
      </c>
      <c r="G38" s="4" t="str">
        <f t="shared" si="18"/>
        <v>7402:3000_8402:3000_9402:3000_10195:3000_10196:1000_10185:1000_10114:1000_10204:0_10203:0_10189:2000_10197:0_10198:0_10199:0_10200:0_10201:0_10202:0_4402:3000_5402:3000_6402:3000</v>
      </c>
      <c r="I38" s="4" t="str">
        <f t="shared" ref="I38:J38" si="27">I34</f>
        <v>4402:3000</v>
      </c>
      <c r="J38" s="4" t="str">
        <f t="shared" si="27"/>
        <v>5402:3000</v>
      </c>
      <c r="K38" s="4" t="str">
        <f>K34</f>
        <v>6402:3000</v>
      </c>
    </row>
    <row r="39" spans="2:11" x14ac:dyDescent="0.15">
      <c r="B39" s="12" t="s">
        <v>124</v>
      </c>
      <c r="C39" s="12">
        <v>4</v>
      </c>
      <c r="D39">
        <v>3</v>
      </c>
    </row>
    <row r="40" spans="2:11" x14ac:dyDescent="0.15">
      <c r="B40" s="12" t="s">
        <v>121</v>
      </c>
      <c r="C40" s="12">
        <v>5</v>
      </c>
      <c r="D40">
        <v>1</v>
      </c>
    </row>
    <row r="41" spans="2:11" x14ac:dyDescent="0.15">
      <c r="B41" s="12" t="s">
        <v>126</v>
      </c>
      <c r="C41" s="12">
        <v>6</v>
      </c>
      <c r="D41">
        <v>2</v>
      </c>
    </row>
    <row r="42" spans="2:11" x14ac:dyDescent="0.15">
      <c r="B42" s="12" t="s">
        <v>122</v>
      </c>
      <c r="C42" s="12">
        <v>7</v>
      </c>
      <c r="D42">
        <v>4</v>
      </c>
    </row>
    <row r="43" spans="2:11" x14ac:dyDescent="0.15">
      <c r="B43" s="12" t="s">
        <v>120</v>
      </c>
      <c r="C43" s="12">
        <v>8</v>
      </c>
      <c r="D43">
        <v>4</v>
      </c>
    </row>
    <row r="48" spans="2:11" x14ac:dyDescent="0.15">
      <c r="B48" s="11" t="s">
        <v>108</v>
      </c>
      <c r="C48" s="11" t="s">
        <v>109</v>
      </c>
      <c r="D48" s="11" t="s">
        <v>110</v>
      </c>
    </row>
    <row r="49" spans="2:5" x14ac:dyDescent="0.15">
      <c r="B49" s="11" t="s">
        <v>80</v>
      </c>
      <c r="C49" s="6" t="s">
        <v>85</v>
      </c>
      <c r="D49" s="6" t="s">
        <v>76</v>
      </c>
    </row>
    <row r="50" spans="2:5" x14ac:dyDescent="0.15">
      <c r="B50" s="11" t="s">
        <v>81</v>
      </c>
      <c r="C50" s="2" t="s">
        <v>87</v>
      </c>
      <c r="D50" s="2" t="s">
        <v>77</v>
      </c>
    </row>
    <row r="51" spans="2:5" x14ac:dyDescent="0.15">
      <c r="B51" s="11" t="s">
        <v>82</v>
      </c>
      <c r="C51" s="3" t="s">
        <v>89</v>
      </c>
      <c r="D51" s="3" t="s">
        <v>79</v>
      </c>
    </row>
    <row r="52" spans="2:5" x14ac:dyDescent="0.15">
      <c r="B52" s="11" t="s">
        <v>83</v>
      </c>
      <c r="C52" s="15" t="s">
        <v>111</v>
      </c>
      <c r="D52" s="4" t="s">
        <v>78</v>
      </c>
      <c r="E52" s="11" t="s">
        <v>112</v>
      </c>
    </row>
    <row r="54" spans="2:5" x14ac:dyDescent="0.15">
      <c r="B54" s="11" t="s">
        <v>105</v>
      </c>
      <c r="C54" s="11" t="s">
        <v>107</v>
      </c>
      <c r="D54" s="11" t="s">
        <v>106</v>
      </c>
    </row>
    <row r="55" spans="2:5" x14ac:dyDescent="0.15">
      <c r="B55" s="11" t="s">
        <v>80</v>
      </c>
      <c r="C55" s="6" t="s">
        <v>85</v>
      </c>
      <c r="D55" s="6" t="s">
        <v>84</v>
      </c>
    </row>
    <row r="56" spans="2:5" x14ac:dyDescent="0.15">
      <c r="B56" s="11" t="s">
        <v>81</v>
      </c>
      <c r="C56" s="2" t="s">
        <v>87</v>
      </c>
      <c r="D56" s="2" t="s">
        <v>86</v>
      </c>
    </row>
    <row r="57" spans="2:5" x14ac:dyDescent="0.15">
      <c r="B57" s="11" t="s">
        <v>82</v>
      </c>
      <c r="C57" s="3" t="s">
        <v>89</v>
      </c>
      <c r="D57" s="3" t="s">
        <v>88</v>
      </c>
    </row>
    <row r="58" spans="2:5" x14ac:dyDescent="0.15">
      <c r="B58" s="11" t="s">
        <v>83</v>
      </c>
      <c r="C58" s="4" t="s">
        <v>91</v>
      </c>
      <c r="D58" s="4" t="s">
        <v>90</v>
      </c>
      <c r="E58" s="11" t="s">
        <v>112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maze_equip_suite_attr_v8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yangjinzhi</cp:lastModifiedBy>
  <dcterms:created xsi:type="dcterms:W3CDTF">2024-08-22T06:45:00Z</dcterms:created>
  <dcterms:modified xsi:type="dcterms:W3CDTF">2025-03-14T02:55:58Z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02AF531CA13E4DAE837E75A005E9528D_12</vt:lpwstr>
  </property>
  <property fmtid="{D5CDD505-2E9C-101B-9397-08002B2CF9AE}" pid="3" name="KSOProductBuildVer">
    <vt:lpwstr>2052-12.1.0.18276</vt:lpwstr>
  </property>
</Properties>
</file>