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91E6A48D-E851-4306-9AAD-9EFE82EED6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nergy_affix_v8" sheetId="2" r:id="rId1"/>
    <sheet name="备注" sheetId="3" r:id="rId2"/>
  </sheets>
  <definedNames>
    <definedName name="_xlnm._FilterDatabase" localSheetId="0" hidden="1">maze_energy_affix_v8!$A$4:$K$166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3" l="1"/>
  <c r="F3" i="3" l="1"/>
  <c r="H3" i="3" s="1"/>
  <c r="E2" i="3" l="1"/>
  <c r="F28" i="3"/>
  <c r="H28" i="3" s="1"/>
  <c r="F29" i="3"/>
  <c r="H29" i="3" s="1"/>
  <c r="F30" i="3"/>
  <c r="H30" i="3" s="1"/>
  <c r="F31" i="3"/>
  <c r="H31" i="3" s="1"/>
  <c r="F32" i="3"/>
  <c r="H32" i="3" s="1"/>
  <c r="F4" i="3"/>
  <c r="H4" i="3" s="1"/>
  <c r="F5" i="3" l="1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H20" i="3" s="1"/>
  <c r="F21" i="3"/>
  <c r="H21" i="3" s="1"/>
  <c r="F22" i="3"/>
  <c r="H22" i="3" s="1"/>
  <c r="F23" i="3"/>
  <c r="H23" i="3" s="1"/>
  <c r="F24" i="3"/>
  <c r="H24" i="3" s="1"/>
  <c r="F25" i="3"/>
  <c r="H25" i="3" s="1"/>
  <c r="F26" i="3"/>
  <c r="H26" i="3" s="1"/>
  <c r="F27" i="3"/>
  <c r="H27" i="3" s="1"/>
  <c r="F33" i="3"/>
  <c r="H33" i="3" s="1"/>
  <c r="F34" i="3"/>
  <c r="H34" i="3" s="1"/>
  <c r="F35" i="3"/>
  <c r="H35" i="3" s="1"/>
  <c r="F36" i="3"/>
  <c r="H36" i="3" s="1"/>
  <c r="F37" i="3"/>
  <c r="H37" i="3" s="1"/>
  <c r="F38" i="3"/>
  <c r="H38" i="3" s="1"/>
  <c r="F39" i="3"/>
  <c r="H39" i="3" s="1"/>
  <c r="F40" i="3"/>
  <c r="H40" i="3" s="1"/>
  <c r="F41" i="3"/>
  <c r="H41" i="3" s="1"/>
  <c r="F42" i="3"/>
  <c r="H42" i="3" s="1"/>
  <c r="F43" i="3"/>
  <c r="H43" i="3" s="1"/>
  <c r="F44" i="3"/>
  <c r="H44" i="3" s="1"/>
  <c r="F45" i="3"/>
  <c r="H45" i="3" s="1"/>
  <c r="F46" i="3"/>
  <c r="H46" i="3" s="1"/>
  <c r="F47" i="3"/>
  <c r="H47" i="3" s="1"/>
  <c r="F48" i="3"/>
  <c r="H48" i="3" s="1"/>
  <c r="F49" i="3"/>
  <c r="H49" i="3" s="1"/>
  <c r="F50" i="3"/>
  <c r="H50" i="3" s="1"/>
  <c r="F51" i="3"/>
  <c r="H51" i="3" s="1"/>
  <c r="F52" i="3"/>
  <c r="H52" i="3" s="1"/>
  <c r="F53" i="3"/>
  <c r="H53" i="3" s="1"/>
  <c r="F54" i="3"/>
  <c r="H54" i="3" s="1"/>
  <c r="F55" i="3"/>
  <c r="H55" i="3" s="1"/>
  <c r="F56" i="3"/>
  <c r="H56" i="3" s="1"/>
  <c r="F57" i="3"/>
  <c r="H57" i="3" s="1"/>
  <c r="F58" i="3"/>
  <c r="H58" i="3" s="1"/>
  <c r="F59" i="3"/>
  <c r="H59" i="3" s="1"/>
  <c r="F60" i="3"/>
  <c r="H60" i="3" s="1"/>
  <c r="F61" i="3"/>
  <c r="H61" i="3" s="1"/>
  <c r="F62" i="3"/>
  <c r="H62" i="3" s="1"/>
  <c r="F63" i="3"/>
  <c r="H63" i="3" s="1"/>
  <c r="F64" i="3"/>
  <c r="H64" i="3" s="1"/>
  <c r="F65" i="3"/>
  <c r="H65" i="3" s="1"/>
  <c r="F66" i="3"/>
  <c r="H66" i="3" s="1"/>
  <c r="F67" i="3"/>
  <c r="H67" i="3" s="1"/>
  <c r="F68" i="3"/>
  <c r="H68" i="3" s="1"/>
  <c r="F69" i="3"/>
  <c r="H69" i="3" s="1"/>
  <c r="F70" i="3"/>
  <c r="H70" i="3" s="1"/>
  <c r="F71" i="3"/>
  <c r="H71" i="3" s="1"/>
  <c r="F72" i="3"/>
  <c r="H72" i="3" s="1"/>
  <c r="F73" i="3"/>
  <c r="H73" i="3" s="1"/>
  <c r="F74" i="3"/>
  <c r="H74" i="3" s="1"/>
  <c r="F75" i="3"/>
  <c r="H75" i="3" s="1"/>
  <c r="F76" i="3"/>
  <c r="H76" i="3" s="1"/>
  <c r="F77" i="3"/>
  <c r="H77" i="3" s="1"/>
  <c r="F78" i="3"/>
  <c r="H78" i="3" s="1"/>
  <c r="F79" i="3"/>
  <c r="H79" i="3" s="1"/>
  <c r="F80" i="3"/>
  <c r="H80" i="3" s="1"/>
  <c r="F81" i="3"/>
  <c r="H81" i="3" s="1"/>
  <c r="F82" i="3"/>
  <c r="H82" i="3" s="1"/>
  <c r="F83" i="3"/>
  <c r="H83" i="3" s="1"/>
  <c r="F84" i="3"/>
  <c r="H84" i="3" s="1"/>
  <c r="F85" i="3"/>
  <c r="H85" i="3" s="1"/>
  <c r="F86" i="3"/>
  <c r="H86" i="3" s="1"/>
  <c r="F87" i="3"/>
  <c r="H87" i="3" s="1"/>
  <c r="F88" i="3"/>
  <c r="H88" i="3" s="1"/>
  <c r="F89" i="3"/>
  <c r="H89" i="3" s="1"/>
  <c r="F90" i="3"/>
  <c r="H90" i="3" s="1"/>
  <c r="F91" i="3"/>
  <c r="H91" i="3" s="1"/>
  <c r="F92" i="3"/>
  <c r="H92" i="3" s="1"/>
  <c r="F93" i="3"/>
  <c r="H93" i="3" s="1"/>
  <c r="F94" i="3"/>
  <c r="H94" i="3" s="1"/>
  <c r="F95" i="3"/>
  <c r="H95" i="3" s="1"/>
  <c r="F96" i="3"/>
  <c r="H96" i="3" s="1"/>
  <c r="F97" i="3"/>
  <c r="H97" i="3" s="1"/>
  <c r="F98" i="3"/>
  <c r="H98" i="3" s="1"/>
  <c r="F99" i="3"/>
  <c r="H99" i="3" s="1"/>
  <c r="F100" i="3"/>
  <c r="H100" i="3" s="1"/>
  <c r="F101" i="3"/>
  <c r="H101" i="3" s="1"/>
  <c r="F102" i="3"/>
  <c r="H102" i="3" s="1"/>
  <c r="F103" i="3"/>
  <c r="H103" i="3" s="1"/>
  <c r="F104" i="3"/>
  <c r="H104" i="3" s="1"/>
  <c r="F105" i="3"/>
  <c r="H105" i="3" s="1"/>
  <c r="F106" i="3"/>
  <c r="H106" i="3" s="1"/>
  <c r="F107" i="3"/>
  <c r="H107" i="3" s="1"/>
  <c r="F108" i="3"/>
  <c r="H108" i="3" s="1"/>
  <c r="F109" i="3"/>
  <c r="H109" i="3" s="1"/>
  <c r="F110" i="3"/>
  <c r="H110" i="3" s="1"/>
  <c r="F111" i="3"/>
  <c r="H111" i="3" s="1"/>
  <c r="F112" i="3"/>
  <c r="H112" i="3" s="1"/>
  <c r="F113" i="3"/>
  <c r="H113" i="3" s="1"/>
  <c r="F114" i="3"/>
  <c r="H114" i="3" s="1"/>
  <c r="F115" i="3"/>
  <c r="H115" i="3" s="1"/>
  <c r="F116" i="3"/>
  <c r="H116" i="3" s="1"/>
  <c r="F117" i="3"/>
  <c r="H117" i="3" s="1"/>
  <c r="F118" i="3"/>
  <c r="H118" i="3" s="1"/>
  <c r="F119" i="3"/>
  <c r="H119" i="3" s="1"/>
  <c r="F120" i="3"/>
  <c r="H120" i="3" s="1"/>
  <c r="F121" i="3"/>
  <c r="H121" i="3" s="1"/>
  <c r="F122" i="3"/>
  <c r="H122" i="3" s="1"/>
  <c r="F123" i="3"/>
  <c r="H123" i="3" s="1"/>
  <c r="F124" i="3"/>
  <c r="H124" i="3" s="1"/>
  <c r="F125" i="3"/>
  <c r="H125" i="3" s="1"/>
  <c r="F126" i="3"/>
  <c r="H126" i="3" s="1"/>
  <c r="F127" i="3"/>
  <c r="H127" i="3" s="1"/>
  <c r="F128" i="3"/>
  <c r="H128" i="3" s="1"/>
  <c r="F129" i="3"/>
  <c r="H129" i="3" s="1"/>
  <c r="F130" i="3"/>
  <c r="H130" i="3" s="1"/>
  <c r="F131" i="3"/>
  <c r="H131" i="3" s="1"/>
  <c r="F132" i="3"/>
  <c r="H132" i="3" s="1"/>
  <c r="F133" i="3"/>
  <c r="H133" i="3" s="1"/>
  <c r="F134" i="3"/>
  <c r="H134" i="3" s="1"/>
  <c r="F135" i="3"/>
  <c r="H135" i="3" s="1"/>
  <c r="F136" i="3"/>
  <c r="H136" i="3" s="1"/>
  <c r="F137" i="3"/>
  <c r="H137" i="3" s="1"/>
  <c r="F138" i="3"/>
  <c r="H138" i="3" s="1"/>
  <c r="F139" i="3"/>
  <c r="H139" i="3" s="1"/>
  <c r="F140" i="3"/>
  <c r="H140" i="3" s="1"/>
  <c r="F141" i="3"/>
  <c r="H141" i="3" s="1"/>
  <c r="F142" i="3"/>
  <c r="H142" i="3" s="1"/>
  <c r="F143" i="3"/>
  <c r="H143" i="3" s="1"/>
  <c r="F144" i="3"/>
  <c r="H144" i="3" s="1"/>
  <c r="F145" i="3"/>
  <c r="H145" i="3" s="1"/>
  <c r="F146" i="3"/>
  <c r="H146" i="3" s="1"/>
  <c r="F147" i="3"/>
  <c r="H147" i="3" s="1"/>
  <c r="F148" i="3"/>
  <c r="H148" i="3" s="1"/>
  <c r="F149" i="3"/>
  <c r="H149" i="3" s="1"/>
  <c r="F150" i="3"/>
  <c r="H150" i="3" s="1"/>
  <c r="F151" i="3"/>
  <c r="H151" i="3" s="1"/>
  <c r="F152" i="3"/>
  <c r="H152" i="3" s="1"/>
  <c r="F153" i="3"/>
  <c r="H153" i="3" s="1"/>
  <c r="F154" i="3"/>
  <c r="H154" i="3" s="1"/>
  <c r="F155" i="3"/>
  <c r="H155" i="3" s="1"/>
  <c r="F156" i="3"/>
  <c r="H156" i="3" s="1"/>
  <c r="F157" i="3"/>
  <c r="H157" i="3" s="1"/>
  <c r="F158" i="3"/>
  <c r="H158" i="3" s="1"/>
  <c r="F159" i="3"/>
  <c r="H159" i="3" s="1"/>
  <c r="F160" i="3"/>
  <c r="H160" i="3" s="1"/>
  <c r="F161" i="3"/>
  <c r="H161" i="3" s="1"/>
  <c r="F162" i="3"/>
  <c r="H162" i="3" s="1"/>
  <c r="F163" i="3"/>
  <c r="H163" i="3" s="1"/>
  <c r="F164" i="3"/>
  <c r="H164" i="3" s="1"/>
  <c r="F165" i="3"/>
  <c r="H165" i="3" s="1"/>
  <c r="F166" i="3"/>
  <c r="H166" i="3" s="1"/>
  <c r="F167" i="3"/>
  <c r="H167" i="3" s="1"/>
  <c r="P19" i="3" l="1"/>
  <c r="P20" i="3" s="1"/>
  <c r="P21" i="3" s="1"/>
  <c r="P16" i="3"/>
  <c r="P17" i="3" s="1"/>
  <c r="P24" i="3"/>
  <c r="A4" i="3" l="1"/>
  <c r="A5" i="3" s="1"/>
  <c r="A6" i="3" s="1"/>
  <c r="A7" i="3" s="1"/>
  <c r="A8" i="3" s="1"/>
  <c r="A9" i="3" s="1"/>
  <c r="A10" i="3" s="1"/>
  <c r="A11" i="3" s="1"/>
</calcChain>
</file>

<file path=xl/sharedStrings.xml><?xml version="1.0" encoding="utf-8"?>
<sst xmlns="http://schemas.openxmlformats.org/spreadsheetml/2006/main" count="1557" uniqueCount="769">
  <si>
    <t>paipaiworld_config</t>
  </si>
  <si>
    <t>词条名字</t>
    <phoneticPr fontId="1" type="noConversion"/>
  </si>
  <si>
    <t>词条id</t>
    <phoneticPr fontId="1" type="noConversion"/>
  </si>
  <si>
    <t>实际增加的属性</t>
    <phoneticPr fontId="1" type="noConversion"/>
  </si>
  <si>
    <t>词条的描述</t>
    <phoneticPr fontId="1" type="noConversion"/>
  </si>
  <si>
    <t>词条等级</t>
    <phoneticPr fontId="1" type="noConversion"/>
  </si>
  <si>
    <t>攻击+%s</t>
    <phoneticPr fontId="1" type="noConversion"/>
  </si>
  <si>
    <t>词条组id</t>
    <phoneticPr fontId="1" type="noConversion"/>
  </si>
  <si>
    <t>INT_S</t>
    <phoneticPr fontId="1" type="noConversion"/>
  </si>
  <si>
    <t>MAP&lt;INT:LONG&gt;_S</t>
    <phoneticPr fontId="1" type="noConversion"/>
  </si>
  <si>
    <t>STRING_S</t>
    <phoneticPr fontId="1" type="noConversion"/>
  </si>
  <si>
    <t>描述通配符id（属性id）</t>
    <phoneticPr fontId="1" type="noConversion"/>
  </si>
  <si>
    <t>add_attr</t>
    <phoneticPr fontId="1" type="noConversion"/>
  </si>
  <si>
    <t>affix_name</t>
    <phoneticPr fontId="1" type="noConversion"/>
  </si>
  <si>
    <t>affix_desc</t>
    <phoneticPr fontId="1" type="noConversion"/>
  </si>
  <si>
    <t>affix_wildcard</t>
    <phoneticPr fontId="1" type="noConversion"/>
  </si>
  <si>
    <t>affix_group_id</t>
    <phoneticPr fontId="1" type="noConversion"/>
  </si>
  <si>
    <t>affix_lv</t>
    <phoneticPr fontId="1" type="noConversion"/>
  </si>
  <si>
    <t>前置词条id</t>
    <phoneticPr fontId="1" type="noConversion"/>
  </si>
  <si>
    <t>LIST&lt;INT&gt;_S</t>
    <phoneticPr fontId="1" type="noConversion"/>
  </si>
  <si>
    <t>INT_K</t>
    <phoneticPr fontId="1" type="noConversion"/>
  </si>
  <si>
    <t>order</t>
    <phoneticPr fontId="1" type="noConversion"/>
  </si>
  <si>
    <t>use_num_max</t>
    <phoneticPr fontId="1" type="noConversion"/>
  </si>
  <si>
    <t>可使用最大次数</t>
    <phoneticPr fontId="1" type="noConversion"/>
  </si>
  <si>
    <t>weight</t>
    <phoneticPr fontId="1" type="noConversion"/>
  </si>
  <si>
    <t>随机权重</t>
    <phoneticPr fontId="1" type="noConversion"/>
  </si>
  <si>
    <t>font_affix_condition</t>
    <phoneticPr fontId="1" type="noConversion"/>
  </si>
  <si>
    <t>affix_group_order</t>
    <phoneticPr fontId="1" type="noConversion"/>
  </si>
  <si>
    <t>词条组内编号</t>
    <phoneticPr fontId="1" type="noConversion"/>
  </si>
  <si>
    <t>攻击+%s</t>
  </si>
  <si>
    <t>防御+%s</t>
    <phoneticPr fontId="1" type="noConversion"/>
  </si>
  <si>
    <t>攻击伤害+%s</t>
  </si>
  <si>
    <t>攻击伤害+%s</t>
    <phoneticPr fontId="1" type="noConversion"/>
  </si>
  <si>
    <t>伤害总加成+%s</t>
  </si>
  <si>
    <t>伤害总加成+%s</t>
    <phoneticPr fontId="1" type="noConversion"/>
  </si>
  <si>
    <t>攻击速度+%s</t>
  </si>
  <si>
    <t>攻击速度+%s</t>
    <phoneticPr fontId="1" type="noConversion"/>
  </si>
  <si>
    <t>攻击范围+%s</t>
  </si>
  <si>
    <t>攻击范围+%s</t>
    <phoneticPr fontId="1" type="noConversion"/>
  </si>
  <si>
    <t>暴击几率+%s</t>
  </si>
  <si>
    <t>暴击几率+%s</t>
    <phoneticPr fontId="1" type="noConversion"/>
  </si>
  <si>
    <t>暴击伤害+%s</t>
  </si>
  <si>
    <t>暴击伤害+%s</t>
    <phoneticPr fontId="1" type="noConversion"/>
  </si>
  <si>
    <t>攻击附加冰元素系数+%s</t>
  </si>
  <si>
    <t>攻击附加冰元素系数+%s</t>
    <phoneticPr fontId="1" type="noConversion"/>
  </si>
  <si>
    <t>冰元素攻击+%s</t>
  </si>
  <si>
    <t>冰元素攻击+%s</t>
    <phoneticPr fontId="1" type="noConversion"/>
  </si>
  <si>
    <t>冰元素伤害+%s</t>
  </si>
  <si>
    <t>冰元素伤害+%s</t>
    <phoneticPr fontId="1" type="noConversion"/>
  </si>
  <si>
    <t>攻击附加火元素系数+%s</t>
  </si>
  <si>
    <t>攻击附加火元素系数+%s</t>
    <phoneticPr fontId="1" type="noConversion"/>
  </si>
  <si>
    <t>火元素攻击+%s</t>
  </si>
  <si>
    <t>火元素伤害+%s</t>
  </si>
  <si>
    <t>攻击附加电元素系数+%s</t>
  </si>
  <si>
    <t>电元素攻击+%s</t>
  </si>
  <si>
    <t>电元素伤害+%s</t>
  </si>
  <si>
    <t>攻击附加毒元素系数+%s</t>
  </si>
  <si>
    <t>毒元素攻击+%s</t>
  </si>
  <si>
    <t>毒元素伤害+%s</t>
  </si>
  <si>
    <t>3040101:100</t>
  </si>
  <si>
    <t>冰系</t>
    <phoneticPr fontId="1" type="noConversion"/>
  </si>
  <si>
    <t>攻击伤害</t>
    <phoneticPr fontId="1" type="noConversion"/>
  </si>
  <si>
    <t>受到伤害</t>
    <phoneticPr fontId="1" type="noConversion"/>
  </si>
  <si>
    <t>额外伤害</t>
    <phoneticPr fontId="1" type="noConversion"/>
  </si>
  <si>
    <t>受到额外伤害</t>
    <phoneticPr fontId="1" type="noConversion"/>
  </si>
  <si>
    <t>伤害总加成</t>
    <phoneticPr fontId="1" type="noConversion"/>
  </si>
  <si>
    <t>受到伤害总加成</t>
    <phoneticPr fontId="1" type="noConversion"/>
  </si>
  <si>
    <t>攻击速度</t>
    <phoneticPr fontId="1" type="noConversion"/>
  </si>
  <si>
    <t>攻击范围</t>
    <phoneticPr fontId="1" type="noConversion"/>
  </si>
  <si>
    <t>击中怪物回血</t>
    <phoneticPr fontId="1" type="noConversion"/>
  </si>
  <si>
    <t>暴击几率</t>
    <phoneticPr fontId="1" type="noConversion"/>
  </si>
  <si>
    <t>暴击伤害</t>
    <phoneticPr fontId="1" type="noConversion"/>
  </si>
  <si>
    <t>移动速度</t>
    <phoneticPr fontId="1" type="noConversion"/>
  </si>
  <si>
    <t>攻击数量</t>
    <phoneticPr fontId="1" type="noConversion"/>
  </si>
  <si>
    <t>攻击附加冰元素系数</t>
    <phoneticPr fontId="1" type="noConversion"/>
  </si>
  <si>
    <t>冰元素攻击</t>
    <phoneticPr fontId="1" type="noConversion"/>
  </si>
  <si>
    <t>冰元素伤害</t>
    <phoneticPr fontId="1" type="noConversion"/>
  </si>
  <si>
    <t>受到冰元素伤害</t>
    <phoneticPr fontId="1" type="noConversion"/>
  </si>
  <si>
    <t>额外冰伤害</t>
    <phoneticPr fontId="1" type="noConversion"/>
  </si>
  <si>
    <t>受到额外冰伤害</t>
    <phoneticPr fontId="1" type="noConversion"/>
  </si>
  <si>
    <t>攻击附加火元素系数</t>
    <phoneticPr fontId="1" type="noConversion"/>
  </si>
  <si>
    <t>火元素攻击</t>
  </si>
  <si>
    <t>火元素伤害</t>
  </si>
  <si>
    <t>受到火元素伤害</t>
  </si>
  <si>
    <t>额外火伤害</t>
  </si>
  <si>
    <t>受到额外火伤害</t>
  </si>
  <si>
    <t>攻击附加电元素系数</t>
    <phoneticPr fontId="1" type="noConversion"/>
  </si>
  <si>
    <t>电元素攻击</t>
  </si>
  <si>
    <t>电元素伤害</t>
  </si>
  <si>
    <t>受到电元素伤害</t>
    <phoneticPr fontId="1" type="noConversion"/>
  </si>
  <si>
    <t>额外电伤害</t>
  </si>
  <si>
    <t>受到额外电伤害</t>
  </si>
  <si>
    <t>攻击附加毒元素系数</t>
    <phoneticPr fontId="1" type="noConversion"/>
  </si>
  <si>
    <t>毒元素攻击</t>
  </si>
  <si>
    <t>毒元素伤害</t>
  </si>
  <si>
    <t>受到毒元素伤害</t>
  </si>
  <si>
    <t>额外毒伤害</t>
  </si>
  <si>
    <t>受到额外毒伤害</t>
  </si>
  <si>
    <t>冰冻持续时间</t>
  </si>
  <si>
    <t>冰冻状态</t>
  </si>
  <si>
    <t>冰元素攻击附加冰冻状态</t>
    <phoneticPr fontId="1" type="noConversion"/>
  </si>
  <si>
    <t>冰冻状态的命中几率</t>
    <phoneticPr fontId="1" type="noConversion"/>
  </si>
  <si>
    <r>
      <t>①</t>
    </r>
    <r>
      <rPr>
        <sz val="9"/>
        <color rgb="FF7030A0"/>
        <rFont val="宋体"/>
        <family val="3"/>
        <charset val="134"/>
      </rPr>
      <t>（零档）</t>
    </r>
    <r>
      <rPr>
        <sz val="9"/>
        <color theme="1"/>
        <rFont val="宋体"/>
        <family val="3"/>
        <charset val="134"/>
      </rPr>
      <t>普攻附带X%的寒冰伤害，并有X%概率会冰冻目标1秒</t>
    </r>
    <phoneticPr fontId="1" type="noConversion"/>
  </si>
  <si>
    <r>
      <t>②</t>
    </r>
    <r>
      <rPr>
        <sz val="9"/>
        <color rgb="FF7030A0"/>
        <rFont val="宋体"/>
        <family val="3"/>
        <charset val="134"/>
      </rPr>
      <t>（零档）</t>
    </r>
    <r>
      <rPr>
        <sz val="9"/>
        <color theme="1"/>
        <rFont val="宋体"/>
        <family val="3"/>
        <charset val="134"/>
      </rPr>
      <t>每间隔N秒，释放一次霜冻新星：以周围随机单个敌人为目标释放霜冻新星，造成单次冰系伤害，同时对周围敌人造成小幅溅射伤害，并有X%概率会冰冻目标1秒</t>
    </r>
    <phoneticPr fontId="1" type="noConversion"/>
  </si>
  <si>
    <r>
      <t>③</t>
    </r>
    <r>
      <rPr>
        <sz val="9"/>
        <color rgb="FF7030A0"/>
        <rFont val="宋体"/>
        <family val="3"/>
        <charset val="134"/>
      </rPr>
      <t>（一档）</t>
    </r>
    <r>
      <rPr>
        <sz val="9"/>
        <color theme="1"/>
        <rFont val="宋体"/>
        <family val="3"/>
        <charset val="134"/>
      </rPr>
      <t>普攻附带的寒冰伤害和霜冻新星伤害提高X%</t>
    </r>
    <phoneticPr fontId="1" type="noConversion"/>
  </si>
  <si>
    <r>
      <t>④</t>
    </r>
    <r>
      <rPr>
        <sz val="9"/>
        <color rgb="FF7030A0"/>
        <rFont val="宋体"/>
        <family val="3"/>
        <charset val="134"/>
      </rPr>
      <t>（一档）</t>
    </r>
    <r>
      <rPr>
        <sz val="9"/>
        <color theme="1"/>
        <rFont val="宋体"/>
        <family val="3"/>
        <charset val="134"/>
      </rPr>
      <t>冰冻概率提高X%</t>
    </r>
    <phoneticPr fontId="1" type="noConversion"/>
  </si>
  <si>
    <r>
      <t>⑤</t>
    </r>
    <r>
      <rPr>
        <sz val="9"/>
        <color rgb="FF7030A0"/>
        <rFont val="宋体"/>
        <family val="3"/>
        <charset val="134"/>
      </rPr>
      <t>（一档）</t>
    </r>
    <r>
      <rPr>
        <sz val="9"/>
        <color theme="1"/>
        <rFont val="宋体"/>
        <family val="3"/>
        <charset val="134"/>
      </rPr>
      <t>冰冻持续时长+1秒</t>
    </r>
    <phoneticPr fontId="1" type="noConversion"/>
  </si>
  <si>
    <r>
      <t>⑥</t>
    </r>
    <r>
      <rPr>
        <sz val="9"/>
        <color rgb="FF7030A0"/>
        <rFont val="宋体"/>
        <family val="3"/>
        <charset val="134"/>
      </rPr>
      <t>（二档）</t>
    </r>
    <r>
      <rPr>
        <sz val="9"/>
        <color theme="1"/>
        <rFont val="宋体"/>
        <family val="3"/>
        <charset val="134"/>
      </rPr>
      <t>释放霜冻新星时将会额外释放1次霜冻新星</t>
    </r>
    <phoneticPr fontId="1" type="noConversion"/>
  </si>
  <si>
    <r>
      <t>⑦</t>
    </r>
    <r>
      <rPr>
        <sz val="9"/>
        <color rgb="FF7030A0"/>
        <rFont val="宋体"/>
        <family val="3"/>
        <charset val="134"/>
      </rPr>
      <t>（二档）</t>
    </r>
    <r>
      <rPr>
        <sz val="9"/>
        <color theme="1"/>
        <rFont val="宋体"/>
        <family val="3"/>
        <charset val="134"/>
      </rPr>
      <t>冰冻状态下的敌人，若再次受到冰冻，则立即受到X%的冰系伤害</t>
    </r>
    <phoneticPr fontId="1" type="noConversion"/>
  </si>
  <si>
    <r>
      <t>⑧</t>
    </r>
    <r>
      <rPr>
        <sz val="9"/>
        <color rgb="FF7030A0"/>
        <rFont val="宋体"/>
        <family val="3"/>
        <charset val="134"/>
      </rPr>
      <t>（三档）</t>
    </r>
    <r>
      <rPr>
        <sz val="9"/>
        <color theme="1"/>
        <rFont val="宋体"/>
        <family val="3"/>
        <charset val="134"/>
      </rPr>
      <t>冰冻概率提高X%，敌人被冰冻时每秒受到其最大生命值X%的冰系伤害</t>
    </r>
    <phoneticPr fontId="1" type="noConversion"/>
  </si>
  <si>
    <r>
      <t>⑨</t>
    </r>
    <r>
      <rPr>
        <sz val="9"/>
        <color rgb="FF7030A0"/>
        <rFont val="宋体"/>
        <family val="3"/>
        <charset val="134"/>
      </rPr>
      <t>（三档）</t>
    </r>
    <r>
      <rPr>
        <sz val="9"/>
        <color theme="1"/>
        <rFont val="宋体"/>
        <family val="3"/>
        <charset val="134"/>
      </rPr>
      <t>冻结状态下的敌人受到伤害时有X%概率被秒杀</t>
    </r>
    <phoneticPr fontId="1" type="noConversion"/>
  </si>
  <si>
    <t>释放霜冻新星时额外触发霜冻新星</t>
    <phoneticPr fontId="1" type="noConversion"/>
  </si>
  <si>
    <t>额外触发霜冻新星几率</t>
  </si>
  <si>
    <t>额外触发霜冻新星次数</t>
  </si>
  <si>
    <t>双重冰冻额外伤害</t>
    <phoneticPr fontId="1" type="noConversion"/>
  </si>
  <si>
    <t>双重冰冻额外伤害系数</t>
    <phoneticPr fontId="1" type="noConversion"/>
  </si>
  <si>
    <t>冰冻时额外持续伤害</t>
    <phoneticPr fontId="1" type="noConversion"/>
  </si>
  <si>
    <t>冰冻持续伤害系数</t>
  </si>
  <si>
    <t>冰冻持续伤害固定值</t>
    <phoneticPr fontId="1" type="noConversion"/>
  </si>
  <si>
    <t>双重冰冻额外伤害固定值</t>
    <phoneticPr fontId="1" type="noConversion"/>
  </si>
  <si>
    <t>逻辑id</t>
    <phoneticPr fontId="1" type="noConversion"/>
  </si>
  <si>
    <t>效果-伤害系数参数1</t>
    <phoneticPr fontId="1" type="noConversion"/>
  </si>
  <si>
    <t>效果-伤害系数参数2</t>
    <phoneticPr fontId="1" type="noConversion"/>
  </si>
  <si>
    <t>霜冻新星额外释放霜冻新星</t>
    <phoneticPr fontId="1" type="noConversion"/>
  </si>
  <si>
    <t>被动技能</t>
    <phoneticPr fontId="1" type="noConversion"/>
  </si>
  <si>
    <t>参数-命中率</t>
    <phoneticPr fontId="1" type="noConversion"/>
  </si>
  <si>
    <t>参数-持续时间</t>
    <phoneticPr fontId="1" type="noConversion"/>
  </si>
  <si>
    <t>参数-参数1</t>
    <phoneticPr fontId="1" type="noConversion"/>
  </si>
  <si>
    <t>参数-参数2</t>
    <phoneticPr fontId="1" type="noConversion"/>
  </si>
  <si>
    <t>3040102:200</t>
  </si>
  <si>
    <t>3041301:100</t>
  </si>
  <si>
    <t>3041401:200</t>
  </si>
  <si>
    <t>攻击</t>
  </si>
  <si>
    <t>防御</t>
  </si>
  <si>
    <t>攻击伤害</t>
  </si>
  <si>
    <t>额外伤害</t>
  </si>
  <si>
    <t>伤害总加成</t>
  </si>
  <si>
    <t>攻击速度</t>
  </si>
  <si>
    <t>攻击范围</t>
  </si>
  <si>
    <t>击中怪物回血</t>
  </si>
  <si>
    <t>暴击几率</t>
  </si>
  <si>
    <t>暴击伤害</t>
  </si>
  <si>
    <t>移动速度</t>
  </si>
  <si>
    <t>攻击附加冰元素系数</t>
  </si>
  <si>
    <t>冰元素攻击</t>
  </si>
  <si>
    <t>冰元素伤害</t>
  </si>
  <si>
    <t>额外冰伤害</t>
  </si>
  <si>
    <t>攻击附加火元素系数</t>
  </si>
  <si>
    <t>攻击附加电元素系数</t>
  </si>
  <si>
    <t>攻击附加毒元素系数</t>
  </si>
  <si>
    <t>3040901:100</t>
  </si>
  <si>
    <t>3041001:200</t>
  </si>
  <si>
    <t>3080301:100</t>
  </si>
  <si>
    <t>3040501:100</t>
  </si>
  <si>
    <t>3040701:200</t>
  </si>
  <si>
    <t>3050000:1</t>
  </si>
  <si>
    <t>3060000:1</t>
  </si>
  <si>
    <t>3070000:1</t>
  </si>
  <si>
    <t>3080000:1</t>
  </si>
  <si>
    <t>3041201:100</t>
  </si>
  <si>
    <t>3041301:200</t>
  </si>
  <si>
    <t>3050102:200</t>
  </si>
  <si>
    <t>3060102:200</t>
  </si>
  <si>
    <t>3070102:200</t>
  </si>
  <si>
    <t>3080102:200</t>
  </si>
  <si>
    <t>3040102:100</t>
  </si>
  <si>
    <t>3040201:200</t>
  </si>
  <si>
    <t>3040701:100</t>
  </si>
  <si>
    <t>3040901:200</t>
  </si>
  <si>
    <t>3050102:100</t>
  </si>
  <si>
    <t>3050301:200</t>
  </si>
  <si>
    <t>3060102:100</t>
  </si>
  <si>
    <t>3060301:200</t>
  </si>
  <si>
    <t>3070102:100</t>
  </si>
  <si>
    <t>3070301:200</t>
  </si>
  <si>
    <t>3080102:100</t>
  </si>
  <si>
    <t>3080301:200</t>
  </si>
  <si>
    <t>3040201:100</t>
  </si>
  <si>
    <t>3040202:200</t>
  </si>
  <si>
    <t>3041401:100</t>
  </si>
  <si>
    <t>3050301:100</t>
  </si>
  <si>
    <t>3060301:100</t>
  </si>
  <si>
    <t>3070301:100</t>
  </si>
  <si>
    <t>3040202:100</t>
  </si>
  <si>
    <t>3040301:200</t>
  </si>
  <si>
    <t>3041001:100</t>
  </si>
  <si>
    <t>3040101:200</t>
  </si>
  <si>
    <t>3040301:100</t>
  </si>
  <si>
    <t>3040501:200</t>
  </si>
  <si>
    <t>3041201:200</t>
  </si>
  <si>
    <t>3040101:800</t>
  </si>
  <si>
    <t>3040101:1600</t>
  </si>
  <si>
    <t>3040101:3200</t>
  </si>
  <si>
    <t>3040102:800</t>
  </si>
  <si>
    <t>3040102:1600</t>
  </si>
  <si>
    <t>3040102:3200</t>
  </si>
  <si>
    <t>3040201:800</t>
  </si>
  <si>
    <t>3040201:1600</t>
  </si>
  <si>
    <t>3040201:3200</t>
  </si>
  <si>
    <t>3040202:800</t>
  </si>
  <si>
    <t>3040202:1600</t>
  </si>
  <si>
    <t>3040202:3200</t>
  </si>
  <si>
    <t>3040301:800</t>
  </si>
  <si>
    <t>3040301:1600</t>
  </si>
  <si>
    <t>3040301:3200</t>
  </si>
  <si>
    <t>3040501:800</t>
  </si>
  <si>
    <t>3040501:1600</t>
  </si>
  <si>
    <t>3040501:3200</t>
  </si>
  <si>
    <t>3040701:800</t>
  </si>
  <si>
    <t>3040701:1600</t>
  </si>
  <si>
    <t>3040701:3200</t>
  </si>
  <si>
    <t>3040901:800</t>
  </si>
  <si>
    <t>3040901:1600</t>
  </si>
  <si>
    <t>3040901:3200</t>
  </si>
  <si>
    <t>3041001:800</t>
  </si>
  <si>
    <t>3041001:1600</t>
  </si>
  <si>
    <t>3041001:3200</t>
  </si>
  <si>
    <t>3041201:800</t>
  </si>
  <si>
    <t>3041201:1600</t>
  </si>
  <si>
    <t>3041201:3200</t>
  </si>
  <si>
    <t>3041301:800</t>
  </si>
  <si>
    <t>3041301:1600</t>
  </si>
  <si>
    <t>3041301:3200</t>
  </si>
  <si>
    <t>3041401:800</t>
  </si>
  <si>
    <t>3041401:1600</t>
  </si>
  <si>
    <t>3041401:3200</t>
  </si>
  <si>
    <t>3050102:800</t>
  </si>
  <si>
    <t>3050102:1600</t>
  </si>
  <si>
    <t>3050102:3200</t>
  </si>
  <si>
    <t>3050301:800</t>
  </si>
  <si>
    <t>3050301:1600</t>
  </si>
  <si>
    <t>3050301:3200</t>
  </si>
  <si>
    <t>3060102:800</t>
  </si>
  <si>
    <t>3060102:1600</t>
  </si>
  <si>
    <t>3060102:3200</t>
  </si>
  <si>
    <t>3060301:800</t>
  </si>
  <si>
    <t>3060301:1600</t>
  </si>
  <si>
    <t>3060301:3200</t>
  </si>
  <si>
    <t>3070102:800</t>
  </si>
  <si>
    <t>3070102:1600</t>
  </si>
  <si>
    <t>3070102:3200</t>
  </si>
  <si>
    <t>3070301:800</t>
  </si>
  <si>
    <t>3070301:1600</t>
  </si>
  <si>
    <t>3070301:3200</t>
  </si>
  <si>
    <t>3080102:800</t>
  </si>
  <si>
    <t>3080102:1600</t>
  </si>
  <si>
    <t>3080102:3200</t>
  </si>
  <si>
    <t>3080301:800</t>
  </si>
  <si>
    <t>3080301:1600</t>
  </si>
  <si>
    <t>3080301:3200</t>
  </si>
  <si>
    <t>0</t>
  </si>
  <si>
    <t>20101</t>
  </si>
  <si>
    <t>30101</t>
  </si>
  <si>
    <t>40101</t>
  </si>
  <si>
    <t>50101</t>
  </si>
  <si>
    <t>1010201</t>
  </si>
  <si>
    <t>1010202</t>
  </si>
  <si>
    <t>1010203</t>
  </si>
  <si>
    <t>1010204</t>
  </si>
  <si>
    <t>1010501</t>
  </si>
  <si>
    <t>1010502</t>
  </si>
  <si>
    <t>1010503</t>
  </si>
  <si>
    <t>1010504</t>
  </si>
  <si>
    <t>1010701</t>
  </si>
  <si>
    <t>1010702</t>
  </si>
  <si>
    <t>1010703</t>
  </si>
  <si>
    <t>1010704</t>
  </si>
  <si>
    <t>1010801</t>
  </si>
  <si>
    <t>1010802</t>
  </si>
  <si>
    <t>1010803</t>
  </si>
  <si>
    <t>1010804</t>
  </si>
  <si>
    <t>1011101</t>
  </si>
  <si>
    <t>1011102</t>
  </si>
  <si>
    <t>1011103</t>
  </si>
  <si>
    <t>1011104</t>
  </si>
  <si>
    <t>1011201</t>
  </si>
  <si>
    <t>1011202</t>
  </si>
  <si>
    <t>1011203</t>
  </si>
  <si>
    <t>1011204</t>
  </si>
  <si>
    <t>2010101</t>
  </si>
  <si>
    <t>2010102</t>
  </si>
  <si>
    <t>2010103</t>
  </si>
  <si>
    <t>2010104</t>
  </si>
  <si>
    <t>2010301,20101</t>
  </si>
  <si>
    <t>2010302,20101</t>
  </si>
  <si>
    <t>2010303,20101</t>
  </si>
  <si>
    <t>2010304,20101</t>
  </si>
  <si>
    <t>2010401,20101</t>
  </si>
  <si>
    <t>2010402,20101</t>
  </si>
  <si>
    <t>2010403,20101</t>
  </si>
  <si>
    <t>2010404,20101</t>
  </si>
  <si>
    <t>3010101</t>
  </si>
  <si>
    <t>3010102</t>
  </si>
  <si>
    <t>3010103</t>
  </si>
  <si>
    <t>3010104</t>
  </si>
  <si>
    <t>3010301,30101</t>
  </si>
  <si>
    <t>3010302,30101</t>
  </si>
  <si>
    <t>3010303,30101</t>
  </si>
  <si>
    <t>3010304,30101</t>
  </si>
  <si>
    <t>3010401,30101</t>
  </si>
  <si>
    <t>3010402,30101</t>
  </si>
  <si>
    <t>3010403,30101</t>
  </si>
  <si>
    <t>3010404,30101</t>
  </si>
  <si>
    <t>4010101</t>
  </si>
  <si>
    <t>4010102</t>
  </si>
  <si>
    <t>4010103</t>
  </si>
  <si>
    <t>4010104</t>
  </si>
  <si>
    <t>4010301,40101</t>
  </si>
  <si>
    <t>4010302,40101</t>
  </si>
  <si>
    <t>4010303,40101</t>
  </si>
  <si>
    <t>4010304,40101</t>
  </si>
  <si>
    <t>4010401,40101</t>
  </si>
  <si>
    <t>4010402,40101</t>
  </si>
  <si>
    <t>4010403,40101</t>
  </si>
  <si>
    <t>4010404,40101</t>
  </si>
  <si>
    <t>5010101</t>
  </si>
  <si>
    <t>5010102</t>
  </si>
  <si>
    <t>5010103</t>
  </si>
  <si>
    <t>5010104</t>
  </si>
  <si>
    <t>5010301,50101</t>
  </si>
  <si>
    <t>5010302,50101</t>
  </si>
  <si>
    <t>5010303,50101</t>
  </si>
  <si>
    <t>5010304,50101</t>
  </si>
  <si>
    <t>5010401,50101</t>
  </si>
  <si>
    <t>5010402,50101</t>
  </si>
  <si>
    <t>5010403,50101</t>
  </si>
  <si>
    <t>5010404,50101</t>
  </si>
  <si>
    <t>3041101:10</t>
  </si>
  <si>
    <t>3041101:20</t>
  </si>
  <si>
    <t>3041101:80</t>
  </si>
  <si>
    <t>3041101:160</t>
  </si>
  <si>
    <t>3041101:320</t>
  </si>
  <si>
    <t>3050001:100</t>
  </si>
  <si>
    <t>3050001:200</t>
  </si>
  <si>
    <t>3050001:800</t>
  </si>
  <si>
    <t>3050001:1600</t>
  </si>
  <si>
    <t>3050001:3200</t>
  </si>
  <si>
    <t>3050101:100</t>
  </si>
  <si>
    <t>3050101:200</t>
  </si>
  <si>
    <t>3050101:800</t>
  </si>
  <si>
    <t>3050101:1600</t>
  </si>
  <si>
    <t>3050101:3200</t>
  </si>
  <si>
    <t>3050501:100</t>
  </si>
  <si>
    <t>3050501:200</t>
  </si>
  <si>
    <t>3050501:800</t>
  </si>
  <si>
    <t>3050501:1600</t>
  </si>
  <si>
    <t>3050501:3200</t>
  </si>
  <si>
    <t>3060001:100</t>
  </si>
  <si>
    <t>3060001:200</t>
  </si>
  <si>
    <t>3060001:800</t>
  </si>
  <si>
    <t>3060001:1600</t>
  </si>
  <si>
    <t>3060001:3200</t>
  </si>
  <si>
    <t>3060101:100</t>
  </si>
  <si>
    <t>3060101:200</t>
  </si>
  <si>
    <t>3060101:800</t>
  </si>
  <si>
    <t>3060101:1600</t>
  </si>
  <si>
    <t>3060101:3200</t>
  </si>
  <si>
    <t>3060501:100</t>
  </si>
  <si>
    <t>3060501:200</t>
  </si>
  <si>
    <t>3060501:800</t>
  </si>
  <si>
    <t>3060501:1600</t>
  </si>
  <si>
    <t>3060501:3200</t>
  </si>
  <si>
    <t>3070001:100</t>
  </si>
  <si>
    <t>3070001:200</t>
  </si>
  <si>
    <t>3070001:800</t>
  </si>
  <si>
    <t>3070001:1600</t>
  </si>
  <si>
    <t>3070001:3200</t>
  </si>
  <si>
    <t>3070101:100</t>
  </si>
  <si>
    <t>3070101:200</t>
  </si>
  <si>
    <t>3070101:800</t>
  </si>
  <si>
    <t>3070101:1600</t>
  </si>
  <si>
    <t>3070101:3200</t>
  </si>
  <si>
    <t>3070501:100</t>
  </si>
  <si>
    <t>3070501:200</t>
  </si>
  <si>
    <t>3070501:800</t>
  </si>
  <si>
    <t>3070501:1600</t>
  </si>
  <si>
    <t>3070501:3200</t>
  </si>
  <si>
    <t>3080001:100</t>
  </si>
  <si>
    <t>3080001:200</t>
  </si>
  <si>
    <t>3080001:800</t>
  </si>
  <si>
    <t>3080001:1600</t>
  </si>
  <si>
    <t>3080001:3200</t>
  </si>
  <si>
    <t>3080101:100</t>
  </si>
  <si>
    <t>3080101:200</t>
  </si>
  <si>
    <t>3080101:800</t>
  </si>
  <si>
    <t>3080101:1600</t>
  </si>
  <si>
    <t>3080101:3200</t>
  </si>
  <si>
    <t>3080501:100</t>
  </si>
  <si>
    <t>3080501:200</t>
  </si>
  <si>
    <t>3080501:800</t>
  </si>
  <si>
    <t>3080501:1600</t>
  </si>
  <si>
    <t>3080501:3200</t>
  </si>
  <si>
    <t>冰霜之刃</t>
  </si>
  <si>
    <t>冰爆</t>
  </si>
  <si>
    <t>自动·冰霜新星</t>
  </si>
  <si>
    <t>强化冰爆</t>
  </si>
  <si>
    <t>强化冰霜新星</t>
  </si>
  <si>
    <t>双重冰爆</t>
  </si>
  <si>
    <t>双重冰霜新星</t>
  </si>
  <si>
    <t>冰霜终结</t>
  </si>
  <si>
    <t>3040102:3000</t>
  </si>
  <si>
    <t>3040102:5000</t>
  </si>
  <si>
    <t>3040102:7000</t>
  </si>
  <si>
    <t>3040102:10000</t>
  </si>
  <si>
    <t>3040102:15000</t>
  </si>
  <si>
    <t>3040301:3000</t>
  </si>
  <si>
    <t>3040301:5000</t>
  </si>
  <si>
    <t>3040301:7000</t>
  </si>
  <si>
    <t>3040301:10000</t>
  </si>
  <si>
    <t>3040301:15000</t>
  </si>
  <si>
    <t>3040701:3000</t>
  </si>
  <si>
    <t>3040701:5000</t>
  </si>
  <si>
    <t>3040701:7000</t>
  </si>
  <si>
    <t>3040701:10000</t>
  </si>
  <si>
    <t>3040701:15000</t>
  </si>
  <si>
    <t>3041001:3000</t>
  </si>
  <si>
    <t>3041001:5000</t>
  </si>
  <si>
    <t>3041001:7000</t>
  </si>
  <si>
    <t>3041001:10000</t>
  </si>
  <si>
    <t>3041001:15000</t>
  </si>
  <si>
    <t>3041301:3000</t>
  </si>
  <si>
    <t>3041301:5000</t>
  </si>
  <si>
    <t>3041301:7000</t>
  </si>
  <si>
    <t>3041301:10000</t>
  </si>
  <si>
    <t>3041301:15000</t>
  </si>
  <si>
    <t>3050001:3000_3050000:1</t>
  </si>
  <si>
    <t>3050001:5000_3050000:1</t>
  </si>
  <si>
    <t>3050001:7000_3050000:1</t>
  </si>
  <si>
    <t>3050001:10000_3050000:1</t>
  </si>
  <si>
    <t>3050001:15000_3050000:1</t>
  </si>
  <si>
    <t>3050102:3000</t>
  </si>
  <si>
    <t>3050102:5000</t>
  </si>
  <si>
    <t>3050102:7000</t>
  </si>
  <si>
    <t>3050102:10000</t>
  </si>
  <si>
    <t>3050102:15000</t>
  </si>
  <si>
    <t>3050301:3000</t>
  </si>
  <si>
    <t>3050301:5000</t>
  </si>
  <si>
    <t>3050301:7000</t>
  </si>
  <si>
    <t>3050301:10000</t>
  </si>
  <si>
    <t>3050301:15000</t>
  </si>
  <si>
    <t>3060001:3000_3060000:1</t>
  </si>
  <si>
    <t>3060001:5000_3060000:1</t>
  </si>
  <si>
    <t>3060001:7000_3060000:1</t>
  </si>
  <si>
    <t>3060001:10000_3060000:1</t>
  </si>
  <si>
    <t>3060001:15000_3060000:1</t>
  </si>
  <si>
    <t>3060102:3000</t>
  </si>
  <si>
    <t>3060102:5000</t>
  </si>
  <si>
    <t>3060102:7000</t>
  </si>
  <si>
    <t>3060102:10000</t>
  </si>
  <si>
    <t>3060102:15000</t>
  </si>
  <si>
    <t>3060301:3000</t>
  </si>
  <si>
    <t>3060301:5000</t>
  </si>
  <si>
    <t>3060301:7000</t>
  </si>
  <si>
    <t>3060301:10000</t>
  </si>
  <si>
    <t>3060301:15000</t>
  </si>
  <si>
    <t>3070001:3000_3070000:1</t>
  </si>
  <si>
    <t>3070001:5000_3070000:1</t>
  </si>
  <si>
    <t>3070001:7000_3070000:1</t>
  </si>
  <si>
    <t>3070001:10000_3070000:1</t>
  </si>
  <si>
    <t>3070001:15000_3070000:1</t>
  </si>
  <si>
    <t>3070102:3000</t>
  </si>
  <si>
    <t>3070102:5000</t>
  </si>
  <si>
    <t>3070102:7000</t>
  </si>
  <si>
    <t>3070102:10000</t>
  </si>
  <si>
    <t>3070102:15000</t>
  </si>
  <si>
    <t>3070301:3000</t>
  </si>
  <si>
    <t>3070301:5000</t>
  </si>
  <si>
    <t>3070301:7000</t>
  </si>
  <si>
    <t>3070301:10000</t>
  </si>
  <si>
    <t>3070301:15000</t>
  </si>
  <si>
    <t>3080001:3000_3080000:1</t>
  </si>
  <si>
    <t>3080001:5000_3080000:1</t>
  </si>
  <si>
    <t>3080001:7000_3080000:1</t>
  </si>
  <si>
    <t>3080001:10000_3080000:1</t>
  </si>
  <si>
    <t>3080001:15000_3080000:1</t>
  </si>
  <si>
    <t>3080102:3000</t>
  </si>
  <si>
    <t>3080102:5000</t>
  </si>
  <si>
    <t>3080102:7000</t>
  </si>
  <si>
    <t>3080102:10000</t>
  </si>
  <si>
    <t>3080102:15000</t>
  </si>
  <si>
    <t>3080301:3000</t>
  </si>
  <si>
    <t>3080301:5000</t>
  </si>
  <si>
    <t>3080301:7000</t>
  </si>
  <si>
    <t>3080301:10000</t>
  </si>
  <si>
    <t>3080301:15000</t>
  </si>
  <si>
    <t>强化陨石</t>
  </si>
  <si>
    <t>双重陨石</t>
  </si>
  <si>
    <t>雷电之刃</t>
    <phoneticPr fontId="1" type="noConversion"/>
  </si>
  <si>
    <t>点燃</t>
    <phoneticPr fontId="1" type="noConversion"/>
  </si>
  <si>
    <t>强化点燃</t>
    <phoneticPr fontId="1" type="noConversion"/>
  </si>
  <si>
    <t>火焰之刃</t>
    <phoneticPr fontId="1" type="noConversion"/>
  </si>
  <si>
    <t>烈焰缠身</t>
    <phoneticPr fontId="1" type="noConversion"/>
  </si>
  <si>
    <t>死亡爆炸</t>
    <phoneticPr fontId="1" type="noConversion"/>
  </si>
  <si>
    <t>触电</t>
    <phoneticPr fontId="1" type="noConversion"/>
  </si>
  <si>
    <t>强化触电</t>
    <phoneticPr fontId="1" type="noConversion"/>
  </si>
  <si>
    <t>强化闪电链</t>
    <phoneticPr fontId="1" type="noConversion"/>
  </si>
  <si>
    <t>闪电链</t>
    <phoneticPr fontId="1" type="noConversion"/>
  </si>
  <si>
    <t>双重闪电链</t>
    <phoneticPr fontId="1" type="noConversion"/>
  </si>
  <si>
    <t>电磁爆炸</t>
    <phoneticPr fontId="1" type="noConversion"/>
  </si>
  <si>
    <t>枯木之刃</t>
    <phoneticPr fontId="1" type="noConversion"/>
  </si>
  <si>
    <t>剧毒</t>
    <phoneticPr fontId="1" type="noConversion"/>
  </si>
  <si>
    <t>陨石</t>
    <phoneticPr fontId="1" type="noConversion"/>
  </si>
  <si>
    <t>强化剧毒</t>
    <phoneticPr fontId="1" type="noConversion"/>
  </si>
  <si>
    <t>极速腐化</t>
    <phoneticPr fontId="1" type="noConversion"/>
  </si>
  <si>
    <t>传染</t>
    <phoneticPr fontId="1" type="noConversion"/>
  </si>
  <si>
    <t>强化传染</t>
    <phoneticPr fontId="1" type="noConversion"/>
  </si>
  <si>
    <t>死亡传染</t>
    <phoneticPr fontId="1" type="noConversion"/>
  </si>
  <si>
    <t>双重传染</t>
    <phoneticPr fontId="1" type="noConversion"/>
  </si>
  <si>
    <t>护体</t>
    <phoneticPr fontId="1" type="noConversion"/>
  </si>
  <si>
    <t>以战养战</t>
    <phoneticPr fontId="1" type="noConversion"/>
  </si>
  <si>
    <t>夺取</t>
    <phoneticPr fontId="1" type="noConversion"/>
  </si>
  <si>
    <t>复活</t>
    <phoneticPr fontId="1" type="noConversion"/>
  </si>
  <si>
    <t>3040202:2000</t>
    <phoneticPr fontId="1" type="noConversion"/>
  </si>
  <si>
    <t>3040901:1500</t>
    <phoneticPr fontId="1" type="noConversion"/>
  </si>
  <si>
    <t>3041201:1500</t>
    <phoneticPr fontId="1" type="noConversion"/>
  </si>
  <si>
    <t>燃烧时死亡，对周围同伴造成自身最大生命50%的火元素伤害，并使目标燃烧。</t>
    <phoneticPr fontId="1" type="noConversion"/>
  </si>
  <si>
    <t>攻击时附带攻击%s的电元素伤害</t>
    <phoneticPr fontId="1" type="noConversion"/>
  </si>
  <si>
    <t>每8次攻击释放1次闪电链，对周围任意目标造成150%攻击力的电元素伤害，并弹射3次，每次弹射会使伤害降低25%。</t>
    <phoneticPr fontId="1" type="noConversion"/>
  </si>
  <si>
    <t>电元素伤害+%s，触电伤害+%s。</t>
    <phoneticPr fontId="1" type="noConversion"/>
  </si>
  <si>
    <t>触电伤害+%s，攻击使目标触电时会立刻触发1次触电伤害</t>
    <phoneticPr fontId="1" type="noConversion"/>
  </si>
  <si>
    <t>电元素伤害+%s，闪电链的释放次数+1</t>
    <phoneticPr fontId="1" type="noConversion"/>
  </si>
  <si>
    <t>触电伤害+300%，触电伤害范围扩大，并使受到伤害的目标触电。</t>
    <phoneticPr fontId="1" type="noConversion"/>
  </si>
  <si>
    <t>毒元素伤害+%s，中毒伤害+%s</t>
    <phoneticPr fontId="1" type="noConversion"/>
  </si>
  <si>
    <t>每8次攻击释放1次剧毒传染，最周围造成150%攻击力的毒元素伤害，并使目标中毒。</t>
    <phoneticPr fontId="1" type="noConversion"/>
  </si>
  <si>
    <t>中毒伤害+%s，中毒的目标再次中毒时立刻受到5次中毒伤害。</t>
    <phoneticPr fontId="1" type="noConversion"/>
  </si>
  <si>
    <t>释放剧毒传染需要的攻击-%s次，中毒状态可以叠加2层。</t>
    <phoneticPr fontId="1" type="noConversion"/>
  </si>
  <si>
    <t>毒元素伤害+%s，剧毒传染释放次数+1</t>
    <phoneticPr fontId="1" type="noConversion"/>
  </si>
  <si>
    <t>毒元素伤害+%s，中毒/瘟疫状态触发时间减少为0.33秒</t>
    <phoneticPr fontId="1" type="noConversion"/>
  </si>
  <si>
    <t>强壮</t>
    <phoneticPr fontId="1" type="noConversion"/>
  </si>
  <si>
    <t>防御+%s，生命上限+%s</t>
    <phoneticPr fontId="1" type="noConversion"/>
  </si>
  <si>
    <t>击中怪物回血效果+%s</t>
    <phoneticPr fontId="1" type="noConversion"/>
  </si>
  <si>
    <t>击杀怪物回复自身%s的生命</t>
    <phoneticPr fontId="1" type="noConversion"/>
  </si>
  <si>
    <t>每损失10%血量就获得一个最大生命20%的护盾。拥有护盾的角色损失生命时会优先扣除护盾值。</t>
    <phoneticPr fontId="1" type="noConversion"/>
  </si>
  <si>
    <t>坚定</t>
    <phoneticPr fontId="1" type="noConversion"/>
  </si>
  <si>
    <t>角色濒死时触发复活，复活会使角色回复100%生命，每次挑战最多触发1次。</t>
    <phoneticPr fontId="1" type="noConversion"/>
  </si>
  <si>
    <t>精致之刃</t>
    <phoneticPr fontId="1" type="noConversion"/>
  </si>
  <si>
    <t>锐眼</t>
    <phoneticPr fontId="1" type="noConversion"/>
  </si>
  <si>
    <t>狂暴</t>
    <phoneticPr fontId="1" type="noConversion"/>
  </si>
  <si>
    <t>致命暴击</t>
    <phoneticPr fontId="1" type="noConversion"/>
  </si>
  <si>
    <t>嗜血</t>
    <phoneticPr fontId="1" type="noConversion"/>
  </si>
  <si>
    <t>强化狂暴</t>
    <phoneticPr fontId="1" type="noConversion"/>
  </si>
  <si>
    <t>每层狂暴状态会使自身暴击伤害+10%</t>
    <phoneticPr fontId="1" type="noConversion"/>
  </si>
  <si>
    <t>强化致命暴击</t>
    <phoneticPr fontId="1" type="noConversion"/>
  </si>
  <si>
    <t>致命暴击状态到达5层时，自身暴击伤害+100%</t>
    <phoneticPr fontId="1" type="noConversion"/>
  </si>
  <si>
    <t>斩杀</t>
    <phoneticPr fontId="1" type="noConversion"/>
  </si>
  <si>
    <t>斩杀，攻击血量低于50%目标有15%几率直接秒杀</t>
    <phoneticPr fontId="1" type="noConversion"/>
  </si>
  <si>
    <t>旋风斩</t>
    <phoneticPr fontId="1" type="noConversion"/>
  </si>
  <si>
    <t>每8秒触发一次旋风斩，对攻击范围内的所有目标造成一次150%攻击力的伤害</t>
    <phoneticPr fontId="1" type="noConversion"/>
  </si>
  <si>
    <t>强化旋风斩</t>
    <phoneticPr fontId="1" type="noConversion"/>
  </si>
  <si>
    <t>多重打击</t>
    <phoneticPr fontId="1" type="noConversion"/>
  </si>
  <si>
    <t>攻击时15%几率触发多重打击，额外攻击一次</t>
    <phoneticPr fontId="1" type="noConversion"/>
  </si>
  <si>
    <t>强化多重打击</t>
    <phoneticPr fontId="1" type="noConversion"/>
  </si>
  <si>
    <t>多重旋风斩</t>
    <phoneticPr fontId="1" type="noConversion"/>
  </si>
  <si>
    <t>旋风斩也会触发多重打击，触发几率与普通攻击相同</t>
    <phoneticPr fontId="1" type="noConversion"/>
  </si>
  <si>
    <t>百战不殆</t>
    <phoneticPr fontId="1" type="noConversion"/>
  </si>
  <si>
    <t>浴血战神</t>
    <phoneticPr fontId="1" type="noConversion"/>
  </si>
  <si>
    <t>3080102,3080102</t>
    <phoneticPr fontId="1" type="noConversion"/>
  </si>
  <si>
    <t>3080102</t>
  </si>
  <si>
    <t>3040202,3040202</t>
    <phoneticPr fontId="1" type="noConversion"/>
  </si>
  <si>
    <t>巨大之刃</t>
    <phoneticPr fontId="1" type="noConversion"/>
  </si>
  <si>
    <t>旋风斩伤害+50%，旋风斩触发时间-3秒</t>
    <phoneticPr fontId="1" type="noConversion"/>
  </si>
  <si>
    <t>多重打击触发几率+15%，额外攻击次数+1</t>
    <phoneticPr fontId="1" type="noConversion"/>
  </si>
  <si>
    <t>攻击范围内的所有敌人伤害降低%s，受到伤害提升%s</t>
    <phoneticPr fontId="1" type="noConversion"/>
  </si>
  <si>
    <t>3041001,3041001</t>
    <phoneticPr fontId="1" type="noConversion"/>
  </si>
  <si>
    <t>攻击范围内，敌人越多，玩家伤害越高，每个敌人提供150%伤害</t>
    <phoneticPr fontId="1" type="noConversion"/>
  </si>
  <si>
    <t>3060102,3060102</t>
    <phoneticPr fontId="1" type="noConversion"/>
  </si>
  <si>
    <t>3070102,3070102</t>
    <phoneticPr fontId="1" type="noConversion"/>
  </si>
  <si>
    <t>释放闪电链需要的攻击-3次，闪电链每次弹射时伤害不再降低</t>
    <phoneticPr fontId="1" type="noConversion"/>
  </si>
  <si>
    <t>3040202:2000</t>
    <phoneticPr fontId="1" type="noConversion"/>
  </si>
  <si>
    <t>906010202</t>
    <phoneticPr fontId="1" type="noConversion"/>
  </si>
  <si>
    <t>906010403</t>
    <phoneticPr fontId="1" type="noConversion"/>
  </si>
  <si>
    <t>906010202,906010403</t>
    <phoneticPr fontId="1" type="noConversion"/>
  </si>
  <si>
    <t>3040202:1500</t>
    <phoneticPr fontId="1" type="noConversion"/>
  </si>
  <si>
    <t>3041102:2000</t>
    <phoneticPr fontId="1" type="noConversion"/>
  </si>
  <si>
    <t>1011001</t>
    <phoneticPr fontId="1" type="noConversion"/>
  </si>
  <si>
    <t>目标数量</t>
  </si>
  <si>
    <t>目标数量+%s</t>
  </si>
  <si>
    <t>0</t>
    <phoneticPr fontId="1" type="noConversion"/>
  </si>
  <si>
    <t>电元素伤害+%s，攻击有%s几率使目标触电。触电状态下，被攻击会受到35%%攻击的触电伤害，触电状态持续5秒。</t>
    <phoneticPr fontId="1" type="noConversion"/>
  </si>
  <si>
    <t>攻击时附带攻击%s的毒元素伤害，攻击有15%%几率使目标中毒。中毒的目标每秒受到20%%攻击力的中毒伤害，中毒持续20秒。</t>
    <phoneticPr fontId="1" type="noConversion"/>
  </si>
  <si>
    <t>中毒伤害+%s，中毒时死亡会使附近任意怪物获得1层瘟疫。瘟疫中的目标每秒受到20%%攻击力的中毒伤害，中毒持续20秒。瘟疫状态最多可叠加99层。</t>
    <phoneticPr fontId="1" type="noConversion"/>
  </si>
  <si>
    <t>当前生命值低于最大值50%%时，防御+%s</t>
    <phoneticPr fontId="1" type="noConversion"/>
  </si>
  <si>
    <t>火焰之刃</t>
  </si>
  <si>
    <t>点燃</t>
  </si>
  <si>
    <t>陨石</t>
  </si>
  <si>
    <t>强化点燃</t>
  </si>
  <si>
    <t>烈焰缠身</t>
  </si>
  <si>
    <t>死亡爆炸</t>
  </si>
  <si>
    <t>0</t>
    <phoneticPr fontId="1" type="noConversion"/>
  </si>
  <si>
    <t>3041501:1</t>
    <phoneticPr fontId="1" type="noConversion"/>
  </si>
  <si>
    <t>3070102:10000</t>
    <phoneticPr fontId="1" type="noConversion"/>
  </si>
  <si>
    <t>3070102:20000</t>
    <phoneticPr fontId="1" type="noConversion"/>
  </si>
  <si>
    <t>3070102:30000</t>
    <phoneticPr fontId="1" type="noConversion"/>
  </si>
  <si>
    <t>3070102:40000</t>
    <phoneticPr fontId="1" type="noConversion"/>
  </si>
  <si>
    <t>3070102:50000</t>
    <phoneticPr fontId="1" type="noConversion"/>
  </si>
  <si>
    <t>3080102:20000</t>
    <phoneticPr fontId="1" type="noConversion"/>
  </si>
  <si>
    <t>3080102:30000</t>
    <phoneticPr fontId="1" type="noConversion"/>
  </si>
  <si>
    <t>3080102:40000</t>
    <phoneticPr fontId="1" type="noConversion"/>
  </si>
  <si>
    <t>3080102:50000</t>
    <phoneticPr fontId="1" type="noConversion"/>
  </si>
  <si>
    <t>攻击</t>
    <phoneticPr fontId="1" type="noConversion"/>
  </si>
  <si>
    <t>3041001:3000</t>
    <phoneticPr fontId="1" type="noConversion"/>
  </si>
  <si>
    <t>affix_icon_atlas</t>
    <phoneticPr fontId="1" type="noConversion"/>
  </si>
  <si>
    <t>词条图标图集</t>
    <phoneticPr fontId="1" type="noConversion"/>
  </si>
  <si>
    <t>词条图标</t>
    <phoneticPr fontId="1" type="noConversion"/>
  </si>
  <si>
    <t>affix_icon</t>
    <phoneticPr fontId="1" type="noConversion"/>
  </si>
  <si>
    <t>SkillBuffIcon_atlas0</t>
    <phoneticPr fontId="1" type="noConversion"/>
  </si>
  <si>
    <t>SkillBuffIcon_atlas0</t>
    <phoneticPr fontId="1" type="noConversion"/>
  </si>
  <si>
    <t>双重触电</t>
    <phoneticPr fontId="1" type="noConversion"/>
  </si>
  <si>
    <t>STRING_C</t>
    <phoneticPr fontId="1" type="noConversion"/>
  </si>
  <si>
    <t>攻击速度提高</t>
  </si>
  <si>
    <t>攻击提高</t>
  </si>
  <si>
    <t>防御提高</t>
  </si>
  <si>
    <t>生命提高</t>
  </si>
  <si>
    <t>击中回血效果提高</t>
  </si>
  <si>
    <t>暴击几率提高</t>
  </si>
  <si>
    <t>暴击伤害提高</t>
  </si>
  <si>
    <t>伤害提高</t>
  </si>
  <si>
    <t>受到伤害提高</t>
  </si>
  <si>
    <t>持续伤害提高</t>
  </si>
  <si>
    <t>受到持续伤害提高</t>
  </si>
  <si>
    <t>移动速度提高</t>
  </si>
  <si>
    <t>0</t>
    <phoneticPr fontId="1" type="noConversion"/>
  </si>
  <si>
    <t>3540100:1</t>
  </si>
  <si>
    <t>3540300:1</t>
  </si>
  <si>
    <t>3540500:1</t>
  </si>
  <si>
    <t>3540700:1</t>
  </si>
  <si>
    <t>3540900:1</t>
  </si>
  <si>
    <t>3541100:1</t>
  </si>
  <si>
    <t>3541300:1</t>
  </si>
  <si>
    <t>3541500:1</t>
  </si>
  <si>
    <t>3541700:1</t>
  </si>
  <si>
    <t>3541900:1</t>
  </si>
  <si>
    <t>3542100:1</t>
  </si>
  <si>
    <t>3542300:1</t>
  </si>
  <si>
    <t>攻击速度提高5%，持续4秒，最多叠加3层</t>
  </si>
  <si>
    <t>攻击提高5%，持续4秒，最多叠加3层</t>
  </si>
  <si>
    <t>防御提高5%，持续4秒，最多叠加3层</t>
  </si>
  <si>
    <t>生命提高5%，持续4秒，最多叠加3层</t>
  </si>
  <si>
    <t>击中回血效果提高5%，持续4秒，最多叠加3层</t>
  </si>
  <si>
    <t>暴击几率提高5%，持续4秒，最多叠加3层</t>
  </si>
  <si>
    <t>暴击伤害提高5%，持续4秒，最多叠加3层</t>
  </si>
  <si>
    <t>伤害提高5%，持续4秒，最多叠加3层</t>
  </si>
  <si>
    <t>持续伤害提高5%，持续4秒，最多叠加3层</t>
  </si>
  <si>
    <t>受到持续伤害提高5%，持续4秒，最多叠加3层</t>
  </si>
  <si>
    <t>移动速度提高5%，持续4秒，最多叠加3层</t>
  </si>
  <si>
    <t>3040102:5000</t>
    <phoneticPr fontId="1" type="noConversion"/>
  </si>
  <si>
    <t>3040102:6000</t>
    <phoneticPr fontId="1" type="noConversion"/>
  </si>
  <si>
    <t>3040102:7000</t>
    <phoneticPr fontId="1" type="noConversion"/>
  </si>
  <si>
    <t>3040102:4000</t>
    <phoneticPr fontId="1" type="noConversion"/>
  </si>
  <si>
    <t>3060001:4000_3060000:1</t>
    <phoneticPr fontId="1" type="noConversion"/>
  </si>
  <si>
    <t>3060102:12500</t>
    <phoneticPr fontId="1" type="noConversion"/>
  </si>
  <si>
    <t>3060102:15000</t>
    <phoneticPr fontId="1" type="noConversion"/>
  </si>
  <si>
    <t>3060102:17500</t>
    <phoneticPr fontId="1" type="noConversion"/>
  </si>
  <si>
    <t>受到伤害提高5%，持续4秒，最多叠加3层</t>
    <phoneticPr fontId="1" type="noConversion"/>
  </si>
  <si>
    <t>攻击时附带%s的冰元素伤害</t>
  </si>
  <si>
    <t>3550400:1</t>
  </si>
  <si>
    <t>冰霜新星</t>
  </si>
  <si>
    <t>冰元素伤害+%s，攻击冰冻的目标时造成额外10%%最大生命值的伤害</t>
  </si>
  <si>
    <t>3550501:3_3551400:1</t>
  </si>
  <si>
    <t>释放冰霜新星需要的攻击-%s次，冰霜新星的冰冻的几率+20%%</t>
  </si>
  <si>
    <t>3550206:1500_3550800:1</t>
  </si>
  <si>
    <t>冰冻几率+%s，对已经处于冰冻的目标再次触发冰冻时造成30%%攻击的伤害。</t>
  </si>
  <si>
    <t>冰元素伤害+%s，冰霜新星释放次数+1</t>
  </si>
  <si>
    <t>冰冻几率+%s，冰冻时间+%s秒，攻击冰冻目标被会造成50%%的额外伤害。</t>
  </si>
  <si>
    <t>3060001:4000_3060000:1</t>
  </si>
  <si>
    <t>攻击时附带%s的火元素伤害</t>
  </si>
  <si>
    <t>3060301:12500_3560100:1</t>
  </si>
  <si>
    <t>3060102:15000_3560400:1</t>
  </si>
  <si>
    <t>3060701:17500_3560600:1</t>
  </si>
  <si>
    <t>3560501:3_3560800:1</t>
  </si>
  <si>
    <t>3060701:17500_3561300:1</t>
  </si>
  <si>
    <t>燃烧伤害+%s，燃烧时被攻击会受到35%%%攻击力的额外伤害。</t>
  </si>
  <si>
    <t>3060301:17500_3560503:1</t>
  </si>
  <si>
    <t>火元素伤害+%s，陨石释放次数+1。</t>
  </si>
  <si>
    <t>3060102:17500_3561000:1</t>
  </si>
  <si>
    <t>雷电之刃</t>
  </si>
  <si>
    <t>攻击时附带攻击%s的电元素伤害</t>
  </si>
  <si>
    <t>3070301:10000_3570100:1</t>
  </si>
  <si>
    <t>触电</t>
  </si>
  <si>
    <t>电元素伤害+%s，攻击有15%%几率使目标触电。触电状态下，被攻击会受到35%%攻击的触电伤害，触电状态持续5秒。</t>
  </si>
  <si>
    <t>3570600:1_3570400:1</t>
  </si>
  <si>
    <t>闪电链</t>
  </si>
  <si>
    <t>每8次攻击释放1次闪电链，对周围任意目标造成150%攻击力的电元素伤害，并弹射3次，每次弹射会使伤害降低25%。</t>
  </si>
  <si>
    <t>3070301:10000_3570800:1</t>
  </si>
  <si>
    <t>强化触电</t>
  </si>
  <si>
    <t>电元素伤害+%s，触电时受到伤害提高20%%</t>
  </si>
  <si>
    <t>3570701:3_3570503:2500</t>
  </si>
  <si>
    <t>强化闪电链</t>
  </si>
  <si>
    <t>3571000:1_3570201:3000</t>
  </si>
  <si>
    <t>双重触电</t>
  </si>
  <si>
    <t>触电伤害+%s，攻击使目标触电时会立刻触发1次触电伤害</t>
  </si>
  <si>
    <t>3070301:40000_3570703:1</t>
  </si>
  <si>
    <t>双重闪电链</t>
  </si>
  <si>
    <t>电元素伤害+%s，闪电链的释放次数+1</t>
  </si>
  <si>
    <t>3570201:30000_3571200:1</t>
  </si>
  <si>
    <t>电磁爆炸</t>
  </si>
  <si>
    <t>触电伤害+300%，触电伤害范围扩大，并使受到伤害的目标触电。</t>
  </si>
  <si>
    <t>3080001:3000_3080000:1_3580100:1</t>
  </si>
  <si>
    <t>枯木之刃</t>
  </si>
  <si>
    <t>攻击时附带攻击%s的毒元素伤害，攻击有15%%几率使目标中毒。中毒的目标每秒受到20%%攻击力的中毒伤害，中毒持续20秒。</t>
  </si>
  <si>
    <t>3080301:10000_3080701:4000</t>
  </si>
  <si>
    <t>剧毒</t>
  </si>
  <si>
    <t>毒元素伤害+%s，中毒伤害+%s</t>
  </si>
  <si>
    <t>3580400:1</t>
  </si>
  <si>
    <t>传染</t>
  </si>
  <si>
    <t>每8次攻击释放1次中毒传染，对周围造成150%攻击力的毒元素伤害，并使目标中毒。</t>
  </si>
  <si>
    <t>3080701:5000_3580600:1</t>
  </si>
  <si>
    <t>强化剧毒</t>
  </si>
  <si>
    <t>中毒伤害+%s，中毒的目标再次中毒时立刻受到5次中毒伤害。</t>
  </si>
  <si>
    <t>3580501:3_3580207:1</t>
  </si>
  <si>
    <t>强化传染</t>
  </si>
  <si>
    <t>释放中毒传染需要的攻击-%s次，中毒状态可以叠加2层。</t>
  </si>
  <si>
    <t>3080701:6000_3580800:1</t>
  </si>
  <si>
    <t>死亡传染</t>
  </si>
  <si>
    <t>中毒伤害+%s，中毒时死亡会使附近任意怪物获得1层瘟疫。瘟疫中的目标每秒受到20%%攻击力的中毒伤害，持续20秒，最多可叠加10层。</t>
  </si>
  <si>
    <t>3080301:40000_3580503:1</t>
  </si>
  <si>
    <t>双重传染</t>
  </si>
  <si>
    <t>毒元素伤害+%s，中毒传染释放次数+1</t>
  </si>
  <si>
    <t>3080301:50000_3580208:6700</t>
  </si>
  <si>
    <t>极速腐化</t>
  </si>
  <si>
    <t>毒元素伤害+%s，中毒/瘟疫状态触发时间减少为0.33秒</t>
  </si>
  <si>
    <t>释放闪电链需要的攻击-%s次，闪电链每次弹射时伤害不再降低</t>
    <phoneticPr fontId="1" type="noConversion"/>
  </si>
  <si>
    <t>释放陨石需要的攻击-%s次，陨石会使被伤害的目标陷入燃烧。</t>
    <phoneticPr fontId="1" type="noConversion"/>
  </si>
  <si>
    <t>火元素伤害+%s，攻击有15%%几率使目标燃烧</t>
    <phoneticPr fontId="1" type="noConversion"/>
  </si>
  <si>
    <t>每8次攻击释放1次陨石，造成150%攻击力的火焰伤害</t>
    <phoneticPr fontId="1" type="noConversion"/>
  </si>
  <si>
    <t>暴击时获得1层致命暴击状态，提高40%攻击</t>
    <phoneticPr fontId="1" type="noConversion"/>
  </si>
  <si>
    <t>致命暴击效果翻倍</t>
    <phoneticPr fontId="1" type="noConversion"/>
  </si>
  <si>
    <t>0</t>
    <phoneticPr fontId="1" type="noConversion"/>
  </si>
  <si>
    <t>燃烧伤害+50%，燃烧的目标受到伤害+50%</t>
    <phoneticPr fontId="1" type="noConversion"/>
  </si>
  <si>
    <t>3550206:1500_3551200:1</t>
    <phoneticPr fontId="1" type="noConversion"/>
  </si>
  <si>
    <t>3040102:8000</t>
  </si>
  <si>
    <t>3040102:9000</t>
  </si>
  <si>
    <t>3040102:11000</t>
  </si>
  <si>
    <t>3040102:12000</t>
  </si>
  <si>
    <t>3060102:20000</t>
  </si>
  <si>
    <t>3060102:22500</t>
  </si>
  <si>
    <t>3060102:25000</t>
  </si>
  <si>
    <t>3060102:27500</t>
  </si>
  <si>
    <t>冰元素伤害+%s，攻击有15%%几率使目标冰冻，同时受到冰元素伤害</t>
    <phoneticPr fontId="1" type="noConversion"/>
  </si>
  <si>
    <t>每8次攻击释放1次冰霜新星，造成冰元素伤害，并有几率使目标冰冻</t>
    <phoneticPr fontId="1" type="noConversion"/>
  </si>
  <si>
    <t>3050001:4000_3050000:1</t>
    <phoneticPr fontId="1" type="noConversion"/>
  </si>
  <si>
    <t>3050301:10000_3550100:1_3551000:1</t>
    <phoneticPr fontId="1" type="noConversion"/>
  </si>
  <si>
    <t>3050301:10000_3551101:100000</t>
    <phoneticPr fontId="1" type="noConversion"/>
  </si>
  <si>
    <t>3050301:10000_3550703:1</t>
    <phoneticPr fontId="1" type="noConversion"/>
  </si>
  <si>
    <t>3550206,3551200</t>
    <phoneticPr fontId="1" type="noConversion"/>
  </si>
  <si>
    <t>3050301:20000</t>
    <phoneticPr fontId="1" type="noConversion"/>
  </si>
  <si>
    <t>强化冰霜伤害</t>
    <phoneticPr fontId="1" type="noConversion"/>
  </si>
  <si>
    <t>3050001:4000_3050000:1</t>
  </si>
  <si>
    <t>冰元素伤害+%s，攻击有几率使目标冰冻</t>
    <phoneticPr fontId="1" type="noConversion"/>
  </si>
  <si>
    <t>释放冰霜新星需要的攻击-%s次</t>
    <phoneticPr fontId="1" type="noConversion"/>
  </si>
  <si>
    <t>3050301:10000</t>
    <phoneticPr fontId="1" type="noConversion"/>
  </si>
  <si>
    <t>每攻击8次释放1次冰霜新星，造成冰元素伤害</t>
    <phoneticPr fontId="1" type="noConversion"/>
  </si>
  <si>
    <t>3550501:2</t>
    <phoneticPr fontId="1" type="noConversion"/>
  </si>
  <si>
    <t>3050301:5000_3550100:1_3551000:1</t>
    <phoneticPr fontId="1" type="noConversion"/>
  </si>
  <si>
    <t>3050301:7500</t>
    <phoneticPr fontId="1" type="noConversion"/>
  </si>
  <si>
    <t>3050301:6000</t>
    <phoneticPr fontId="1" type="noConversion"/>
  </si>
  <si>
    <t>3040102,3041201</t>
    <phoneticPr fontId="1" type="noConversion"/>
  </si>
  <si>
    <t>攻击+%s，暴击伤害+%s</t>
    <phoneticPr fontId="1" type="noConversion"/>
  </si>
  <si>
    <t>攻击+%s，暴击率+%s</t>
    <phoneticPr fontId="1" type="noConversion"/>
  </si>
  <si>
    <t>3040102,3041301</t>
    <phoneticPr fontId="1" type="noConversion"/>
  </si>
  <si>
    <t>3040102:4000_3041201:1000</t>
    <phoneticPr fontId="1" type="noConversion"/>
  </si>
  <si>
    <t>3040102:5500_3041201:500</t>
    <phoneticPr fontId="1" type="noConversion"/>
  </si>
  <si>
    <t>3040102:10000_3041201:500</t>
    <phoneticPr fontId="1" type="noConversion"/>
  </si>
  <si>
    <t>3040102:6500_3041201:500</t>
    <phoneticPr fontId="1" type="noConversion"/>
  </si>
  <si>
    <t>3040102:7500_3041201:500</t>
    <phoneticPr fontId="1" type="noConversion"/>
  </si>
  <si>
    <t>3040102:8500_3041201:500</t>
    <phoneticPr fontId="1" type="noConversion"/>
  </si>
  <si>
    <t>3040102:5000_3041301:2500</t>
    <phoneticPr fontId="1" type="noConversion"/>
  </si>
  <si>
    <t>3041501:20</t>
    <phoneticPr fontId="1" type="noConversion"/>
  </si>
  <si>
    <t>同时攻击范围内的所有敌人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</si>
</sst>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rgb="FF3F3F76"/>
      <name val="宋体"/>
      <family val="2"/>
      <charset val="134"/>
    </font>
    <font>
      <sz val="9"/>
      <color rgb="FF7030A0"/>
      <name val="宋体"/>
      <family val="3"/>
      <charset val="134"/>
    </font>
    <font>
      <b/>
      <sz val="9"/>
      <color rgb="FF3F3F76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11"/>
      <color rgb="FF3F3F76"/>
      <name val="微软雅黑"/>
      <family val="2"/>
      <charset val="134"/>
    </font>
    <font>
      <sz val="9"/>
      <color theme="0" tint="-0.1499984740745262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3" fillId="2" borderId="3" applyNumberFormat="0" applyAlignment="0" applyProtection="0">
      <alignment vertical="center"/>
    </xf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5" fillId="3" borderId="4" xfId="1" applyFont="1" applyFill="1" applyBorder="1">
      <alignment vertical="center"/>
    </xf>
    <xf numFmtId="0" fontId="6" fillId="3" borderId="4" xfId="1" applyFont="1" applyFill="1" applyBorder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/>
    <xf numFmtId="0" fontId="2" fillId="0" borderId="0" xfId="0" applyFont="1" applyAlignment="1">
      <alignment vertical="center"/>
    </xf>
    <xf numFmtId="0" fontId="2" fillId="5" borderId="0" xfId="0" applyFont="1" applyFill="1"/>
    <xf numFmtId="0" fontId="2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/>
    <xf numFmtId="0" fontId="2" fillId="7" borderId="0" xfId="0" applyFont="1" applyFill="1"/>
    <xf numFmtId="0" fontId="7" fillId="0" borderId="1" xfId="0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7" fillId="4" borderId="0" xfId="0" applyFont="1" applyFill="1" applyAlignment="1">
      <alignment horizontal="center"/>
    </xf>
    <xf numFmtId="49" fontId="7" fillId="4" borderId="0" xfId="0" applyNumberFormat="1" applyFont="1" applyFill="1" applyAlignment="1">
      <alignment horizontal="center"/>
    </xf>
    <xf numFmtId="0" fontId="7" fillId="8" borderId="0" xfId="0" applyFont="1" applyFill="1" applyAlignment="1">
      <alignment horizontal="center"/>
    </xf>
    <xf numFmtId="49" fontId="7" fillId="8" borderId="0" xfId="0" applyNumberFormat="1" applyFont="1" applyFill="1" applyAlignment="1">
      <alignment horizontal="center"/>
    </xf>
    <xf numFmtId="0" fontId="7" fillId="8" borderId="0" xfId="0" quotePrefix="1" applyFont="1" applyFill="1" applyAlignment="1">
      <alignment horizontal="center"/>
    </xf>
    <xf numFmtId="3" fontId="7" fillId="8" borderId="0" xfId="0" quotePrefix="1" applyNumberFormat="1" applyFont="1" applyFill="1" applyAlignment="1">
      <alignment horizontal="center"/>
    </xf>
    <xf numFmtId="0" fontId="9" fillId="9" borderId="0" xfId="0" applyFont="1" applyFill="1" applyAlignment="1">
      <alignment horizontal="center"/>
    </xf>
    <xf numFmtId="49" fontId="9" fillId="9" borderId="0" xfId="0" applyNumberFormat="1" applyFont="1" applyFill="1" applyAlignment="1">
      <alignment horizontal="center"/>
    </xf>
    <xf numFmtId="0" fontId="9" fillId="9" borderId="0" xfId="0" quotePrefix="1" applyFont="1" applyFill="1" applyAlignment="1">
      <alignment horizontal="center"/>
    </xf>
    <xf numFmtId="3" fontId="9" fillId="9" borderId="0" xfId="0" quotePrefix="1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49" fontId="7" fillId="10" borderId="0" xfId="0" applyNumberFormat="1" applyFont="1" applyFill="1" applyAlignment="1">
      <alignment horizontal="center"/>
    </xf>
    <xf numFmtId="0" fontId="7" fillId="10" borderId="0" xfId="0" quotePrefix="1" applyFont="1" applyFill="1" applyAlignment="1">
      <alignment horizontal="center"/>
    </xf>
    <xf numFmtId="3" fontId="7" fillId="10" borderId="0" xfId="0" quotePrefix="1" applyNumberFormat="1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49" fontId="7" fillId="11" borderId="0" xfId="0" applyNumberFormat="1" applyFont="1" applyFill="1" applyAlignment="1">
      <alignment horizontal="center"/>
    </xf>
    <xf numFmtId="0" fontId="7" fillId="11" borderId="0" xfId="0" quotePrefix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49" fontId="7" fillId="7" borderId="0" xfId="0" applyNumberFormat="1" applyFont="1" applyFill="1" applyAlignment="1">
      <alignment horizontal="center"/>
    </xf>
    <xf numFmtId="0" fontId="7" fillId="7" borderId="0" xfId="0" quotePrefix="1" applyFont="1" applyFill="1" applyAlignment="1">
      <alignment horizontal="center"/>
    </xf>
    <xf numFmtId="49" fontId="7" fillId="7" borderId="0" xfId="0" quotePrefix="1" applyNumberFormat="1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49" fontId="7" fillId="12" borderId="0" xfId="0" applyNumberFormat="1" applyFont="1" applyFill="1" applyAlignment="1">
      <alignment horizontal="center"/>
    </xf>
    <xf numFmtId="0" fontId="7" fillId="12" borderId="0" xfId="0" quotePrefix="1" applyFont="1" applyFill="1" applyAlignment="1">
      <alignment horizontal="center"/>
    </xf>
    <xf numFmtId="49" fontId="7" fillId="12" borderId="0" xfId="0" quotePrefix="1" applyNumberFormat="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49" fontId="7" fillId="13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left"/>
    </xf>
    <xf numFmtId="0" fontId="7" fillId="4" borderId="0" xfId="0" quotePrefix="1" applyFont="1" applyFill="1" applyAlignment="1">
      <alignment horizontal="center"/>
    </xf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3EC7-FCFA-4672-97FA-23C24342A33C}">
  <sheetPr codeName="Sheet1"/>
  <dimension ref="A1:M211"/>
  <sheetViews>
    <sheetView tabSelected="1" zoomScaleNormal="100" workbookViewId="0">
      <pane ySplit="4" topLeftCell="A17" activePane="bottomLeft" state="frozen"/>
      <selection pane="bottomLeft" activeCell="J29" sqref="J29"/>
    </sheetView>
  </sheetViews>
  <sheetFormatPr defaultColWidth="9" defaultRowHeight="14.25" x14ac:dyDescent="0.3"/>
  <cols>
    <col min="1" max="1" width="15.5" style="16" bestFit="1" customWidth="1"/>
    <col min="2" max="2" width="12.375" style="16" bestFit="1" customWidth="1"/>
    <col min="3" max="3" width="14.875" style="16" customWidth="1"/>
    <col min="4" max="4" width="9.5" style="16" bestFit="1" customWidth="1"/>
    <col min="5" max="5" width="17.25" style="47" bestFit="1" customWidth="1"/>
    <col min="6" max="6" width="13.875" style="16" bestFit="1" customWidth="1"/>
    <col min="7" max="7" width="9.5" style="16" bestFit="1" customWidth="1"/>
    <col min="8" max="8" width="30.375" style="16" bestFit="1" customWidth="1"/>
    <col min="9" max="9" width="18" style="16" bestFit="1" customWidth="1"/>
    <col min="10" max="10" width="37.875" style="16" customWidth="1"/>
    <col min="11" max="11" width="18.875" style="16" bestFit="1" customWidth="1"/>
    <col min="12" max="13" width="18.875" style="16" customWidth="1"/>
    <col min="14" max="16384" width="9" style="16"/>
  </cols>
  <sheetData>
    <row r="1" spans="1:13" x14ac:dyDescent="0.3">
      <c r="A1" s="13" t="s">
        <v>0</v>
      </c>
      <c r="B1" s="13"/>
      <c r="C1" s="13"/>
      <c r="D1" s="13"/>
      <c r="E1" s="14"/>
      <c r="F1" s="15"/>
      <c r="G1" s="15"/>
      <c r="H1" s="15"/>
      <c r="I1" s="15"/>
      <c r="J1" s="15"/>
      <c r="K1" s="15"/>
      <c r="L1" s="15"/>
      <c r="M1" s="15"/>
    </row>
    <row r="2" spans="1:13" x14ac:dyDescent="0.3">
      <c r="A2" s="13" t="s">
        <v>20</v>
      </c>
      <c r="B2" s="15" t="s">
        <v>8</v>
      </c>
      <c r="C2" s="15" t="s">
        <v>8</v>
      </c>
      <c r="D2" s="15" t="s">
        <v>8</v>
      </c>
      <c r="E2" s="14" t="s">
        <v>19</v>
      </c>
      <c r="F2" s="15" t="s">
        <v>8</v>
      </c>
      <c r="G2" s="15" t="s">
        <v>8</v>
      </c>
      <c r="H2" s="15" t="s">
        <v>9</v>
      </c>
      <c r="I2" s="15" t="s">
        <v>10</v>
      </c>
      <c r="J2" s="15" t="s">
        <v>10</v>
      </c>
      <c r="K2" s="15" t="s">
        <v>19</v>
      </c>
      <c r="L2" s="15" t="s">
        <v>608</v>
      </c>
      <c r="M2" s="15" t="s">
        <v>608</v>
      </c>
    </row>
    <row r="3" spans="1:13" x14ac:dyDescent="0.3">
      <c r="A3" s="13" t="s">
        <v>21</v>
      </c>
      <c r="B3" s="15" t="s">
        <v>16</v>
      </c>
      <c r="C3" s="15" t="s">
        <v>27</v>
      </c>
      <c r="D3" s="15" t="s">
        <v>17</v>
      </c>
      <c r="E3" s="14" t="s">
        <v>26</v>
      </c>
      <c r="F3" s="15" t="s">
        <v>22</v>
      </c>
      <c r="G3" s="15" t="s">
        <v>24</v>
      </c>
      <c r="H3" s="15" t="s">
        <v>12</v>
      </c>
      <c r="I3" s="15" t="s">
        <v>13</v>
      </c>
      <c r="J3" s="15" t="s">
        <v>14</v>
      </c>
      <c r="K3" s="15" t="s">
        <v>15</v>
      </c>
      <c r="L3" s="15" t="s">
        <v>601</v>
      </c>
      <c r="M3" s="15" t="s">
        <v>604</v>
      </c>
    </row>
    <row r="4" spans="1:13" x14ac:dyDescent="0.3">
      <c r="A4" s="13" t="s">
        <v>2</v>
      </c>
      <c r="B4" s="17" t="s">
        <v>7</v>
      </c>
      <c r="C4" s="17" t="s">
        <v>28</v>
      </c>
      <c r="D4" s="17" t="s">
        <v>5</v>
      </c>
      <c r="E4" s="14" t="s">
        <v>18</v>
      </c>
      <c r="F4" s="17" t="s">
        <v>23</v>
      </c>
      <c r="G4" s="17" t="s">
        <v>25</v>
      </c>
      <c r="H4" s="17" t="s">
        <v>3</v>
      </c>
      <c r="I4" s="17" t="s">
        <v>1</v>
      </c>
      <c r="J4" s="17" t="s">
        <v>4</v>
      </c>
      <c r="K4" s="17" t="s">
        <v>11</v>
      </c>
      <c r="L4" s="17" t="s">
        <v>602</v>
      </c>
      <c r="M4" s="17" t="s">
        <v>603</v>
      </c>
    </row>
    <row r="5" spans="1:13" ht="15" x14ac:dyDescent="0.3">
      <c r="A5" s="15">
        <v>1010201</v>
      </c>
      <c r="B5" s="15">
        <v>101</v>
      </c>
      <c r="C5" s="15">
        <v>2</v>
      </c>
      <c r="D5" s="15">
        <v>1</v>
      </c>
      <c r="E5" s="14" t="s">
        <v>250</v>
      </c>
      <c r="F5" s="15">
        <v>1</v>
      </c>
      <c r="G5" s="15">
        <v>100</v>
      </c>
      <c r="H5" s="18" t="s">
        <v>400</v>
      </c>
      <c r="I5" s="15" t="s">
        <v>132</v>
      </c>
      <c r="J5" s="15" t="s">
        <v>6</v>
      </c>
      <c r="K5" s="15">
        <v>3040102</v>
      </c>
      <c r="L5" s="15" t="s">
        <v>606</v>
      </c>
      <c r="M5" s="15">
        <v>3600002</v>
      </c>
    </row>
    <row r="6" spans="1:13" ht="15" x14ac:dyDescent="0.3">
      <c r="A6" s="15">
        <v>1010202</v>
      </c>
      <c r="B6" s="15">
        <v>101</v>
      </c>
      <c r="C6" s="15">
        <v>2</v>
      </c>
      <c r="D6" s="15">
        <v>2</v>
      </c>
      <c r="E6" s="14" t="s">
        <v>255</v>
      </c>
      <c r="F6" s="15">
        <v>1</v>
      </c>
      <c r="G6" s="15">
        <v>100</v>
      </c>
      <c r="H6" s="18" t="s">
        <v>401</v>
      </c>
      <c r="I6" s="15" t="s">
        <v>132</v>
      </c>
      <c r="J6" s="15" t="s">
        <v>29</v>
      </c>
      <c r="K6" s="15">
        <v>3040102</v>
      </c>
      <c r="L6" s="15" t="s">
        <v>605</v>
      </c>
      <c r="M6" s="15">
        <v>3600002</v>
      </c>
    </row>
    <row r="7" spans="1:13" ht="15" x14ac:dyDescent="0.3">
      <c r="A7" s="15">
        <v>1010203</v>
      </c>
      <c r="B7" s="15">
        <v>101</v>
      </c>
      <c r="C7" s="15">
        <v>2</v>
      </c>
      <c r="D7" s="15">
        <v>3</v>
      </c>
      <c r="E7" s="14" t="s">
        <v>256</v>
      </c>
      <c r="F7" s="15">
        <v>1</v>
      </c>
      <c r="G7" s="15">
        <v>100</v>
      </c>
      <c r="H7" s="18" t="s">
        <v>402</v>
      </c>
      <c r="I7" s="15" t="s">
        <v>132</v>
      </c>
      <c r="J7" s="15" t="s">
        <v>29</v>
      </c>
      <c r="K7" s="15">
        <v>3040102</v>
      </c>
      <c r="L7" s="15" t="s">
        <v>605</v>
      </c>
      <c r="M7" s="15">
        <v>3600002</v>
      </c>
    </row>
    <row r="8" spans="1:13" ht="15" x14ac:dyDescent="0.3">
      <c r="A8" s="15">
        <v>1010204</v>
      </c>
      <c r="B8" s="15">
        <v>101</v>
      </c>
      <c r="C8" s="15">
        <v>2</v>
      </c>
      <c r="D8" s="15">
        <v>4</v>
      </c>
      <c r="E8" s="14" t="s">
        <v>257</v>
      </c>
      <c r="F8" s="15">
        <v>1</v>
      </c>
      <c r="G8" s="15">
        <v>100</v>
      </c>
      <c r="H8" s="18" t="s">
        <v>403</v>
      </c>
      <c r="I8" s="15" t="s">
        <v>132</v>
      </c>
      <c r="J8" s="15" t="s">
        <v>29</v>
      </c>
      <c r="K8" s="15">
        <v>3040102</v>
      </c>
      <c r="L8" s="15" t="s">
        <v>605</v>
      </c>
      <c r="M8" s="15">
        <v>3600002</v>
      </c>
    </row>
    <row r="9" spans="1:13" ht="15" x14ac:dyDescent="0.3">
      <c r="A9" s="15">
        <v>1010205</v>
      </c>
      <c r="B9" s="15">
        <v>101</v>
      </c>
      <c r="C9" s="15">
        <v>2</v>
      </c>
      <c r="D9" s="15">
        <v>5</v>
      </c>
      <c r="E9" s="14" t="s">
        <v>258</v>
      </c>
      <c r="F9" s="15">
        <v>1</v>
      </c>
      <c r="G9" s="15">
        <v>100</v>
      </c>
      <c r="H9" s="18" t="s">
        <v>404</v>
      </c>
      <c r="I9" s="15" t="s">
        <v>132</v>
      </c>
      <c r="J9" s="15" t="s">
        <v>29</v>
      </c>
      <c r="K9" s="15">
        <v>3040102</v>
      </c>
      <c r="L9" s="15" t="s">
        <v>605</v>
      </c>
      <c r="M9" s="15">
        <v>3600002</v>
      </c>
    </row>
    <row r="10" spans="1:13" ht="15" x14ac:dyDescent="0.3">
      <c r="A10" s="15">
        <v>1010401</v>
      </c>
      <c r="B10" s="15">
        <v>101</v>
      </c>
      <c r="C10" s="15">
        <v>4</v>
      </c>
      <c r="D10" s="15">
        <v>1</v>
      </c>
      <c r="E10" s="14" t="s">
        <v>250</v>
      </c>
      <c r="F10" s="15">
        <v>3</v>
      </c>
      <c r="G10" s="15">
        <v>100</v>
      </c>
      <c r="H10" s="18" t="s">
        <v>572</v>
      </c>
      <c r="I10" s="15" t="s">
        <v>133</v>
      </c>
      <c r="J10" s="15" t="s">
        <v>30</v>
      </c>
      <c r="K10" s="15">
        <v>3040202</v>
      </c>
      <c r="L10" s="15" t="s">
        <v>606</v>
      </c>
      <c r="M10" s="15">
        <v>3590003</v>
      </c>
    </row>
    <row r="11" spans="1:13" ht="15" x14ac:dyDescent="0.3">
      <c r="A11" s="15">
        <v>1010501</v>
      </c>
      <c r="B11" s="15">
        <v>101</v>
      </c>
      <c r="C11" s="15">
        <v>5</v>
      </c>
      <c r="D11" s="15">
        <v>1</v>
      </c>
      <c r="E11" s="14" t="s">
        <v>250</v>
      </c>
      <c r="F11" s="15">
        <v>1</v>
      </c>
      <c r="G11" s="15">
        <v>100</v>
      </c>
      <c r="H11" s="18" t="s">
        <v>405</v>
      </c>
      <c r="I11" s="15" t="s">
        <v>134</v>
      </c>
      <c r="J11" s="15" t="s">
        <v>32</v>
      </c>
      <c r="K11" s="15">
        <v>3040301</v>
      </c>
      <c r="L11" s="15" t="s">
        <v>606</v>
      </c>
      <c r="M11" s="15">
        <v>3600002</v>
      </c>
    </row>
    <row r="12" spans="1:13" ht="15" x14ac:dyDescent="0.3">
      <c r="A12" s="15">
        <v>1010502</v>
      </c>
      <c r="B12" s="15">
        <v>101</v>
      </c>
      <c r="C12" s="15">
        <v>5</v>
      </c>
      <c r="D12" s="15">
        <v>2</v>
      </c>
      <c r="E12" s="14" t="s">
        <v>259</v>
      </c>
      <c r="F12" s="15">
        <v>1</v>
      </c>
      <c r="G12" s="15">
        <v>100</v>
      </c>
      <c r="H12" s="18" t="s">
        <v>406</v>
      </c>
      <c r="I12" s="15" t="s">
        <v>134</v>
      </c>
      <c r="J12" s="15" t="s">
        <v>31</v>
      </c>
      <c r="K12" s="15">
        <v>3040301</v>
      </c>
      <c r="L12" s="15" t="s">
        <v>605</v>
      </c>
      <c r="M12" s="15">
        <v>3600002</v>
      </c>
    </row>
    <row r="13" spans="1:13" ht="15" x14ac:dyDescent="0.3">
      <c r="A13" s="15">
        <v>1010503</v>
      </c>
      <c r="B13" s="15">
        <v>101</v>
      </c>
      <c r="C13" s="15">
        <v>5</v>
      </c>
      <c r="D13" s="15">
        <v>3</v>
      </c>
      <c r="E13" s="14" t="s">
        <v>260</v>
      </c>
      <c r="F13" s="15">
        <v>1</v>
      </c>
      <c r="G13" s="15">
        <v>100</v>
      </c>
      <c r="H13" s="18" t="s">
        <v>407</v>
      </c>
      <c r="I13" s="15" t="s">
        <v>134</v>
      </c>
      <c r="J13" s="15" t="s">
        <v>31</v>
      </c>
      <c r="K13" s="15">
        <v>3040301</v>
      </c>
      <c r="L13" s="15" t="s">
        <v>605</v>
      </c>
      <c r="M13" s="15">
        <v>3600002</v>
      </c>
    </row>
    <row r="14" spans="1:13" ht="15" x14ac:dyDescent="0.3">
      <c r="A14" s="15">
        <v>1010504</v>
      </c>
      <c r="B14" s="15">
        <v>101</v>
      </c>
      <c r="C14" s="15">
        <v>5</v>
      </c>
      <c r="D14" s="15">
        <v>4</v>
      </c>
      <c r="E14" s="14" t="s">
        <v>261</v>
      </c>
      <c r="F14" s="15">
        <v>1</v>
      </c>
      <c r="G14" s="15">
        <v>100</v>
      </c>
      <c r="H14" s="18" t="s">
        <v>408</v>
      </c>
      <c r="I14" s="15" t="s">
        <v>134</v>
      </c>
      <c r="J14" s="15" t="s">
        <v>31</v>
      </c>
      <c r="K14" s="15">
        <v>3040301</v>
      </c>
      <c r="L14" s="15" t="s">
        <v>605</v>
      </c>
      <c r="M14" s="15">
        <v>3600002</v>
      </c>
    </row>
    <row r="15" spans="1:13" ht="15" x14ac:dyDescent="0.3">
      <c r="A15" s="15">
        <v>1010505</v>
      </c>
      <c r="B15" s="15">
        <v>101</v>
      </c>
      <c r="C15" s="15">
        <v>5</v>
      </c>
      <c r="D15" s="15">
        <v>5</v>
      </c>
      <c r="E15" s="14" t="s">
        <v>262</v>
      </c>
      <c r="F15" s="15">
        <v>1</v>
      </c>
      <c r="G15" s="15">
        <v>100</v>
      </c>
      <c r="H15" s="18" t="s">
        <v>409</v>
      </c>
      <c r="I15" s="15" t="s">
        <v>134</v>
      </c>
      <c r="J15" s="15" t="s">
        <v>31</v>
      </c>
      <c r="K15" s="15">
        <v>3040301</v>
      </c>
      <c r="L15" s="15" t="s">
        <v>605</v>
      </c>
      <c r="M15" s="15">
        <v>3600002</v>
      </c>
    </row>
    <row r="16" spans="1:13" ht="15" x14ac:dyDescent="0.3">
      <c r="A16" s="15">
        <v>1010701</v>
      </c>
      <c r="B16" s="15">
        <v>101</v>
      </c>
      <c r="C16" s="15">
        <v>7</v>
      </c>
      <c r="D16" s="15">
        <v>1</v>
      </c>
      <c r="E16" s="14" t="s">
        <v>250</v>
      </c>
      <c r="F16" s="15">
        <v>1</v>
      </c>
      <c r="G16" s="15">
        <v>100</v>
      </c>
      <c r="H16" s="18" t="s">
        <v>410</v>
      </c>
      <c r="I16" s="15" t="s">
        <v>136</v>
      </c>
      <c r="J16" s="15" t="s">
        <v>34</v>
      </c>
      <c r="K16" s="15">
        <v>3040701</v>
      </c>
      <c r="L16" s="15" t="s">
        <v>606</v>
      </c>
      <c r="M16" s="15">
        <v>3600002</v>
      </c>
    </row>
    <row r="17" spans="1:13" ht="15" x14ac:dyDescent="0.3">
      <c r="A17" s="15">
        <v>1010702</v>
      </c>
      <c r="B17" s="15">
        <v>101</v>
      </c>
      <c r="C17" s="15">
        <v>7</v>
      </c>
      <c r="D17" s="15">
        <v>2</v>
      </c>
      <c r="E17" s="14" t="s">
        <v>263</v>
      </c>
      <c r="F17" s="15">
        <v>1</v>
      </c>
      <c r="G17" s="15">
        <v>100</v>
      </c>
      <c r="H17" s="18" t="s">
        <v>411</v>
      </c>
      <c r="I17" s="15" t="s">
        <v>136</v>
      </c>
      <c r="J17" s="15" t="s">
        <v>33</v>
      </c>
      <c r="K17" s="15">
        <v>3040701</v>
      </c>
      <c r="L17" s="15" t="s">
        <v>605</v>
      </c>
      <c r="M17" s="15">
        <v>3600002</v>
      </c>
    </row>
    <row r="18" spans="1:13" ht="15" x14ac:dyDescent="0.3">
      <c r="A18" s="15">
        <v>1010703</v>
      </c>
      <c r="B18" s="15">
        <v>101</v>
      </c>
      <c r="C18" s="15">
        <v>7</v>
      </c>
      <c r="D18" s="15">
        <v>3</v>
      </c>
      <c r="E18" s="14" t="s">
        <v>264</v>
      </c>
      <c r="F18" s="15">
        <v>1</v>
      </c>
      <c r="G18" s="15">
        <v>100</v>
      </c>
      <c r="H18" s="18" t="s">
        <v>412</v>
      </c>
      <c r="I18" s="15" t="s">
        <v>136</v>
      </c>
      <c r="J18" s="15" t="s">
        <v>33</v>
      </c>
      <c r="K18" s="15">
        <v>3040701</v>
      </c>
      <c r="L18" s="15" t="s">
        <v>605</v>
      </c>
      <c r="M18" s="15">
        <v>3600002</v>
      </c>
    </row>
    <row r="19" spans="1:13" ht="15" x14ac:dyDescent="0.3">
      <c r="A19" s="15">
        <v>1010704</v>
      </c>
      <c r="B19" s="15">
        <v>101</v>
      </c>
      <c r="C19" s="15">
        <v>7</v>
      </c>
      <c r="D19" s="15">
        <v>4</v>
      </c>
      <c r="E19" s="14" t="s">
        <v>265</v>
      </c>
      <c r="F19" s="15">
        <v>1</v>
      </c>
      <c r="G19" s="15">
        <v>100</v>
      </c>
      <c r="H19" s="18" t="s">
        <v>413</v>
      </c>
      <c r="I19" s="15" t="s">
        <v>136</v>
      </c>
      <c r="J19" s="15" t="s">
        <v>33</v>
      </c>
      <c r="K19" s="15">
        <v>3040701</v>
      </c>
      <c r="L19" s="15" t="s">
        <v>605</v>
      </c>
      <c r="M19" s="15">
        <v>3600002</v>
      </c>
    </row>
    <row r="20" spans="1:13" ht="15" x14ac:dyDescent="0.3">
      <c r="A20" s="15">
        <v>1010705</v>
      </c>
      <c r="B20" s="15">
        <v>101</v>
      </c>
      <c r="C20" s="15">
        <v>7</v>
      </c>
      <c r="D20" s="15">
        <v>5</v>
      </c>
      <c r="E20" s="14" t="s">
        <v>266</v>
      </c>
      <c r="F20" s="15">
        <v>1</v>
      </c>
      <c r="G20" s="15">
        <v>100</v>
      </c>
      <c r="H20" s="18" t="s">
        <v>414</v>
      </c>
      <c r="I20" s="15" t="s">
        <v>136</v>
      </c>
      <c r="J20" s="15" t="s">
        <v>33</v>
      </c>
      <c r="K20" s="15">
        <v>3040701</v>
      </c>
      <c r="L20" s="15" t="s">
        <v>605</v>
      </c>
      <c r="M20" s="15">
        <v>3600002</v>
      </c>
    </row>
    <row r="21" spans="1:13" ht="15" x14ac:dyDescent="0.3">
      <c r="A21" s="15">
        <v>1010801</v>
      </c>
      <c r="B21" s="15">
        <v>101</v>
      </c>
      <c r="C21" s="15">
        <v>8</v>
      </c>
      <c r="D21" s="15">
        <v>1</v>
      </c>
      <c r="E21" s="14" t="s">
        <v>250</v>
      </c>
      <c r="F21" s="15">
        <v>1</v>
      </c>
      <c r="G21" s="15">
        <v>100</v>
      </c>
      <c r="H21" s="18" t="s">
        <v>513</v>
      </c>
      <c r="I21" s="15" t="s">
        <v>137</v>
      </c>
      <c r="J21" s="15" t="s">
        <v>36</v>
      </c>
      <c r="K21" s="15">
        <v>3040901</v>
      </c>
      <c r="L21" s="15" t="s">
        <v>606</v>
      </c>
      <c r="M21" s="15">
        <v>3600004</v>
      </c>
    </row>
    <row r="22" spans="1:13" ht="15" x14ac:dyDescent="0.3">
      <c r="A22" s="15">
        <v>1010802</v>
      </c>
      <c r="B22" s="15">
        <v>101</v>
      </c>
      <c r="C22" s="15">
        <v>8</v>
      </c>
      <c r="D22" s="15">
        <v>2</v>
      </c>
      <c r="E22" s="14" t="s">
        <v>267</v>
      </c>
      <c r="F22" s="15">
        <v>1</v>
      </c>
      <c r="G22" s="15">
        <v>100</v>
      </c>
      <c r="H22" s="18" t="s">
        <v>513</v>
      </c>
      <c r="I22" s="15" t="s">
        <v>137</v>
      </c>
      <c r="J22" s="15" t="s">
        <v>35</v>
      </c>
      <c r="K22" s="15">
        <v>3040901</v>
      </c>
      <c r="L22" s="15" t="s">
        <v>605</v>
      </c>
      <c r="M22" s="15">
        <v>3600004</v>
      </c>
    </row>
    <row r="23" spans="1:13" ht="15" x14ac:dyDescent="0.3">
      <c r="A23" s="15">
        <v>1010803</v>
      </c>
      <c r="B23" s="15">
        <v>101</v>
      </c>
      <c r="C23" s="15">
        <v>8</v>
      </c>
      <c r="D23" s="15">
        <v>3</v>
      </c>
      <c r="E23" s="14" t="s">
        <v>268</v>
      </c>
      <c r="F23" s="15">
        <v>1</v>
      </c>
      <c r="G23" s="15">
        <v>100</v>
      </c>
      <c r="H23" s="18" t="s">
        <v>513</v>
      </c>
      <c r="I23" s="15" t="s">
        <v>137</v>
      </c>
      <c r="J23" s="15" t="s">
        <v>35</v>
      </c>
      <c r="K23" s="15">
        <v>3040901</v>
      </c>
      <c r="L23" s="15" t="s">
        <v>605</v>
      </c>
      <c r="M23" s="15">
        <v>3600004</v>
      </c>
    </row>
    <row r="24" spans="1:13" ht="15" x14ac:dyDescent="0.3">
      <c r="A24" s="15">
        <v>1010804</v>
      </c>
      <c r="B24" s="15">
        <v>101</v>
      </c>
      <c r="C24" s="15">
        <v>8</v>
      </c>
      <c r="D24" s="15">
        <v>4</v>
      </c>
      <c r="E24" s="14" t="s">
        <v>269</v>
      </c>
      <c r="F24" s="15">
        <v>1</v>
      </c>
      <c r="G24" s="15">
        <v>100</v>
      </c>
      <c r="H24" s="18" t="s">
        <v>513</v>
      </c>
      <c r="I24" s="15" t="s">
        <v>137</v>
      </c>
      <c r="J24" s="15" t="s">
        <v>35</v>
      </c>
      <c r="K24" s="15">
        <v>3040901</v>
      </c>
      <c r="L24" s="15" t="s">
        <v>605</v>
      </c>
      <c r="M24" s="15">
        <v>3600004</v>
      </c>
    </row>
    <row r="25" spans="1:13" ht="15" x14ac:dyDescent="0.3">
      <c r="A25" s="15">
        <v>1010805</v>
      </c>
      <c r="B25" s="15">
        <v>101</v>
      </c>
      <c r="C25" s="15">
        <v>8</v>
      </c>
      <c r="D25" s="15">
        <v>5</v>
      </c>
      <c r="E25" s="14" t="s">
        <v>270</v>
      </c>
      <c r="F25" s="15">
        <v>1</v>
      </c>
      <c r="G25" s="15">
        <v>100</v>
      </c>
      <c r="H25" s="18" t="s">
        <v>513</v>
      </c>
      <c r="I25" s="15" t="s">
        <v>137</v>
      </c>
      <c r="J25" s="15" t="s">
        <v>35</v>
      </c>
      <c r="K25" s="15">
        <v>3040901</v>
      </c>
      <c r="L25" s="15" t="s">
        <v>605</v>
      </c>
      <c r="M25" s="15">
        <v>3600004</v>
      </c>
    </row>
    <row r="26" spans="1:13" ht="15" x14ac:dyDescent="0.3">
      <c r="A26" s="15">
        <v>1010901</v>
      </c>
      <c r="B26" s="15">
        <v>101</v>
      </c>
      <c r="C26" s="15">
        <v>9</v>
      </c>
      <c r="D26" s="15">
        <v>1</v>
      </c>
      <c r="E26" s="14" t="s">
        <v>250</v>
      </c>
      <c r="F26" s="15">
        <v>1</v>
      </c>
      <c r="G26" s="15">
        <v>100</v>
      </c>
      <c r="H26" s="18" t="s">
        <v>589</v>
      </c>
      <c r="I26" s="15" t="s">
        <v>575</v>
      </c>
      <c r="J26" s="15" t="s">
        <v>576</v>
      </c>
      <c r="K26" s="15">
        <v>3041501</v>
      </c>
      <c r="L26" s="15" t="s">
        <v>605</v>
      </c>
      <c r="M26" s="15">
        <v>3610003</v>
      </c>
    </row>
    <row r="27" spans="1:13" ht="15" x14ac:dyDescent="0.3">
      <c r="A27" s="15">
        <v>10109011</v>
      </c>
      <c r="B27" s="15">
        <v>101</v>
      </c>
      <c r="C27" s="15">
        <v>9</v>
      </c>
      <c r="D27" s="15">
        <v>1</v>
      </c>
      <c r="E27" s="14" t="s">
        <v>250</v>
      </c>
      <c r="F27" s="15">
        <v>1</v>
      </c>
      <c r="G27" s="15">
        <v>100</v>
      </c>
      <c r="H27" s="18" t="s">
        <v>589</v>
      </c>
      <c r="I27" s="15" t="s">
        <v>575</v>
      </c>
      <c r="J27" s="15" t="s">
        <v>576</v>
      </c>
      <c r="K27" s="15">
        <v>3041501</v>
      </c>
      <c r="L27" s="15" t="s">
        <v>605</v>
      </c>
      <c r="M27" s="15">
        <v>3610003</v>
      </c>
    </row>
    <row r="28" spans="1:13" ht="15" x14ac:dyDescent="0.3">
      <c r="A28" s="15">
        <v>10109012</v>
      </c>
      <c r="B28" s="15">
        <v>101</v>
      </c>
      <c r="C28" s="15">
        <v>9</v>
      </c>
      <c r="D28" s="15">
        <v>1</v>
      </c>
      <c r="E28" s="14" t="s">
        <v>250</v>
      </c>
      <c r="F28" s="15">
        <v>1</v>
      </c>
      <c r="G28" s="15">
        <v>100</v>
      </c>
      <c r="H28" s="18" t="s">
        <v>767</v>
      </c>
      <c r="I28" s="15" t="s">
        <v>575</v>
      </c>
      <c r="J28" s="15" t="s">
        <v>768</v>
      </c>
      <c r="K28" s="15"/>
      <c r="L28" s="15" t="s">
        <v>605</v>
      </c>
      <c r="M28" s="15">
        <v>3610003</v>
      </c>
    </row>
    <row r="29" spans="1:13" ht="15" x14ac:dyDescent="0.3">
      <c r="A29" s="15">
        <v>1010902</v>
      </c>
      <c r="B29" s="15">
        <v>101</v>
      </c>
      <c r="C29" s="15">
        <v>9</v>
      </c>
      <c r="D29" s="15">
        <v>2</v>
      </c>
      <c r="E29" s="14">
        <v>1010902</v>
      </c>
      <c r="F29" s="15">
        <v>1</v>
      </c>
      <c r="G29" s="15">
        <v>100</v>
      </c>
      <c r="H29" s="18" t="s">
        <v>648</v>
      </c>
      <c r="I29" s="15" t="s">
        <v>599</v>
      </c>
      <c r="J29" s="15" t="s">
        <v>6</v>
      </c>
      <c r="K29" s="15">
        <v>3040102</v>
      </c>
      <c r="L29" s="15" t="s">
        <v>605</v>
      </c>
      <c r="M29" s="15">
        <v>3600002</v>
      </c>
    </row>
    <row r="30" spans="1:13" ht="15" x14ac:dyDescent="0.3">
      <c r="A30" s="15">
        <v>1010903</v>
      </c>
      <c r="B30" s="15">
        <v>101</v>
      </c>
      <c r="C30" s="15">
        <v>9</v>
      </c>
      <c r="D30" s="15">
        <v>3</v>
      </c>
      <c r="E30" s="14">
        <v>1010903</v>
      </c>
      <c r="F30" s="15">
        <v>1</v>
      </c>
      <c r="G30" s="15">
        <v>100</v>
      </c>
      <c r="H30" s="18" t="s">
        <v>645</v>
      </c>
      <c r="I30" s="15" t="s">
        <v>599</v>
      </c>
      <c r="J30" s="15" t="s">
        <v>6</v>
      </c>
      <c r="K30" s="15">
        <v>3040102</v>
      </c>
      <c r="L30" s="15" t="s">
        <v>605</v>
      </c>
      <c r="M30" s="15">
        <v>3600002</v>
      </c>
    </row>
    <row r="31" spans="1:13" ht="15" x14ac:dyDescent="0.3">
      <c r="A31" s="15">
        <v>1010904</v>
      </c>
      <c r="B31" s="15">
        <v>101</v>
      </c>
      <c r="C31" s="15">
        <v>9</v>
      </c>
      <c r="D31" s="15">
        <v>4</v>
      </c>
      <c r="E31" s="14">
        <v>1010904</v>
      </c>
      <c r="F31" s="15">
        <v>1</v>
      </c>
      <c r="G31" s="15">
        <v>100</v>
      </c>
      <c r="H31" s="18" t="s">
        <v>646</v>
      </c>
      <c r="I31" s="15" t="s">
        <v>599</v>
      </c>
      <c r="J31" s="15" t="s">
        <v>6</v>
      </c>
      <c r="K31" s="15">
        <v>3040102</v>
      </c>
      <c r="L31" s="15" t="s">
        <v>606</v>
      </c>
      <c r="M31" s="15">
        <v>3600002</v>
      </c>
    </row>
    <row r="32" spans="1:13" ht="15" x14ac:dyDescent="0.3">
      <c r="A32" s="15">
        <v>1010905</v>
      </c>
      <c r="B32" s="15">
        <v>101</v>
      </c>
      <c r="C32" s="15">
        <v>9</v>
      </c>
      <c r="D32" s="15">
        <v>5</v>
      </c>
      <c r="E32" s="14">
        <v>1010905</v>
      </c>
      <c r="F32" s="15">
        <v>1</v>
      </c>
      <c r="G32" s="15">
        <v>100</v>
      </c>
      <c r="H32" s="18" t="s">
        <v>647</v>
      </c>
      <c r="I32" s="15" t="s">
        <v>599</v>
      </c>
      <c r="J32" s="15" t="s">
        <v>6</v>
      </c>
      <c r="K32" s="15">
        <v>3040102</v>
      </c>
      <c r="L32" s="15" t="s">
        <v>606</v>
      </c>
      <c r="M32" s="15">
        <v>3600002</v>
      </c>
    </row>
    <row r="33" spans="1:13" ht="15" x14ac:dyDescent="0.3">
      <c r="A33" s="15">
        <v>1010906</v>
      </c>
      <c r="B33" s="15">
        <v>101</v>
      </c>
      <c r="C33" s="15">
        <v>9</v>
      </c>
      <c r="D33" s="15">
        <v>6</v>
      </c>
      <c r="E33" s="14">
        <v>1010906</v>
      </c>
      <c r="F33" s="15">
        <v>1</v>
      </c>
      <c r="G33" s="15">
        <v>100</v>
      </c>
      <c r="H33" s="18" t="s">
        <v>730</v>
      </c>
      <c r="I33" s="15" t="s">
        <v>599</v>
      </c>
      <c r="J33" s="15" t="s">
        <v>6</v>
      </c>
      <c r="K33" s="15">
        <v>3040102</v>
      </c>
      <c r="L33" s="15" t="s">
        <v>605</v>
      </c>
      <c r="M33" s="15">
        <v>3600002</v>
      </c>
    </row>
    <row r="34" spans="1:13" ht="15" x14ac:dyDescent="0.3">
      <c r="A34" s="15">
        <v>1010907</v>
      </c>
      <c r="B34" s="15">
        <v>101</v>
      </c>
      <c r="C34" s="15">
        <v>9</v>
      </c>
      <c r="D34" s="15">
        <v>7</v>
      </c>
      <c r="E34" s="14">
        <v>1010907</v>
      </c>
      <c r="F34" s="15">
        <v>1</v>
      </c>
      <c r="G34" s="15">
        <v>100</v>
      </c>
      <c r="H34" s="18" t="s">
        <v>731</v>
      </c>
      <c r="I34" s="15" t="s">
        <v>599</v>
      </c>
      <c r="J34" s="15" t="s">
        <v>6</v>
      </c>
      <c r="K34" s="15">
        <v>3040102</v>
      </c>
      <c r="L34" s="15" t="s">
        <v>605</v>
      </c>
      <c r="M34" s="15">
        <v>3600002</v>
      </c>
    </row>
    <row r="35" spans="1:13" ht="15" x14ac:dyDescent="0.3">
      <c r="A35" s="15">
        <v>1010908</v>
      </c>
      <c r="B35" s="15">
        <v>101</v>
      </c>
      <c r="C35" s="15">
        <v>9</v>
      </c>
      <c r="D35" s="15">
        <v>8</v>
      </c>
      <c r="E35" s="14">
        <v>1010908</v>
      </c>
      <c r="F35" s="15">
        <v>1</v>
      </c>
      <c r="G35" s="15">
        <v>100</v>
      </c>
      <c r="H35" s="18" t="s">
        <v>403</v>
      </c>
      <c r="I35" s="15" t="s">
        <v>599</v>
      </c>
      <c r="J35" s="15" t="s">
        <v>6</v>
      </c>
      <c r="K35" s="15">
        <v>3040102</v>
      </c>
      <c r="L35" s="15" t="s">
        <v>605</v>
      </c>
      <c r="M35" s="15">
        <v>3600002</v>
      </c>
    </row>
    <row r="36" spans="1:13" ht="15" x14ac:dyDescent="0.3">
      <c r="A36" s="15">
        <v>1010909</v>
      </c>
      <c r="B36" s="15">
        <v>101</v>
      </c>
      <c r="C36" s="15">
        <v>9</v>
      </c>
      <c r="D36" s="15">
        <v>9</v>
      </c>
      <c r="E36" s="14">
        <v>1010909</v>
      </c>
      <c r="F36" s="15">
        <v>1</v>
      </c>
      <c r="G36" s="15">
        <v>100</v>
      </c>
      <c r="H36" s="18" t="s">
        <v>732</v>
      </c>
      <c r="I36" s="15" t="s">
        <v>599</v>
      </c>
      <c r="J36" s="15" t="s">
        <v>6</v>
      </c>
      <c r="K36" s="15">
        <v>3040102</v>
      </c>
      <c r="L36" s="15" t="s">
        <v>605</v>
      </c>
      <c r="M36" s="15">
        <v>3600002</v>
      </c>
    </row>
    <row r="37" spans="1:13" ht="15" x14ac:dyDescent="0.3">
      <c r="A37" s="15">
        <v>1010910</v>
      </c>
      <c r="B37" s="15">
        <v>101</v>
      </c>
      <c r="C37" s="15">
        <v>9</v>
      </c>
      <c r="D37" s="15">
        <v>10</v>
      </c>
      <c r="E37" s="14">
        <v>1010910</v>
      </c>
      <c r="F37" s="15">
        <v>20</v>
      </c>
      <c r="G37" s="15">
        <v>100</v>
      </c>
      <c r="H37" s="18" t="s">
        <v>733</v>
      </c>
      <c r="I37" s="15" t="s">
        <v>599</v>
      </c>
      <c r="J37" s="15" t="s">
        <v>6</v>
      </c>
      <c r="K37" s="15">
        <v>3040102</v>
      </c>
      <c r="L37" s="15" t="s">
        <v>605</v>
      </c>
      <c r="M37" s="15">
        <v>3600002</v>
      </c>
    </row>
    <row r="38" spans="1:13" ht="15" x14ac:dyDescent="0.3">
      <c r="A38" s="15">
        <v>1011001</v>
      </c>
      <c r="B38" s="15">
        <v>101</v>
      </c>
      <c r="C38" s="15">
        <v>9</v>
      </c>
      <c r="D38" s="15">
        <v>1</v>
      </c>
      <c r="E38" s="14" t="s">
        <v>250</v>
      </c>
      <c r="F38" s="15">
        <v>1</v>
      </c>
      <c r="G38" s="15">
        <v>100</v>
      </c>
      <c r="H38" s="18" t="s">
        <v>600</v>
      </c>
      <c r="I38" s="15" t="s">
        <v>138</v>
      </c>
      <c r="J38" s="15" t="s">
        <v>37</v>
      </c>
      <c r="K38" s="15">
        <v>3041001</v>
      </c>
      <c r="L38" s="15" t="s">
        <v>605</v>
      </c>
      <c r="M38" s="15">
        <v>3610001</v>
      </c>
    </row>
    <row r="39" spans="1:13" ht="15" x14ac:dyDescent="0.3">
      <c r="A39" s="15">
        <v>1011002</v>
      </c>
      <c r="B39" s="15">
        <v>101</v>
      </c>
      <c r="C39" s="15">
        <v>9</v>
      </c>
      <c r="D39" s="15">
        <v>2</v>
      </c>
      <c r="E39" s="19" t="s">
        <v>574</v>
      </c>
      <c r="F39" s="15">
        <v>1</v>
      </c>
      <c r="G39" s="15">
        <v>100</v>
      </c>
      <c r="H39" s="18" t="s">
        <v>416</v>
      </c>
      <c r="I39" s="15" t="s">
        <v>138</v>
      </c>
      <c r="J39" s="15" t="s">
        <v>37</v>
      </c>
      <c r="K39" s="15">
        <v>3041001</v>
      </c>
      <c r="L39" s="15" t="s">
        <v>605</v>
      </c>
      <c r="M39" s="15">
        <v>3610001</v>
      </c>
    </row>
    <row r="40" spans="1:13" ht="15" x14ac:dyDescent="0.3">
      <c r="A40" s="15">
        <v>1011003</v>
      </c>
      <c r="B40" s="15">
        <v>101</v>
      </c>
      <c r="C40" s="15">
        <v>9</v>
      </c>
      <c r="D40" s="15">
        <v>3</v>
      </c>
      <c r="E40" s="14">
        <v>1011002</v>
      </c>
      <c r="F40" s="15">
        <v>1</v>
      </c>
      <c r="G40" s="15">
        <v>100</v>
      </c>
      <c r="H40" s="18" t="s">
        <v>417</v>
      </c>
      <c r="I40" s="15" t="s">
        <v>138</v>
      </c>
      <c r="J40" s="15" t="s">
        <v>37</v>
      </c>
      <c r="K40" s="15">
        <v>3041001</v>
      </c>
      <c r="L40" s="15" t="s">
        <v>605</v>
      </c>
      <c r="M40" s="15">
        <v>3610001</v>
      </c>
    </row>
    <row r="41" spans="1:13" ht="15" x14ac:dyDescent="0.3">
      <c r="A41" s="15">
        <v>1011004</v>
      </c>
      <c r="B41" s="15">
        <v>101</v>
      </c>
      <c r="C41" s="15">
        <v>9</v>
      </c>
      <c r="D41" s="15">
        <v>4</v>
      </c>
      <c r="E41" s="14">
        <v>1011003</v>
      </c>
      <c r="F41" s="15">
        <v>1</v>
      </c>
      <c r="G41" s="15">
        <v>100</v>
      </c>
      <c r="H41" s="18" t="s">
        <v>418</v>
      </c>
      <c r="I41" s="15" t="s">
        <v>138</v>
      </c>
      <c r="J41" s="15" t="s">
        <v>37</v>
      </c>
      <c r="K41" s="15">
        <v>3041001</v>
      </c>
      <c r="L41" s="15" t="s">
        <v>605</v>
      </c>
      <c r="M41" s="15">
        <v>3610001</v>
      </c>
    </row>
    <row r="42" spans="1:13" ht="15" x14ac:dyDescent="0.3">
      <c r="A42" s="15">
        <v>1011005</v>
      </c>
      <c r="B42" s="15">
        <v>101</v>
      </c>
      <c r="C42" s="15">
        <v>9</v>
      </c>
      <c r="D42" s="15">
        <v>5</v>
      </c>
      <c r="E42" s="14">
        <v>1011004</v>
      </c>
      <c r="F42" s="15">
        <v>1</v>
      </c>
      <c r="G42" s="15">
        <v>100</v>
      </c>
      <c r="H42" s="18" t="s">
        <v>419</v>
      </c>
      <c r="I42" s="15" t="s">
        <v>138</v>
      </c>
      <c r="J42" s="15" t="s">
        <v>37</v>
      </c>
      <c r="K42" s="15">
        <v>3041001</v>
      </c>
      <c r="L42" s="15" t="s">
        <v>605</v>
      </c>
      <c r="M42" s="15">
        <v>3610001</v>
      </c>
    </row>
    <row r="43" spans="1:13" ht="15" x14ac:dyDescent="0.3">
      <c r="A43" s="15">
        <v>1011101</v>
      </c>
      <c r="B43" s="15">
        <v>101</v>
      </c>
      <c r="C43" s="15">
        <v>11</v>
      </c>
      <c r="D43" s="15">
        <v>1</v>
      </c>
      <c r="E43" s="14" t="s">
        <v>250</v>
      </c>
      <c r="F43" s="15">
        <v>1</v>
      </c>
      <c r="G43" s="15">
        <v>100</v>
      </c>
      <c r="H43" s="18" t="s">
        <v>514</v>
      </c>
      <c r="I43" s="15" t="s">
        <v>140</v>
      </c>
      <c r="J43" s="15" t="s">
        <v>40</v>
      </c>
      <c r="K43" s="15">
        <v>3041201</v>
      </c>
      <c r="L43" s="15" t="s">
        <v>606</v>
      </c>
      <c r="M43" s="15">
        <v>3600003</v>
      </c>
    </row>
    <row r="44" spans="1:13" ht="15" x14ac:dyDescent="0.3">
      <c r="A44" s="15">
        <v>1011102</v>
      </c>
      <c r="B44" s="15">
        <v>101</v>
      </c>
      <c r="C44" s="15">
        <v>11</v>
      </c>
      <c r="D44" s="15">
        <v>2</v>
      </c>
      <c r="E44" s="14" t="s">
        <v>271</v>
      </c>
      <c r="F44" s="15">
        <v>1</v>
      </c>
      <c r="G44" s="15">
        <v>100</v>
      </c>
      <c r="H44" s="18" t="s">
        <v>514</v>
      </c>
      <c r="I44" s="15" t="s">
        <v>140</v>
      </c>
      <c r="J44" s="15" t="s">
        <v>39</v>
      </c>
      <c r="K44" s="15">
        <v>3041201</v>
      </c>
      <c r="L44" s="15" t="s">
        <v>605</v>
      </c>
      <c r="M44" s="15">
        <v>3600003</v>
      </c>
    </row>
    <row r="45" spans="1:13" ht="15" x14ac:dyDescent="0.3">
      <c r="A45" s="15">
        <v>1011103</v>
      </c>
      <c r="B45" s="15">
        <v>101</v>
      </c>
      <c r="C45" s="15">
        <v>11</v>
      </c>
      <c r="D45" s="15">
        <v>3</v>
      </c>
      <c r="E45" s="14" t="s">
        <v>272</v>
      </c>
      <c r="F45" s="15">
        <v>1</v>
      </c>
      <c r="G45" s="15">
        <v>100</v>
      </c>
      <c r="H45" s="18" t="s">
        <v>514</v>
      </c>
      <c r="I45" s="15" t="s">
        <v>140</v>
      </c>
      <c r="J45" s="15" t="s">
        <v>39</v>
      </c>
      <c r="K45" s="15">
        <v>3041201</v>
      </c>
      <c r="L45" s="15" t="s">
        <v>605</v>
      </c>
      <c r="M45" s="15">
        <v>3600003</v>
      </c>
    </row>
    <row r="46" spans="1:13" ht="15" x14ac:dyDescent="0.3">
      <c r="A46" s="15">
        <v>1011104</v>
      </c>
      <c r="B46" s="15">
        <v>101</v>
      </c>
      <c r="C46" s="15">
        <v>11</v>
      </c>
      <c r="D46" s="15">
        <v>4</v>
      </c>
      <c r="E46" s="14" t="s">
        <v>273</v>
      </c>
      <c r="F46" s="15">
        <v>1</v>
      </c>
      <c r="G46" s="15">
        <v>100</v>
      </c>
      <c r="H46" s="18" t="s">
        <v>514</v>
      </c>
      <c r="I46" s="15" t="s">
        <v>140</v>
      </c>
      <c r="J46" s="15" t="s">
        <v>39</v>
      </c>
      <c r="K46" s="15">
        <v>3041201</v>
      </c>
      <c r="L46" s="15" t="s">
        <v>605</v>
      </c>
      <c r="M46" s="15">
        <v>3600003</v>
      </c>
    </row>
    <row r="47" spans="1:13" ht="15" x14ac:dyDescent="0.3">
      <c r="A47" s="15">
        <v>1011105</v>
      </c>
      <c r="B47" s="15">
        <v>101</v>
      </c>
      <c r="C47" s="15">
        <v>11</v>
      </c>
      <c r="D47" s="15">
        <v>5</v>
      </c>
      <c r="E47" s="14" t="s">
        <v>274</v>
      </c>
      <c r="F47" s="15">
        <v>1</v>
      </c>
      <c r="G47" s="15">
        <v>100</v>
      </c>
      <c r="H47" s="18" t="s">
        <v>514</v>
      </c>
      <c r="I47" s="15" t="s">
        <v>140</v>
      </c>
      <c r="J47" s="15" t="s">
        <v>39</v>
      </c>
      <c r="K47" s="15">
        <v>3041201</v>
      </c>
      <c r="L47" s="15" t="s">
        <v>605</v>
      </c>
      <c r="M47" s="15">
        <v>3600003</v>
      </c>
    </row>
    <row r="48" spans="1:13" ht="15" x14ac:dyDescent="0.3">
      <c r="A48" s="15">
        <v>1011201</v>
      </c>
      <c r="B48" s="15">
        <v>101</v>
      </c>
      <c r="C48" s="15">
        <v>12</v>
      </c>
      <c r="D48" s="15">
        <v>1</v>
      </c>
      <c r="E48" s="14" t="s">
        <v>250</v>
      </c>
      <c r="F48" s="15">
        <v>1</v>
      </c>
      <c r="G48" s="15">
        <v>100</v>
      </c>
      <c r="H48" s="18" t="s">
        <v>420</v>
      </c>
      <c r="I48" s="15" t="s">
        <v>141</v>
      </c>
      <c r="J48" s="15" t="s">
        <v>42</v>
      </c>
      <c r="K48" s="15">
        <v>3041301</v>
      </c>
      <c r="L48" s="15" t="s">
        <v>606</v>
      </c>
      <c r="M48" s="15">
        <v>3600003</v>
      </c>
    </row>
    <row r="49" spans="1:13" ht="15" x14ac:dyDescent="0.3">
      <c r="A49" s="15">
        <v>1011202</v>
      </c>
      <c r="B49" s="15">
        <v>101</v>
      </c>
      <c r="C49" s="15">
        <v>12</v>
      </c>
      <c r="D49" s="15">
        <v>2</v>
      </c>
      <c r="E49" s="14" t="s">
        <v>275</v>
      </c>
      <c r="F49" s="15">
        <v>1</v>
      </c>
      <c r="G49" s="15">
        <v>100</v>
      </c>
      <c r="H49" s="18" t="s">
        <v>421</v>
      </c>
      <c r="I49" s="15" t="s">
        <v>141</v>
      </c>
      <c r="J49" s="15" t="s">
        <v>41</v>
      </c>
      <c r="K49" s="15">
        <v>3041301</v>
      </c>
      <c r="L49" s="15" t="s">
        <v>605</v>
      </c>
      <c r="M49" s="15">
        <v>3600003</v>
      </c>
    </row>
    <row r="50" spans="1:13" ht="15" x14ac:dyDescent="0.3">
      <c r="A50" s="15">
        <v>1011203</v>
      </c>
      <c r="B50" s="15">
        <v>101</v>
      </c>
      <c r="C50" s="15">
        <v>12</v>
      </c>
      <c r="D50" s="15">
        <v>3</v>
      </c>
      <c r="E50" s="14" t="s">
        <v>276</v>
      </c>
      <c r="F50" s="15">
        <v>1</v>
      </c>
      <c r="G50" s="15">
        <v>100</v>
      </c>
      <c r="H50" s="18" t="s">
        <v>422</v>
      </c>
      <c r="I50" s="15" t="s">
        <v>141</v>
      </c>
      <c r="J50" s="15" t="s">
        <v>41</v>
      </c>
      <c r="K50" s="15">
        <v>3041301</v>
      </c>
      <c r="L50" s="15" t="s">
        <v>605</v>
      </c>
      <c r="M50" s="15">
        <v>3600003</v>
      </c>
    </row>
    <row r="51" spans="1:13" ht="15" x14ac:dyDescent="0.3">
      <c r="A51" s="15">
        <v>1011204</v>
      </c>
      <c r="B51" s="15">
        <v>101</v>
      </c>
      <c r="C51" s="15">
        <v>12</v>
      </c>
      <c r="D51" s="15">
        <v>4</v>
      </c>
      <c r="E51" s="14" t="s">
        <v>277</v>
      </c>
      <c r="F51" s="15">
        <v>1</v>
      </c>
      <c r="G51" s="15">
        <v>100</v>
      </c>
      <c r="H51" s="18" t="s">
        <v>423</v>
      </c>
      <c r="I51" s="15" t="s">
        <v>141</v>
      </c>
      <c r="J51" s="15" t="s">
        <v>41</v>
      </c>
      <c r="K51" s="15">
        <v>3041301</v>
      </c>
      <c r="L51" s="15" t="s">
        <v>605</v>
      </c>
      <c r="M51" s="15">
        <v>3600003</v>
      </c>
    </row>
    <row r="52" spans="1:13" ht="15" x14ac:dyDescent="0.3">
      <c r="A52" s="15">
        <v>1011205</v>
      </c>
      <c r="B52" s="15">
        <v>101</v>
      </c>
      <c r="C52" s="15">
        <v>12</v>
      </c>
      <c r="D52" s="15">
        <v>5</v>
      </c>
      <c r="E52" s="14" t="s">
        <v>278</v>
      </c>
      <c r="F52" s="15">
        <v>1</v>
      </c>
      <c r="G52" s="15">
        <v>100</v>
      </c>
      <c r="H52" s="18" t="s">
        <v>424</v>
      </c>
      <c r="I52" s="15" t="s">
        <v>141</v>
      </c>
      <c r="J52" s="15" t="s">
        <v>41</v>
      </c>
      <c r="K52" s="15">
        <v>3041301</v>
      </c>
      <c r="L52" s="15" t="s">
        <v>605</v>
      </c>
      <c r="M52" s="15">
        <v>3600003</v>
      </c>
    </row>
    <row r="53" spans="1:13" ht="15" x14ac:dyDescent="0.3">
      <c r="A53" s="15">
        <v>2010101</v>
      </c>
      <c r="B53" s="15">
        <v>201</v>
      </c>
      <c r="C53" s="15">
        <v>1</v>
      </c>
      <c r="D53" s="15">
        <v>1</v>
      </c>
      <c r="E53" s="14" t="s">
        <v>250</v>
      </c>
      <c r="F53" s="15">
        <v>1</v>
      </c>
      <c r="G53" s="15">
        <v>100</v>
      </c>
      <c r="H53" s="18" t="s">
        <v>425</v>
      </c>
      <c r="I53" s="15" t="s">
        <v>143</v>
      </c>
      <c r="J53" s="15" t="s">
        <v>44</v>
      </c>
      <c r="K53" s="15">
        <v>3050001</v>
      </c>
      <c r="L53" s="15" t="s">
        <v>606</v>
      </c>
      <c r="M53" s="15">
        <v>3550001</v>
      </c>
    </row>
    <row r="54" spans="1:13" ht="15" x14ac:dyDescent="0.3">
      <c r="A54" s="15">
        <v>2010102</v>
      </c>
      <c r="B54" s="15">
        <v>201</v>
      </c>
      <c r="C54" s="15">
        <v>1</v>
      </c>
      <c r="D54" s="15">
        <v>2</v>
      </c>
      <c r="E54" s="14" t="s">
        <v>279</v>
      </c>
      <c r="F54" s="15">
        <v>1</v>
      </c>
      <c r="G54" s="15">
        <v>100</v>
      </c>
      <c r="H54" s="18" t="s">
        <v>426</v>
      </c>
      <c r="I54" s="15" t="s">
        <v>143</v>
      </c>
      <c r="J54" s="15" t="s">
        <v>43</v>
      </c>
      <c r="K54" s="15">
        <v>3050001</v>
      </c>
      <c r="L54" s="15" t="s">
        <v>605</v>
      </c>
      <c r="M54" s="15">
        <v>3550001</v>
      </c>
    </row>
    <row r="55" spans="1:13" ht="15" x14ac:dyDescent="0.3">
      <c r="A55" s="15">
        <v>2010103</v>
      </c>
      <c r="B55" s="15">
        <v>201</v>
      </c>
      <c r="C55" s="15">
        <v>1</v>
      </c>
      <c r="D55" s="15">
        <v>3</v>
      </c>
      <c r="E55" s="14" t="s">
        <v>280</v>
      </c>
      <c r="F55" s="15">
        <v>1</v>
      </c>
      <c r="G55" s="15">
        <v>100</v>
      </c>
      <c r="H55" s="18" t="s">
        <v>427</v>
      </c>
      <c r="I55" s="15" t="s">
        <v>143</v>
      </c>
      <c r="J55" s="15" t="s">
        <v>43</v>
      </c>
      <c r="K55" s="15">
        <v>3050001</v>
      </c>
      <c r="L55" s="15" t="s">
        <v>605</v>
      </c>
      <c r="M55" s="15">
        <v>3550001</v>
      </c>
    </row>
    <row r="56" spans="1:13" ht="15" x14ac:dyDescent="0.3">
      <c r="A56" s="15">
        <v>2010104</v>
      </c>
      <c r="B56" s="15">
        <v>201</v>
      </c>
      <c r="C56" s="15">
        <v>1</v>
      </c>
      <c r="D56" s="15">
        <v>4</v>
      </c>
      <c r="E56" s="14" t="s">
        <v>281</v>
      </c>
      <c r="F56" s="15">
        <v>1</v>
      </c>
      <c r="G56" s="15">
        <v>100</v>
      </c>
      <c r="H56" s="18" t="s">
        <v>428</v>
      </c>
      <c r="I56" s="15" t="s">
        <v>143</v>
      </c>
      <c r="J56" s="15" t="s">
        <v>43</v>
      </c>
      <c r="K56" s="15">
        <v>3050001</v>
      </c>
      <c r="L56" s="15" t="s">
        <v>605</v>
      </c>
      <c r="M56" s="15">
        <v>3550001</v>
      </c>
    </row>
    <row r="57" spans="1:13" ht="15" x14ac:dyDescent="0.3">
      <c r="A57" s="15">
        <v>2010105</v>
      </c>
      <c r="B57" s="15">
        <v>201</v>
      </c>
      <c r="C57" s="15">
        <v>1</v>
      </c>
      <c r="D57" s="15">
        <v>5</v>
      </c>
      <c r="E57" s="14" t="s">
        <v>282</v>
      </c>
      <c r="F57" s="15">
        <v>1</v>
      </c>
      <c r="G57" s="15">
        <v>100</v>
      </c>
      <c r="H57" s="18" t="s">
        <v>429</v>
      </c>
      <c r="I57" s="15" t="s">
        <v>143</v>
      </c>
      <c r="J57" s="15" t="s">
        <v>43</v>
      </c>
      <c r="K57" s="15">
        <v>3050001</v>
      </c>
      <c r="L57" s="15" t="s">
        <v>605</v>
      </c>
      <c r="M57" s="15">
        <v>3550001</v>
      </c>
    </row>
    <row r="58" spans="1:13" ht="15" x14ac:dyDescent="0.3">
      <c r="A58" s="15">
        <v>2010301</v>
      </c>
      <c r="B58" s="15">
        <v>201</v>
      </c>
      <c r="C58" s="15">
        <v>3</v>
      </c>
      <c r="D58" s="15">
        <v>1</v>
      </c>
      <c r="E58" s="14" t="s">
        <v>251</v>
      </c>
      <c r="F58" s="15">
        <v>1</v>
      </c>
      <c r="G58" s="15">
        <v>100</v>
      </c>
      <c r="H58" s="18" t="s">
        <v>430</v>
      </c>
      <c r="I58" s="15" t="s">
        <v>144</v>
      </c>
      <c r="J58" s="15" t="s">
        <v>46</v>
      </c>
      <c r="K58" s="15">
        <v>3050102</v>
      </c>
      <c r="L58" s="15" t="s">
        <v>606</v>
      </c>
      <c r="M58" s="15">
        <v>3550001</v>
      </c>
    </row>
    <row r="59" spans="1:13" ht="15" x14ac:dyDescent="0.3">
      <c r="A59" s="15">
        <v>2010302</v>
      </c>
      <c r="B59" s="15">
        <v>201</v>
      </c>
      <c r="C59" s="15">
        <v>3</v>
      </c>
      <c r="D59" s="15">
        <v>2</v>
      </c>
      <c r="E59" s="14" t="s">
        <v>283</v>
      </c>
      <c r="F59" s="15">
        <v>1</v>
      </c>
      <c r="G59" s="15">
        <v>100</v>
      </c>
      <c r="H59" s="18" t="s">
        <v>431</v>
      </c>
      <c r="I59" s="15" t="s">
        <v>144</v>
      </c>
      <c r="J59" s="15" t="s">
        <v>45</v>
      </c>
      <c r="K59" s="15">
        <v>3050102</v>
      </c>
      <c r="L59" s="15" t="s">
        <v>605</v>
      </c>
      <c r="M59" s="15">
        <v>3550001</v>
      </c>
    </row>
    <row r="60" spans="1:13" ht="15" x14ac:dyDescent="0.3">
      <c r="A60" s="15">
        <v>2010303</v>
      </c>
      <c r="B60" s="15">
        <v>201</v>
      </c>
      <c r="C60" s="15">
        <v>3</v>
      </c>
      <c r="D60" s="15">
        <v>3</v>
      </c>
      <c r="E60" s="14" t="s">
        <v>284</v>
      </c>
      <c r="F60" s="15">
        <v>1</v>
      </c>
      <c r="G60" s="15">
        <v>100</v>
      </c>
      <c r="H60" s="18" t="s">
        <v>432</v>
      </c>
      <c r="I60" s="15" t="s">
        <v>144</v>
      </c>
      <c r="J60" s="15" t="s">
        <v>45</v>
      </c>
      <c r="K60" s="15">
        <v>3050102</v>
      </c>
      <c r="L60" s="15" t="s">
        <v>605</v>
      </c>
      <c r="M60" s="15">
        <v>3550001</v>
      </c>
    </row>
    <row r="61" spans="1:13" ht="15" x14ac:dyDescent="0.3">
      <c r="A61" s="15">
        <v>2010304</v>
      </c>
      <c r="B61" s="15">
        <v>201</v>
      </c>
      <c r="C61" s="15">
        <v>3</v>
      </c>
      <c r="D61" s="15">
        <v>4</v>
      </c>
      <c r="E61" s="14" t="s">
        <v>285</v>
      </c>
      <c r="F61" s="15">
        <v>1</v>
      </c>
      <c r="G61" s="15">
        <v>100</v>
      </c>
      <c r="H61" s="18" t="s">
        <v>433</v>
      </c>
      <c r="I61" s="15" t="s">
        <v>144</v>
      </c>
      <c r="J61" s="15" t="s">
        <v>45</v>
      </c>
      <c r="K61" s="15">
        <v>3050102</v>
      </c>
      <c r="L61" s="15" t="s">
        <v>605</v>
      </c>
      <c r="M61" s="15">
        <v>3550001</v>
      </c>
    </row>
    <row r="62" spans="1:13" ht="15" x14ac:dyDescent="0.3">
      <c r="A62" s="15">
        <v>2010305</v>
      </c>
      <c r="B62" s="15">
        <v>201</v>
      </c>
      <c r="C62" s="15">
        <v>3</v>
      </c>
      <c r="D62" s="15">
        <v>5</v>
      </c>
      <c r="E62" s="14" t="s">
        <v>286</v>
      </c>
      <c r="F62" s="15">
        <v>1</v>
      </c>
      <c r="G62" s="15">
        <v>100</v>
      </c>
      <c r="H62" s="18" t="s">
        <v>434</v>
      </c>
      <c r="I62" s="15" t="s">
        <v>144</v>
      </c>
      <c r="J62" s="15" t="s">
        <v>45</v>
      </c>
      <c r="K62" s="15">
        <v>3050102</v>
      </c>
      <c r="L62" s="15" t="s">
        <v>605</v>
      </c>
      <c r="M62" s="15">
        <v>3550001</v>
      </c>
    </row>
    <row r="63" spans="1:13" ht="15" x14ac:dyDescent="0.3">
      <c r="A63" s="15">
        <v>2010401</v>
      </c>
      <c r="B63" s="15">
        <v>201</v>
      </c>
      <c r="C63" s="15">
        <v>4</v>
      </c>
      <c r="D63" s="15">
        <v>1</v>
      </c>
      <c r="E63" s="14" t="s">
        <v>251</v>
      </c>
      <c r="F63" s="15">
        <v>1</v>
      </c>
      <c r="G63" s="15">
        <v>100</v>
      </c>
      <c r="H63" s="18" t="s">
        <v>435</v>
      </c>
      <c r="I63" s="15" t="s">
        <v>145</v>
      </c>
      <c r="J63" s="15" t="s">
        <v>48</v>
      </c>
      <c r="K63" s="15">
        <v>3050301</v>
      </c>
      <c r="L63" s="15" t="s">
        <v>606</v>
      </c>
      <c r="M63" s="15">
        <v>3550001</v>
      </c>
    </row>
    <row r="64" spans="1:13" ht="15" x14ac:dyDescent="0.3">
      <c r="A64" s="15">
        <v>2010402</v>
      </c>
      <c r="B64" s="15">
        <v>201</v>
      </c>
      <c r="C64" s="15">
        <v>4</v>
      </c>
      <c r="D64" s="15">
        <v>2</v>
      </c>
      <c r="E64" s="14" t="s">
        <v>287</v>
      </c>
      <c r="F64" s="15">
        <v>1</v>
      </c>
      <c r="G64" s="15">
        <v>100</v>
      </c>
      <c r="H64" s="18" t="s">
        <v>436</v>
      </c>
      <c r="I64" s="15" t="s">
        <v>145</v>
      </c>
      <c r="J64" s="15" t="s">
        <v>47</v>
      </c>
      <c r="K64" s="15">
        <v>3050301</v>
      </c>
      <c r="L64" s="15" t="s">
        <v>605</v>
      </c>
      <c r="M64" s="15">
        <v>3550001</v>
      </c>
    </row>
    <row r="65" spans="1:13" ht="15" x14ac:dyDescent="0.3">
      <c r="A65" s="15">
        <v>2010403</v>
      </c>
      <c r="B65" s="15">
        <v>201</v>
      </c>
      <c r="C65" s="15">
        <v>4</v>
      </c>
      <c r="D65" s="15">
        <v>3</v>
      </c>
      <c r="E65" s="14" t="s">
        <v>288</v>
      </c>
      <c r="F65" s="15">
        <v>1</v>
      </c>
      <c r="G65" s="15">
        <v>100</v>
      </c>
      <c r="H65" s="18" t="s">
        <v>437</v>
      </c>
      <c r="I65" s="15" t="s">
        <v>145</v>
      </c>
      <c r="J65" s="15" t="s">
        <v>47</v>
      </c>
      <c r="K65" s="15">
        <v>3050301</v>
      </c>
      <c r="L65" s="15" t="s">
        <v>605</v>
      </c>
      <c r="M65" s="15">
        <v>3550001</v>
      </c>
    </row>
    <row r="66" spans="1:13" ht="15" x14ac:dyDescent="0.3">
      <c r="A66" s="15">
        <v>2010404</v>
      </c>
      <c r="B66" s="15">
        <v>201</v>
      </c>
      <c r="C66" s="15">
        <v>4</v>
      </c>
      <c r="D66" s="15">
        <v>4</v>
      </c>
      <c r="E66" s="14" t="s">
        <v>289</v>
      </c>
      <c r="F66" s="15">
        <v>1</v>
      </c>
      <c r="G66" s="15">
        <v>100</v>
      </c>
      <c r="H66" s="18" t="s">
        <v>438</v>
      </c>
      <c r="I66" s="15" t="s">
        <v>145</v>
      </c>
      <c r="J66" s="15" t="s">
        <v>47</v>
      </c>
      <c r="K66" s="15">
        <v>3050301</v>
      </c>
      <c r="L66" s="15" t="s">
        <v>605</v>
      </c>
      <c r="M66" s="15">
        <v>3550001</v>
      </c>
    </row>
    <row r="67" spans="1:13" ht="15" x14ac:dyDescent="0.3">
      <c r="A67" s="15">
        <v>2010405</v>
      </c>
      <c r="B67" s="15">
        <v>201</v>
      </c>
      <c r="C67" s="15">
        <v>4</v>
      </c>
      <c r="D67" s="15">
        <v>5</v>
      </c>
      <c r="E67" s="14" t="s">
        <v>290</v>
      </c>
      <c r="F67" s="15">
        <v>1</v>
      </c>
      <c r="G67" s="15">
        <v>100</v>
      </c>
      <c r="H67" s="18" t="s">
        <v>439</v>
      </c>
      <c r="I67" s="15" t="s">
        <v>145</v>
      </c>
      <c r="J67" s="15" t="s">
        <v>47</v>
      </c>
      <c r="K67" s="15">
        <v>3050301</v>
      </c>
      <c r="L67" s="15" t="s">
        <v>605</v>
      </c>
      <c r="M67" s="15">
        <v>3550001</v>
      </c>
    </row>
    <row r="68" spans="1:13" ht="15" x14ac:dyDescent="0.3">
      <c r="A68" s="15">
        <v>3010101</v>
      </c>
      <c r="B68" s="15">
        <v>301</v>
      </c>
      <c r="C68" s="15">
        <v>1</v>
      </c>
      <c r="D68" s="15">
        <v>1</v>
      </c>
      <c r="E68" s="14" t="s">
        <v>250</v>
      </c>
      <c r="F68" s="15">
        <v>1</v>
      </c>
      <c r="G68" s="15">
        <v>100</v>
      </c>
      <c r="H68" s="18" t="s">
        <v>440</v>
      </c>
      <c r="I68" s="15" t="s">
        <v>147</v>
      </c>
      <c r="J68" s="15" t="s">
        <v>50</v>
      </c>
      <c r="K68" s="15">
        <v>3060001</v>
      </c>
      <c r="L68" s="15" t="s">
        <v>606</v>
      </c>
      <c r="M68" s="15">
        <v>3560001</v>
      </c>
    </row>
    <row r="69" spans="1:13" ht="15" x14ac:dyDescent="0.3">
      <c r="A69" s="15">
        <v>3010102</v>
      </c>
      <c r="B69" s="15">
        <v>301</v>
      </c>
      <c r="C69" s="15">
        <v>1</v>
      </c>
      <c r="D69" s="15">
        <v>2</v>
      </c>
      <c r="E69" s="14" t="s">
        <v>291</v>
      </c>
      <c r="F69" s="15">
        <v>1</v>
      </c>
      <c r="G69" s="15">
        <v>100</v>
      </c>
      <c r="H69" s="18" t="s">
        <v>441</v>
      </c>
      <c r="I69" s="15" t="s">
        <v>147</v>
      </c>
      <c r="J69" s="15" t="s">
        <v>49</v>
      </c>
      <c r="K69" s="15">
        <v>3060001</v>
      </c>
      <c r="L69" s="15" t="s">
        <v>605</v>
      </c>
      <c r="M69" s="15">
        <v>3560001</v>
      </c>
    </row>
    <row r="70" spans="1:13" ht="15" x14ac:dyDescent="0.3">
      <c r="A70" s="15">
        <v>3010103</v>
      </c>
      <c r="B70" s="15">
        <v>301</v>
      </c>
      <c r="C70" s="15">
        <v>1</v>
      </c>
      <c r="D70" s="15">
        <v>3</v>
      </c>
      <c r="E70" s="14" t="s">
        <v>292</v>
      </c>
      <c r="F70" s="15">
        <v>1</v>
      </c>
      <c r="G70" s="15">
        <v>100</v>
      </c>
      <c r="H70" s="18" t="s">
        <v>442</v>
      </c>
      <c r="I70" s="15" t="s">
        <v>147</v>
      </c>
      <c r="J70" s="15" t="s">
        <v>49</v>
      </c>
      <c r="K70" s="15">
        <v>3060001</v>
      </c>
      <c r="L70" s="15" t="s">
        <v>605</v>
      </c>
      <c r="M70" s="15">
        <v>3560001</v>
      </c>
    </row>
    <row r="71" spans="1:13" ht="15" x14ac:dyDescent="0.3">
      <c r="A71" s="15">
        <v>3010104</v>
      </c>
      <c r="B71" s="15">
        <v>301</v>
      </c>
      <c r="C71" s="15">
        <v>1</v>
      </c>
      <c r="D71" s="15">
        <v>4</v>
      </c>
      <c r="E71" s="14" t="s">
        <v>293</v>
      </c>
      <c r="F71" s="15">
        <v>1</v>
      </c>
      <c r="G71" s="15">
        <v>100</v>
      </c>
      <c r="H71" s="18" t="s">
        <v>443</v>
      </c>
      <c r="I71" s="15" t="s">
        <v>147</v>
      </c>
      <c r="J71" s="15" t="s">
        <v>49</v>
      </c>
      <c r="K71" s="15">
        <v>3060001</v>
      </c>
      <c r="L71" s="15" t="s">
        <v>605</v>
      </c>
      <c r="M71" s="15">
        <v>3560001</v>
      </c>
    </row>
    <row r="72" spans="1:13" ht="15" x14ac:dyDescent="0.3">
      <c r="A72" s="15">
        <v>3010105</v>
      </c>
      <c r="B72" s="15">
        <v>301</v>
      </c>
      <c r="C72" s="15">
        <v>1</v>
      </c>
      <c r="D72" s="15">
        <v>5</v>
      </c>
      <c r="E72" s="14" t="s">
        <v>294</v>
      </c>
      <c r="F72" s="15">
        <v>1</v>
      </c>
      <c r="G72" s="15">
        <v>100</v>
      </c>
      <c r="H72" s="18" t="s">
        <v>444</v>
      </c>
      <c r="I72" s="15" t="s">
        <v>147</v>
      </c>
      <c r="J72" s="15" t="s">
        <v>49</v>
      </c>
      <c r="K72" s="15">
        <v>3060001</v>
      </c>
      <c r="L72" s="15" t="s">
        <v>605</v>
      </c>
      <c r="M72" s="15">
        <v>3560001</v>
      </c>
    </row>
    <row r="73" spans="1:13" ht="15" x14ac:dyDescent="0.3">
      <c r="A73" s="15">
        <v>3010301</v>
      </c>
      <c r="B73" s="15">
        <v>301</v>
      </c>
      <c r="C73" s="15">
        <v>3</v>
      </c>
      <c r="D73" s="15">
        <v>1</v>
      </c>
      <c r="E73" s="14" t="s">
        <v>252</v>
      </c>
      <c r="F73" s="15">
        <v>1</v>
      </c>
      <c r="G73" s="15">
        <v>100</v>
      </c>
      <c r="H73" s="18" t="s">
        <v>445</v>
      </c>
      <c r="I73" s="15" t="s">
        <v>81</v>
      </c>
      <c r="J73" s="15" t="s">
        <v>51</v>
      </c>
      <c r="K73" s="15">
        <v>3060102</v>
      </c>
      <c r="L73" s="15" t="s">
        <v>605</v>
      </c>
      <c r="M73" s="15">
        <v>3560001</v>
      </c>
    </row>
    <row r="74" spans="1:13" ht="15" x14ac:dyDescent="0.3">
      <c r="A74" s="15">
        <v>3010302</v>
      </c>
      <c r="B74" s="15">
        <v>301</v>
      </c>
      <c r="C74" s="15">
        <v>3</v>
      </c>
      <c r="D74" s="15">
        <v>2</v>
      </c>
      <c r="E74" s="14" t="s">
        <v>295</v>
      </c>
      <c r="F74" s="15">
        <v>1</v>
      </c>
      <c r="G74" s="15">
        <v>100</v>
      </c>
      <c r="H74" s="18" t="s">
        <v>446</v>
      </c>
      <c r="I74" s="15" t="s">
        <v>81</v>
      </c>
      <c r="J74" s="15" t="s">
        <v>51</v>
      </c>
      <c r="K74" s="15">
        <v>3060102</v>
      </c>
      <c r="L74" s="15" t="s">
        <v>605</v>
      </c>
      <c r="M74" s="15">
        <v>3560001</v>
      </c>
    </row>
    <row r="75" spans="1:13" ht="15" x14ac:dyDescent="0.3">
      <c r="A75" s="15">
        <v>3010303</v>
      </c>
      <c r="B75" s="15">
        <v>301</v>
      </c>
      <c r="C75" s="15">
        <v>3</v>
      </c>
      <c r="D75" s="15">
        <v>3</v>
      </c>
      <c r="E75" s="14" t="s">
        <v>296</v>
      </c>
      <c r="F75" s="15">
        <v>1</v>
      </c>
      <c r="G75" s="15">
        <v>100</v>
      </c>
      <c r="H75" s="18" t="s">
        <v>447</v>
      </c>
      <c r="I75" s="15" t="s">
        <v>81</v>
      </c>
      <c r="J75" s="15" t="s">
        <v>51</v>
      </c>
      <c r="K75" s="15">
        <v>3060102</v>
      </c>
      <c r="L75" s="15" t="s">
        <v>605</v>
      </c>
      <c r="M75" s="15">
        <v>3560001</v>
      </c>
    </row>
    <row r="76" spans="1:13" ht="15" x14ac:dyDescent="0.3">
      <c r="A76" s="15">
        <v>3010304</v>
      </c>
      <c r="B76" s="15">
        <v>301</v>
      </c>
      <c r="C76" s="15">
        <v>3</v>
      </c>
      <c r="D76" s="15">
        <v>4</v>
      </c>
      <c r="E76" s="14" t="s">
        <v>297</v>
      </c>
      <c r="F76" s="15">
        <v>1</v>
      </c>
      <c r="G76" s="15">
        <v>100</v>
      </c>
      <c r="H76" s="18" t="s">
        <v>448</v>
      </c>
      <c r="I76" s="15" t="s">
        <v>81</v>
      </c>
      <c r="J76" s="15" t="s">
        <v>51</v>
      </c>
      <c r="K76" s="15">
        <v>3060102</v>
      </c>
      <c r="L76" s="15" t="s">
        <v>605</v>
      </c>
      <c r="M76" s="15">
        <v>3560001</v>
      </c>
    </row>
    <row r="77" spans="1:13" ht="15" x14ac:dyDescent="0.3">
      <c r="A77" s="15">
        <v>3010305</v>
      </c>
      <c r="B77" s="15">
        <v>301</v>
      </c>
      <c r="C77" s="15">
        <v>3</v>
      </c>
      <c r="D77" s="15">
        <v>5</v>
      </c>
      <c r="E77" s="14" t="s">
        <v>298</v>
      </c>
      <c r="F77" s="15">
        <v>1</v>
      </c>
      <c r="G77" s="15">
        <v>100</v>
      </c>
      <c r="H77" s="18" t="s">
        <v>449</v>
      </c>
      <c r="I77" s="15" t="s">
        <v>81</v>
      </c>
      <c r="J77" s="15" t="s">
        <v>51</v>
      </c>
      <c r="K77" s="15">
        <v>3060102</v>
      </c>
      <c r="L77" s="15" t="s">
        <v>605</v>
      </c>
      <c r="M77" s="15">
        <v>3560001</v>
      </c>
    </row>
    <row r="78" spans="1:13" ht="15" x14ac:dyDescent="0.3">
      <c r="A78" s="15">
        <v>3010401</v>
      </c>
      <c r="B78" s="15">
        <v>301</v>
      </c>
      <c r="C78" s="15">
        <v>4</v>
      </c>
      <c r="D78" s="15">
        <v>1</v>
      </c>
      <c r="E78" s="14" t="s">
        <v>252</v>
      </c>
      <c r="F78" s="15">
        <v>1</v>
      </c>
      <c r="G78" s="15">
        <v>100</v>
      </c>
      <c r="H78" s="18" t="s">
        <v>450</v>
      </c>
      <c r="I78" s="15" t="s">
        <v>82</v>
      </c>
      <c r="J78" s="15" t="s">
        <v>52</v>
      </c>
      <c r="K78" s="15">
        <v>3060301</v>
      </c>
      <c r="L78" s="15" t="s">
        <v>605</v>
      </c>
      <c r="M78" s="15">
        <v>3560001</v>
      </c>
    </row>
    <row r="79" spans="1:13" ht="15" x14ac:dyDescent="0.3">
      <c r="A79" s="15">
        <v>3010402</v>
      </c>
      <c r="B79" s="15">
        <v>301</v>
      </c>
      <c r="C79" s="15">
        <v>4</v>
      </c>
      <c r="D79" s="15">
        <v>2</v>
      </c>
      <c r="E79" s="14" t="s">
        <v>299</v>
      </c>
      <c r="F79" s="15">
        <v>1</v>
      </c>
      <c r="G79" s="15">
        <v>100</v>
      </c>
      <c r="H79" s="18" t="s">
        <v>451</v>
      </c>
      <c r="I79" s="15" t="s">
        <v>82</v>
      </c>
      <c r="J79" s="15" t="s">
        <v>52</v>
      </c>
      <c r="K79" s="15">
        <v>3060301</v>
      </c>
      <c r="L79" s="15" t="s">
        <v>605</v>
      </c>
      <c r="M79" s="15">
        <v>3560001</v>
      </c>
    </row>
    <row r="80" spans="1:13" ht="15" x14ac:dyDescent="0.3">
      <c r="A80" s="15">
        <v>3010403</v>
      </c>
      <c r="B80" s="15">
        <v>301</v>
      </c>
      <c r="C80" s="15">
        <v>4</v>
      </c>
      <c r="D80" s="15">
        <v>3</v>
      </c>
      <c r="E80" s="14" t="s">
        <v>300</v>
      </c>
      <c r="F80" s="15">
        <v>1</v>
      </c>
      <c r="G80" s="15">
        <v>100</v>
      </c>
      <c r="H80" s="18" t="s">
        <v>452</v>
      </c>
      <c r="I80" s="15" t="s">
        <v>82</v>
      </c>
      <c r="J80" s="15" t="s">
        <v>52</v>
      </c>
      <c r="K80" s="15">
        <v>3060301</v>
      </c>
      <c r="L80" s="15" t="s">
        <v>605</v>
      </c>
      <c r="M80" s="15">
        <v>3560001</v>
      </c>
    </row>
    <row r="81" spans="1:13" ht="15" x14ac:dyDescent="0.3">
      <c r="A81" s="15">
        <v>3010404</v>
      </c>
      <c r="B81" s="15">
        <v>301</v>
      </c>
      <c r="C81" s="15">
        <v>4</v>
      </c>
      <c r="D81" s="15">
        <v>4</v>
      </c>
      <c r="E81" s="14" t="s">
        <v>301</v>
      </c>
      <c r="F81" s="15">
        <v>1</v>
      </c>
      <c r="G81" s="15">
        <v>100</v>
      </c>
      <c r="H81" s="18" t="s">
        <v>453</v>
      </c>
      <c r="I81" s="15" t="s">
        <v>82</v>
      </c>
      <c r="J81" s="15" t="s">
        <v>52</v>
      </c>
      <c r="K81" s="15">
        <v>3060301</v>
      </c>
      <c r="L81" s="15" t="s">
        <v>605</v>
      </c>
      <c r="M81" s="15">
        <v>3560001</v>
      </c>
    </row>
    <row r="82" spans="1:13" ht="15" x14ac:dyDescent="0.3">
      <c r="A82" s="15">
        <v>3010405</v>
      </c>
      <c r="B82" s="15">
        <v>301</v>
      </c>
      <c r="C82" s="15">
        <v>4</v>
      </c>
      <c r="D82" s="15">
        <v>5</v>
      </c>
      <c r="E82" s="14" t="s">
        <v>302</v>
      </c>
      <c r="F82" s="15">
        <v>1</v>
      </c>
      <c r="G82" s="15">
        <v>100</v>
      </c>
      <c r="H82" s="18" t="s">
        <v>454</v>
      </c>
      <c r="I82" s="15" t="s">
        <v>82</v>
      </c>
      <c r="J82" s="15" t="s">
        <v>52</v>
      </c>
      <c r="K82" s="15">
        <v>3060301</v>
      </c>
      <c r="L82" s="15" t="s">
        <v>605</v>
      </c>
      <c r="M82" s="15">
        <v>3560001</v>
      </c>
    </row>
    <row r="83" spans="1:13" ht="15" x14ac:dyDescent="0.3">
      <c r="A83" s="15">
        <v>4010101</v>
      </c>
      <c r="B83" s="15">
        <v>401</v>
      </c>
      <c r="C83" s="15">
        <v>1</v>
      </c>
      <c r="D83" s="15">
        <v>1</v>
      </c>
      <c r="E83" s="14" t="s">
        <v>250</v>
      </c>
      <c r="F83" s="15">
        <v>1</v>
      </c>
      <c r="G83" s="15">
        <v>100</v>
      </c>
      <c r="H83" s="18" t="s">
        <v>455</v>
      </c>
      <c r="I83" s="15" t="s">
        <v>148</v>
      </c>
      <c r="J83" s="15" t="s">
        <v>53</v>
      </c>
      <c r="K83" s="15">
        <v>3070001</v>
      </c>
      <c r="L83" s="15" t="s">
        <v>605</v>
      </c>
      <c r="M83" s="15">
        <v>3570001</v>
      </c>
    </row>
    <row r="84" spans="1:13" ht="15" x14ac:dyDescent="0.3">
      <c r="A84" s="15">
        <v>4010102</v>
      </c>
      <c r="B84" s="15">
        <v>401</v>
      </c>
      <c r="C84" s="15">
        <v>1</v>
      </c>
      <c r="D84" s="15">
        <v>2</v>
      </c>
      <c r="E84" s="14" t="s">
        <v>303</v>
      </c>
      <c r="F84" s="15">
        <v>1</v>
      </c>
      <c r="G84" s="15">
        <v>100</v>
      </c>
      <c r="H84" s="18" t="s">
        <v>456</v>
      </c>
      <c r="I84" s="15" t="s">
        <v>148</v>
      </c>
      <c r="J84" s="15" t="s">
        <v>53</v>
      </c>
      <c r="K84" s="15">
        <v>3070001</v>
      </c>
      <c r="L84" s="15" t="s">
        <v>605</v>
      </c>
      <c r="M84" s="15">
        <v>3570001</v>
      </c>
    </row>
    <row r="85" spans="1:13" ht="15" x14ac:dyDescent="0.3">
      <c r="A85" s="15">
        <v>4010103</v>
      </c>
      <c r="B85" s="15">
        <v>401</v>
      </c>
      <c r="C85" s="15">
        <v>1</v>
      </c>
      <c r="D85" s="15">
        <v>3</v>
      </c>
      <c r="E85" s="14" t="s">
        <v>304</v>
      </c>
      <c r="F85" s="15">
        <v>1</v>
      </c>
      <c r="G85" s="15">
        <v>100</v>
      </c>
      <c r="H85" s="18" t="s">
        <v>457</v>
      </c>
      <c r="I85" s="15" t="s">
        <v>148</v>
      </c>
      <c r="J85" s="15" t="s">
        <v>53</v>
      </c>
      <c r="K85" s="15">
        <v>3070001</v>
      </c>
      <c r="L85" s="15" t="s">
        <v>605</v>
      </c>
      <c r="M85" s="15">
        <v>3570001</v>
      </c>
    </row>
    <row r="86" spans="1:13" ht="15" x14ac:dyDescent="0.3">
      <c r="A86" s="15">
        <v>4010104</v>
      </c>
      <c r="B86" s="15">
        <v>401</v>
      </c>
      <c r="C86" s="15">
        <v>1</v>
      </c>
      <c r="D86" s="15">
        <v>4</v>
      </c>
      <c r="E86" s="14" t="s">
        <v>305</v>
      </c>
      <c r="F86" s="15">
        <v>1</v>
      </c>
      <c r="G86" s="15">
        <v>100</v>
      </c>
      <c r="H86" s="18" t="s">
        <v>458</v>
      </c>
      <c r="I86" s="15" t="s">
        <v>148</v>
      </c>
      <c r="J86" s="15" t="s">
        <v>53</v>
      </c>
      <c r="K86" s="15">
        <v>3070001</v>
      </c>
      <c r="L86" s="15" t="s">
        <v>605</v>
      </c>
      <c r="M86" s="15">
        <v>3570001</v>
      </c>
    </row>
    <row r="87" spans="1:13" ht="15" x14ac:dyDescent="0.3">
      <c r="A87" s="15">
        <v>4010105</v>
      </c>
      <c r="B87" s="15">
        <v>401</v>
      </c>
      <c r="C87" s="15">
        <v>1</v>
      </c>
      <c r="D87" s="15">
        <v>5</v>
      </c>
      <c r="E87" s="14" t="s">
        <v>306</v>
      </c>
      <c r="F87" s="15">
        <v>1</v>
      </c>
      <c r="G87" s="15">
        <v>100</v>
      </c>
      <c r="H87" s="18" t="s">
        <v>459</v>
      </c>
      <c r="I87" s="15" t="s">
        <v>148</v>
      </c>
      <c r="J87" s="15" t="s">
        <v>53</v>
      </c>
      <c r="K87" s="15">
        <v>3070001</v>
      </c>
      <c r="L87" s="15" t="s">
        <v>605</v>
      </c>
      <c r="M87" s="15">
        <v>3570001</v>
      </c>
    </row>
    <row r="88" spans="1:13" ht="15" x14ac:dyDescent="0.3">
      <c r="A88" s="15">
        <v>4010301</v>
      </c>
      <c r="B88" s="15">
        <v>401</v>
      </c>
      <c r="C88" s="15">
        <v>3</v>
      </c>
      <c r="D88" s="15">
        <v>1</v>
      </c>
      <c r="E88" s="14" t="s">
        <v>253</v>
      </c>
      <c r="F88" s="15">
        <v>1</v>
      </c>
      <c r="G88" s="15">
        <v>100</v>
      </c>
      <c r="H88" s="18" t="s">
        <v>460</v>
      </c>
      <c r="I88" s="15" t="s">
        <v>87</v>
      </c>
      <c r="J88" s="15" t="s">
        <v>54</v>
      </c>
      <c r="K88" s="15">
        <v>3070102</v>
      </c>
      <c r="L88" s="15" t="s">
        <v>605</v>
      </c>
      <c r="M88" s="15">
        <v>3570001</v>
      </c>
    </row>
    <row r="89" spans="1:13" ht="15" x14ac:dyDescent="0.3">
      <c r="A89" s="15">
        <v>4010302</v>
      </c>
      <c r="B89" s="15">
        <v>401</v>
      </c>
      <c r="C89" s="15">
        <v>3</v>
      </c>
      <c r="D89" s="15">
        <v>2</v>
      </c>
      <c r="E89" s="14" t="s">
        <v>307</v>
      </c>
      <c r="F89" s="15">
        <v>1</v>
      </c>
      <c r="G89" s="15">
        <v>100</v>
      </c>
      <c r="H89" s="18" t="s">
        <v>461</v>
      </c>
      <c r="I89" s="15" t="s">
        <v>87</v>
      </c>
      <c r="J89" s="15" t="s">
        <v>54</v>
      </c>
      <c r="K89" s="15">
        <v>3070102</v>
      </c>
      <c r="L89" s="15" t="s">
        <v>605</v>
      </c>
      <c r="M89" s="15">
        <v>3570001</v>
      </c>
    </row>
    <row r="90" spans="1:13" ht="15" x14ac:dyDescent="0.3">
      <c r="A90" s="15">
        <v>4010303</v>
      </c>
      <c r="B90" s="15">
        <v>401</v>
      </c>
      <c r="C90" s="15">
        <v>3</v>
      </c>
      <c r="D90" s="15">
        <v>3</v>
      </c>
      <c r="E90" s="14" t="s">
        <v>308</v>
      </c>
      <c r="F90" s="15">
        <v>1</v>
      </c>
      <c r="G90" s="15">
        <v>100</v>
      </c>
      <c r="H90" s="18" t="s">
        <v>462</v>
      </c>
      <c r="I90" s="15" t="s">
        <v>87</v>
      </c>
      <c r="J90" s="15" t="s">
        <v>54</v>
      </c>
      <c r="K90" s="15">
        <v>3070102</v>
      </c>
      <c r="L90" s="15" t="s">
        <v>605</v>
      </c>
      <c r="M90" s="15">
        <v>3570001</v>
      </c>
    </row>
    <row r="91" spans="1:13" ht="15" x14ac:dyDescent="0.3">
      <c r="A91" s="15">
        <v>4010304</v>
      </c>
      <c r="B91" s="15">
        <v>401</v>
      </c>
      <c r="C91" s="15">
        <v>3</v>
      </c>
      <c r="D91" s="15">
        <v>4</v>
      </c>
      <c r="E91" s="14" t="s">
        <v>309</v>
      </c>
      <c r="F91" s="15">
        <v>1</v>
      </c>
      <c r="G91" s="15">
        <v>100</v>
      </c>
      <c r="H91" s="18" t="s">
        <v>463</v>
      </c>
      <c r="I91" s="15" t="s">
        <v>87</v>
      </c>
      <c r="J91" s="15" t="s">
        <v>54</v>
      </c>
      <c r="K91" s="15">
        <v>3070102</v>
      </c>
      <c r="L91" s="15" t="s">
        <v>605</v>
      </c>
      <c r="M91" s="15">
        <v>3570001</v>
      </c>
    </row>
    <row r="92" spans="1:13" ht="15" x14ac:dyDescent="0.3">
      <c r="A92" s="15">
        <v>4010305</v>
      </c>
      <c r="B92" s="15">
        <v>401</v>
      </c>
      <c r="C92" s="15">
        <v>3</v>
      </c>
      <c r="D92" s="15">
        <v>5</v>
      </c>
      <c r="E92" s="14" t="s">
        <v>310</v>
      </c>
      <c r="F92" s="15">
        <v>1</v>
      </c>
      <c r="G92" s="15">
        <v>100</v>
      </c>
      <c r="H92" s="18" t="s">
        <v>464</v>
      </c>
      <c r="I92" s="15" t="s">
        <v>87</v>
      </c>
      <c r="J92" s="15" t="s">
        <v>54</v>
      </c>
      <c r="K92" s="15">
        <v>3070102</v>
      </c>
      <c r="L92" s="15" t="s">
        <v>605</v>
      </c>
      <c r="M92" s="15">
        <v>3570001</v>
      </c>
    </row>
    <row r="93" spans="1:13" ht="15" x14ac:dyDescent="0.3">
      <c r="A93" s="15">
        <v>4010401</v>
      </c>
      <c r="B93" s="15">
        <v>401</v>
      </c>
      <c r="C93" s="15">
        <v>4</v>
      </c>
      <c r="D93" s="15">
        <v>1</v>
      </c>
      <c r="E93" s="14" t="s">
        <v>253</v>
      </c>
      <c r="F93" s="15">
        <v>1</v>
      </c>
      <c r="G93" s="15">
        <v>100</v>
      </c>
      <c r="H93" s="18" t="s">
        <v>465</v>
      </c>
      <c r="I93" s="15" t="s">
        <v>88</v>
      </c>
      <c r="J93" s="15" t="s">
        <v>55</v>
      </c>
      <c r="K93" s="15">
        <v>3070301</v>
      </c>
      <c r="L93" s="15" t="s">
        <v>605</v>
      </c>
      <c r="M93" s="15">
        <v>3570001</v>
      </c>
    </row>
    <row r="94" spans="1:13" ht="15" x14ac:dyDescent="0.3">
      <c r="A94" s="15">
        <v>4010402</v>
      </c>
      <c r="B94" s="15">
        <v>401</v>
      </c>
      <c r="C94" s="15">
        <v>4</v>
      </c>
      <c r="D94" s="15">
        <v>2</v>
      </c>
      <c r="E94" s="14" t="s">
        <v>311</v>
      </c>
      <c r="F94" s="15">
        <v>1</v>
      </c>
      <c r="G94" s="15">
        <v>100</v>
      </c>
      <c r="H94" s="18" t="s">
        <v>466</v>
      </c>
      <c r="I94" s="15" t="s">
        <v>88</v>
      </c>
      <c r="J94" s="15" t="s">
        <v>55</v>
      </c>
      <c r="K94" s="15">
        <v>3070301</v>
      </c>
      <c r="L94" s="15" t="s">
        <v>605</v>
      </c>
      <c r="M94" s="15">
        <v>3570001</v>
      </c>
    </row>
    <row r="95" spans="1:13" ht="15" x14ac:dyDescent="0.3">
      <c r="A95" s="15">
        <v>4010403</v>
      </c>
      <c r="B95" s="15">
        <v>401</v>
      </c>
      <c r="C95" s="15">
        <v>4</v>
      </c>
      <c r="D95" s="15">
        <v>3</v>
      </c>
      <c r="E95" s="14" t="s">
        <v>312</v>
      </c>
      <c r="F95" s="15">
        <v>1</v>
      </c>
      <c r="G95" s="15">
        <v>100</v>
      </c>
      <c r="H95" s="18" t="s">
        <v>467</v>
      </c>
      <c r="I95" s="15" t="s">
        <v>88</v>
      </c>
      <c r="J95" s="15" t="s">
        <v>55</v>
      </c>
      <c r="K95" s="15">
        <v>3070301</v>
      </c>
      <c r="L95" s="15" t="s">
        <v>605</v>
      </c>
      <c r="M95" s="15">
        <v>3570001</v>
      </c>
    </row>
    <row r="96" spans="1:13" ht="15" x14ac:dyDescent="0.3">
      <c r="A96" s="15">
        <v>4010404</v>
      </c>
      <c r="B96" s="15">
        <v>401</v>
      </c>
      <c r="C96" s="15">
        <v>4</v>
      </c>
      <c r="D96" s="15">
        <v>4</v>
      </c>
      <c r="E96" s="14" t="s">
        <v>313</v>
      </c>
      <c r="F96" s="15">
        <v>1</v>
      </c>
      <c r="G96" s="15">
        <v>100</v>
      </c>
      <c r="H96" s="18" t="s">
        <v>468</v>
      </c>
      <c r="I96" s="15" t="s">
        <v>88</v>
      </c>
      <c r="J96" s="15" t="s">
        <v>55</v>
      </c>
      <c r="K96" s="15">
        <v>3070301</v>
      </c>
      <c r="L96" s="15" t="s">
        <v>605</v>
      </c>
      <c r="M96" s="15">
        <v>3570001</v>
      </c>
    </row>
    <row r="97" spans="1:13" ht="15" x14ac:dyDescent="0.3">
      <c r="A97" s="15">
        <v>4010405</v>
      </c>
      <c r="B97" s="15">
        <v>401</v>
      </c>
      <c r="C97" s="15">
        <v>4</v>
      </c>
      <c r="D97" s="15">
        <v>5</v>
      </c>
      <c r="E97" s="14" t="s">
        <v>314</v>
      </c>
      <c r="F97" s="15">
        <v>1</v>
      </c>
      <c r="G97" s="15">
        <v>100</v>
      </c>
      <c r="H97" s="18" t="s">
        <v>469</v>
      </c>
      <c r="I97" s="15" t="s">
        <v>88</v>
      </c>
      <c r="J97" s="15" t="s">
        <v>55</v>
      </c>
      <c r="K97" s="15">
        <v>3070301</v>
      </c>
      <c r="L97" s="15" t="s">
        <v>605</v>
      </c>
      <c r="M97" s="15">
        <v>3570001</v>
      </c>
    </row>
    <row r="98" spans="1:13" ht="15" x14ac:dyDescent="0.3">
      <c r="A98" s="15">
        <v>5010101</v>
      </c>
      <c r="B98" s="15">
        <v>501</v>
      </c>
      <c r="C98" s="15">
        <v>1</v>
      </c>
      <c r="D98" s="15">
        <v>1</v>
      </c>
      <c r="E98" s="14" t="s">
        <v>250</v>
      </c>
      <c r="F98" s="15">
        <v>1</v>
      </c>
      <c r="G98" s="15">
        <v>100</v>
      </c>
      <c r="H98" s="18" t="s">
        <v>470</v>
      </c>
      <c r="I98" s="15" t="s">
        <v>149</v>
      </c>
      <c r="J98" s="15" t="s">
        <v>56</v>
      </c>
      <c r="K98" s="15">
        <v>3080001</v>
      </c>
      <c r="L98" s="15" t="s">
        <v>605</v>
      </c>
      <c r="M98" s="15">
        <v>3580001</v>
      </c>
    </row>
    <row r="99" spans="1:13" ht="15" x14ac:dyDescent="0.3">
      <c r="A99" s="15">
        <v>5010102</v>
      </c>
      <c r="B99" s="15">
        <v>501</v>
      </c>
      <c r="C99" s="15">
        <v>1</v>
      </c>
      <c r="D99" s="15">
        <v>2</v>
      </c>
      <c r="E99" s="14" t="s">
        <v>315</v>
      </c>
      <c r="F99" s="15">
        <v>1</v>
      </c>
      <c r="G99" s="15">
        <v>100</v>
      </c>
      <c r="H99" s="18" t="s">
        <v>471</v>
      </c>
      <c r="I99" s="15" t="s">
        <v>149</v>
      </c>
      <c r="J99" s="15" t="s">
        <v>56</v>
      </c>
      <c r="K99" s="15">
        <v>3080001</v>
      </c>
      <c r="L99" s="15" t="s">
        <v>605</v>
      </c>
      <c r="M99" s="15">
        <v>3580001</v>
      </c>
    </row>
    <row r="100" spans="1:13" ht="15" x14ac:dyDescent="0.3">
      <c r="A100" s="15">
        <v>5010103</v>
      </c>
      <c r="B100" s="15">
        <v>501</v>
      </c>
      <c r="C100" s="15">
        <v>1</v>
      </c>
      <c r="D100" s="15">
        <v>3</v>
      </c>
      <c r="E100" s="14" t="s">
        <v>316</v>
      </c>
      <c r="F100" s="15">
        <v>1</v>
      </c>
      <c r="G100" s="15">
        <v>100</v>
      </c>
      <c r="H100" s="18" t="s">
        <v>472</v>
      </c>
      <c r="I100" s="15" t="s">
        <v>149</v>
      </c>
      <c r="J100" s="15" t="s">
        <v>56</v>
      </c>
      <c r="K100" s="15">
        <v>3080001</v>
      </c>
      <c r="L100" s="15" t="s">
        <v>605</v>
      </c>
      <c r="M100" s="15">
        <v>3580001</v>
      </c>
    </row>
    <row r="101" spans="1:13" ht="15" x14ac:dyDescent="0.3">
      <c r="A101" s="15">
        <v>5010104</v>
      </c>
      <c r="B101" s="15">
        <v>501</v>
      </c>
      <c r="C101" s="15">
        <v>1</v>
      </c>
      <c r="D101" s="15">
        <v>4</v>
      </c>
      <c r="E101" s="14" t="s">
        <v>317</v>
      </c>
      <c r="F101" s="15">
        <v>1</v>
      </c>
      <c r="G101" s="15">
        <v>100</v>
      </c>
      <c r="H101" s="18" t="s">
        <v>473</v>
      </c>
      <c r="I101" s="15" t="s">
        <v>149</v>
      </c>
      <c r="J101" s="15" t="s">
        <v>56</v>
      </c>
      <c r="K101" s="15">
        <v>3080001</v>
      </c>
      <c r="L101" s="15" t="s">
        <v>605</v>
      </c>
      <c r="M101" s="15">
        <v>3580001</v>
      </c>
    </row>
    <row r="102" spans="1:13" ht="15" x14ac:dyDescent="0.3">
      <c r="A102" s="15">
        <v>5010105</v>
      </c>
      <c r="B102" s="15">
        <v>501</v>
      </c>
      <c r="C102" s="15">
        <v>1</v>
      </c>
      <c r="D102" s="15">
        <v>5</v>
      </c>
      <c r="E102" s="14" t="s">
        <v>318</v>
      </c>
      <c r="F102" s="15">
        <v>1</v>
      </c>
      <c r="G102" s="15">
        <v>100</v>
      </c>
      <c r="H102" s="18" t="s">
        <v>474</v>
      </c>
      <c r="I102" s="15" t="s">
        <v>149</v>
      </c>
      <c r="J102" s="15" t="s">
        <v>56</v>
      </c>
      <c r="K102" s="15">
        <v>3080001</v>
      </c>
      <c r="L102" s="15" t="s">
        <v>605</v>
      </c>
      <c r="M102" s="15">
        <v>3580001</v>
      </c>
    </row>
    <row r="103" spans="1:13" ht="15" x14ac:dyDescent="0.3">
      <c r="A103" s="15">
        <v>5010301</v>
      </c>
      <c r="B103" s="15">
        <v>501</v>
      </c>
      <c r="C103" s="15">
        <v>3</v>
      </c>
      <c r="D103" s="15">
        <v>1</v>
      </c>
      <c r="E103" s="14" t="s">
        <v>254</v>
      </c>
      <c r="F103" s="15">
        <v>1</v>
      </c>
      <c r="G103" s="15">
        <v>100</v>
      </c>
      <c r="H103" s="18" t="s">
        <v>475</v>
      </c>
      <c r="I103" s="15" t="s">
        <v>93</v>
      </c>
      <c r="J103" s="15" t="s">
        <v>57</v>
      </c>
      <c r="K103" s="15">
        <v>3080102</v>
      </c>
      <c r="L103" s="15" t="s">
        <v>605</v>
      </c>
      <c r="M103" s="15">
        <v>3580001</v>
      </c>
    </row>
    <row r="104" spans="1:13" ht="15" x14ac:dyDescent="0.3">
      <c r="A104" s="15">
        <v>5010302</v>
      </c>
      <c r="B104" s="15">
        <v>501</v>
      </c>
      <c r="C104" s="15">
        <v>3</v>
      </c>
      <c r="D104" s="15">
        <v>2</v>
      </c>
      <c r="E104" s="14" t="s">
        <v>319</v>
      </c>
      <c r="F104" s="15">
        <v>1</v>
      </c>
      <c r="G104" s="15">
        <v>100</v>
      </c>
      <c r="H104" s="18" t="s">
        <v>476</v>
      </c>
      <c r="I104" s="15" t="s">
        <v>93</v>
      </c>
      <c r="J104" s="15" t="s">
        <v>57</v>
      </c>
      <c r="K104" s="15">
        <v>3080102</v>
      </c>
      <c r="L104" s="15" t="s">
        <v>605</v>
      </c>
      <c r="M104" s="15">
        <v>3580001</v>
      </c>
    </row>
    <row r="105" spans="1:13" ht="15" x14ac:dyDescent="0.3">
      <c r="A105" s="15">
        <v>5010303</v>
      </c>
      <c r="B105" s="15">
        <v>501</v>
      </c>
      <c r="C105" s="15">
        <v>3</v>
      </c>
      <c r="D105" s="15">
        <v>3</v>
      </c>
      <c r="E105" s="14" t="s">
        <v>320</v>
      </c>
      <c r="F105" s="15">
        <v>1</v>
      </c>
      <c r="G105" s="15">
        <v>100</v>
      </c>
      <c r="H105" s="18" t="s">
        <v>477</v>
      </c>
      <c r="I105" s="15" t="s">
        <v>93</v>
      </c>
      <c r="J105" s="15" t="s">
        <v>57</v>
      </c>
      <c r="K105" s="15">
        <v>3080102</v>
      </c>
      <c r="L105" s="15" t="s">
        <v>605</v>
      </c>
      <c r="M105" s="15">
        <v>3580001</v>
      </c>
    </row>
    <row r="106" spans="1:13" ht="15" x14ac:dyDescent="0.3">
      <c r="A106" s="15">
        <v>5010304</v>
      </c>
      <c r="B106" s="15">
        <v>501</v>
      </c>
      <c r="C106" s="15">
        <v>3</v>
      </c>
      <c r="D106" s="15">
        <v>4</v>
      </c>
      <c r="E106" s="14" t="s">
        <v>321</v>
      </c>
      <c r="F106" s="15">
        <v>1</v>
      </c>
      <c r="G106" s="15">
        <v>100</v>
      </c>
      <c r="H106" s="18" t="s">
        <v>478</v>
      </c>
      <c r="I106" s="15" t="s">
        <v>93</v>
      </c>
      <c r="J106" s="15" t="s">
        <v>57</v>
      </c>
      <c r="K106" s="15">
        <v>3080102</v>
      </c>
      <c r="L106" s="15" t="s">
        <v>605</v>
      </c>
      <c r="M106" s="15">
        <v>3580001</v>
      </c>
    </row>
    <row r="107" spans="1:13" ht="15" x14ac:dyDescent="0.3">
      <c r="A107" s="15">
        <v>5010305</v>
      </c>
      <c r="B107" s="15">
        <v>501</v>
      </c>
      <c r="C107" s="15">
        <v>3</v>
      </c>
      <c r="D107" s="15">
        <v>5</v>
      </c>
      <c r="E107" s="14" t="s">
        <v>322</v>
      </c>
      <c r="F107" s="15">
        <v>1</v>
      </c>
      <c r="G107" s="15">
        <v>100</v>
      </c>
      <c r="H107" s="18" t="s">
        <v>479</v>
      </c>
      <c r="I107" s="15" t="s">
        <v>93</v>
      </c>
      <c r="J107" s="15" t="s">
        <v>57</v>
      </c>
      <c r="K107" s="15">
        <v>3080102</v>
      </c>
      <c r="L107" s="15" t="s">
        <v>605</v>
      </c>
      <c r="M107" s="15">
        <v>3580001</v>
      </c>
    </row>
    <row r="108" spans="1:13" ht="15" x14ac:dyDescent="0.3">
      <c r="A108" s="15">
        <v>5010401</v>
      </c>
      <c r="B108" s="15">
        <v>501</v>
      </c>
      <c r="C108" s="15">
        <v>4</v>
      </c>
      <c r="D108" s="15">
        <v>1</v>
      </c>
      <c r="E108" s="14" t="s">
        <v>254</v>
      </c>
      <c r="F108" s="15">
        <v>1</v>
      </c>
      <c r="G108" s="15">
        <v>100</v>
      </c>
      <c r="H108" s="18" t="s">
        <v>480</v>
      </c>
      <c r="I108" s="15" t="s">
        <v>94</v>
      </c>
      <c r="J108" s="15" t="s">
        <v>58</v>
      </c>
      <c r="K108" s="15">
        <v>3080301</v>
      </c>
      <c r="L108" s="15" t="s">
        <v>605</v>
      </c>
      <c r="M108" s="15">
        <v>3580001</v>
      </c>
    </row>
    <row r="109" spans="1:13" ht="15" x14ac:dyDescent="0.3">
      <c r="A109" s="15">
        <v>5010402</v>
      </c>
      <c r="B109" s="15">
        <v>501</v>
      </c>
      <c r="C109" s="15">
        <v>4</v>
      </c>
      <c r="D109" s="15">
        <v>2</v>
      </c>
      <c r="E109" s="14" t="s">
        <v>323</v>
      </c>
      <c r="F109" s="15">
        <v>1</v>
      </c>
      <c r="G109" s="15">
        <v>100</v>
      </c>
      <c r="H109" s="18" t="s">
        <v>481</v>
      </c>
      <c r="I109" s="15" t="s">
        <v>94</v>
      </c>
      <c r="J109" s="15" t="s">
        <v>58</v>
      </c>
      <c r="K109" s="15">
        <v>3080301</v>
      </c>
      <c r="L109" s="15" t="s">
        <v>605</v>
      </c>
      <c r="M109" s="15">
        <v>3580001</v>
      </c>
    </row>
    <row r="110" spans="1:13" ht="15" x14ac:dyDescent="0.3">
      <c r="A110" s="15">
        <v>5010403</v>
      </c>
      <c r="B110" s="15">
        <v>501</v>
      </c>
      <c r="C110" s="15">
        <v>4</v>
      </c>
      <c r="D110" s="15">
        <v>3</v>
      </c>
      <c r="E110" s="14" t="s">
        <v>324</v>
      </c>
      <c r="F110" s="15">
        <v>1</v>
      </c>
      <c r="G110" s="15">
        <v>100</v>
      </c>
      <c r="H110" s="18" t="s">
        <v>482</v>
      </c>
      <c r="I110" s="15" t="s">
        <v>94</v>
      </c>
      <c r="J110" s="15" t="s">
        <v>58</v>
      </c>
      <c r="K110" s="15">
        <v>3080301</v>
      </c>
      <c r="L110" s="15" t="s">
        <v>605</v>
      </c>
      <c r="M110" s="15">
        <v>3580001</v>
      </c>
    </row>
    <row r="111" spans="1:13" ht="15" x14ac:dyDescent="0.3">
      <c r="A111" s="15">
        <v>5010404</v>
      </c>
      <c r="B111" s="15">
        <v>501</v>
      </c>
      <c r="C111" s="15">
        <v>4</v>
      </c>
      <c r="D111" s="15">
        <v>4</v>
      </c>
      <c r="E111" s="14" t="s">
        <v>325</v>
      </c>
      <c r="F111" s="15">
        <v>1</v>
      </c>
      <c r="G111" s="15">
        <v>100</v>
      </c>
      <c r="H111" s="18" t="s">
        <v>483</v>
      </c>
      <c r="I111" s="15" t="s">
        <v>94</v>
      </c>
      <c r="J111" s="15" t="s">
        <v>58</v>
      </c>
      <c r="K111" s="15">
        <v>3080301</v>
      </c>
      <c r="L111" s="15" t="s">
        <v>605</v>
      </c>
      <c r="M111" s="15">
        <v>3580001</v>
      </c>
    </row>
    <row r="112" spans="1:13" ht="15" x14ac:dyDescent="0.3">
      <c r="A112" s="15">
        <v>5010405</v>
      </c>
      <c r="B112" s="15">
        <v>501</v>
      </c>
      <c r="C112" s="15">
        <v>4</v>
      </c>
      <c r="D112" s="15">
        <v>5</v>
      </c>
      <c r="E112" s="14" t="s">
        <v>326</v>
      </c>
      <c r="F112" s="15">
        <v>1</v>
      </c>
      <c r="G112" s="15">
        <v>100</v>
      </c>
      <c r="H112" s="18" t="s">
        <v>484</v>
      </c>
      <c r="I112" s="15" t="s">
        <v>94</v>
      </c>
      <c r="J112" s="15" t="s">
        <v>58</v>
      </c>
      <c r="K112" s="15">
        <v>3080301</v>
      </c>
      <c r="L112" s="15" t="s">
        <v>605</v>
      </c>
      <c r="M112" s="15">
        <v>3580001</v>
      </c>
    </row>
    <row r="113" spans="1:13" x14ac:dyDescent="0.3">
      <c r="A113" s="20">
        <v>900010101</v>
      </c>
      <c r="B113" s="20">
        <v>90001</v>
      </c>
      <c r="C113" s="20">
        <v>1</v>
      </c>
      <c r="D113" s="20">
        <v>1</v>
      </c>
      <c r="E113" s="21" t="s">
        <v>577</v>
      </c>
      <c r="F113" s="20">
        <v>1</v>
      </c>
      <c r="G113" s="20">
        <v>500</v>
      </c>
      <c r="H113" s="20" t="s">
        <v>747</v>
      </c>
      <c r="I113" s="20" t="s">
        <v>392</v>
      </c>
      <c r="J113" s="20" t="s">
        <v>654</v>
      </c>
      <c r="K113" s="20">
        <v>3050001</v>
      </c>
      <c r="L113" s="20" t="s">
        <v>606</v>
      </c>
      <c r="M113" s="20">
        <v>3550001</v>
      </c>
    </row>
    <row r="114" spans="1:13" x14ac:dyDescent="0.3">
      <c r="A114" s="20">
        <v>900010202</v>
      </c>
      <c r="B114" s="20">
        <v>90001</v>
      </c>
      <c r="C114" s="20">
        <v>2</v>
      </c>
      <c r="D114" s="20">
        <v>2</v>
      </c>
      <c r="E114" s="21">
        <v>900010202</v>
      </c>
      <c r="F114" s="20">
        <v>1</v>
      </c>
      <c r="G114" s="20">
        <v>500</v>
      </c>
      <c r="H114" s="20" t="s">
        <v>753</v>
      </c>
      <c r="I114" s="20" t="s">
        <v>393</v>
      </c>
      <c r="J114" s="20" t="s">
        <v>748</v>
      </c>
      <c r="K114" s="20">
        <v>3050301</v>
      </c>
      <c r="L114" s="20" t="s">
        <v>606</v>
      </c>
      <c r="M114" s="20">
        <v>3550002</v>
      </c>
    </row>
    <row r="115" spans="1:13" x14ac:dyDescent="0.3">
      <c r="A115" s="20">
        <v>900010302</v>
      </c>
      <c r="B115" s="20">
        <v>90001</v>
      </c>
      <c r="C115" s="20">
        <v>3</v>
      </c>
      <c r="D115" s="20">
        <v>2</v>
      </c>
      <c r="E115" s="21">
        <v>900010302</v>
      </c>
      <c r="F115" s="20">
        <v>1</v>
      </c>
      <c r="G115" s="20">
        <v>500</v>
      </c>
      <c r="H115" s="20" t="s">
        <v>655</v>
      </c>
      <c r="I115" s="20" t="s">
        <v>656</v>
      </c>
      <c r="J115" s="20" t="s">
        <v>751</v>
      </c>
      <c r="K115" s="20"/>
      <c r="L115" s="20" t="s">
        <v>606</v>
      </c>
      <c r="M115" s="20">
        <v>3550003</v>
      </c>
    </row>
    <row r="116" spans="1:13" x14ac:dyDescent="0.3">
      <c r="A116" s="20">
        <v>900010403</v>
      </c>
      <c r="B116" s="20">
        <v>90001</v>
      </c>
      <c r="C116" s="20">
        <v>4</v>
      </c>
      <c r="D116" s="20">
        <v>3</v>
      </c>
      <c r="E116" s="21">
        <v>900010403</v>
      </c>
      <c r="F116" s="20">
        <v>1</v>
      </c>
      <c r="G116" s="20">
        <v>500</v>
      </c>
      <c r="H116" s="20" t="s">
        <v>755</v>
      </c>
      <c r="I116" s="20" t="s">
        <v>395</v>
      </c>
      <c r="J116" s="20" t="s">
        <v>48</v>
      </c>
      <c r="K116" s="20">
        <v>3050301</v>
      </c>
      <c r="L116" s="20" t="s">
        <v>606</v>
      </c>
      <c r="M116" s="20">
        <v>3550002</v>
      </c>
    </row>
    <row r="117" spans="1:13" x14ac:dyDescent="0.3">
      <c r="A117" s="20">
        <v>900010503</v>
      </c>
      <c r="B117" s="20">
        <v>90001</v>
      </c>
      <c r="C117" s="20">
        <v>5</v>
      </c>
      <c r="D117" s="20">
        <v>3</v>
      </c>
      <c r="E117" s="21">
        <v>900010503</v>
      </c>
      <c r="F117" s="20">
        <v>1</v>
      </c>
      <c r="G117" s="20">
        <v>500</v>
      </c>
      <c r="H117" s="20" t="s">
        <v>752</v>
      </c>
      <c r="I117" s="20" t="s">
        <v>396</v>
      </c>
      <c r="J117" s="20" t="s">
        <v>749</v>
      </c>
      <c r="K117" s="20">
        <v>3550501</v>
      </c>
      <c r="L117" s="20" t="s">
        <v>606</v>
      </c>
      <c r="M117" s="20">
        <v>3550003</v>
      </c>
    </row>
    <row r="118" spans="1:13" x14ac:dyDescent="0.3">
      <c r="A118" s="20">
        <v>900010604</v>
      </c>
      <c r="B118" s="20">
        <v>90001</v>
      </c>
      <c r="C118" s="20">
        <v>6</v>
      </c>
      <c r="D118" s="20">
        <v>4</v>
      </c>
      <c r="E118" s="21">
        <v>900010604</v>
      </c>
      <c r="F118" s="20">
        <v>1</v>
      </c>
      <c r="G118" s="20">
        <v>500</v>
      </c>
      <c r="H118" s="20" t="s">
        <v>754</v>
      </c>
      <c r="I118" s="20" t="s">
        <v>397</v>
      </c>
      <c r="J118" s="20" t="s">
        <v>48</v>
      </c>
      <c r="K118" s="20">
        <v>3050301</v>
      </c>
      <c r="L118" s="20" t="s">
        <v>606</v>
      </c>
      <c r="M118" s="20">
        <v>3550002</v>
      </c>
    </row>
    <row r="119" spans="1:13" x14ac:dyDescent="0.3">
      <c r="A119" s="20">
        <v>900010704</v>
      </c>
      <c r="B119" s="20">
        <v>90001</v>
      </c>
      <c r="C119" s="20">
        <v>7</v>
      </c>
      <c r="D119" s="20">
        <v>4</v>
      </c>
      <c r="E119" s="21">
        <v>900010704</v>
      </c>
      <c r="F119" s="20">
        <v>1</v>
      </c>
      <c r="G119" s="20">
        <v>500</v>
      </c>
      <c r="H119" s="20" t="s">
        <v>752</v>
      </c>
      <c r="I119" s="20" t="s">
        <v>398</v>
      </c>
      <c r="J119" s="20" t="s">
        <v>749</v>
      </c>
      <c r="K119" s="20">
        <v>3550501</v>
      </c>
      <c r="L119" s="20" t="s">
        <v>606</v>
      </c>
      <c r="M119" s="20">
        <v>3550003</v>
      </c>
    </row>
    <row r="120" spans="1:13" x14ac:dyDescent="0.3">
      <c r="A120" s="20">
        <v>900010805</v>
      </c>
      <c r="B120" s="20">
        <v>90001</v>
      </c>
      <c r="C120" s="20">
        <v>8</v>
      </c>
      <c r="D120" s="20">
        <v>5</v>
      </c>
      <c r="E120" s="21">
        <v>900010805</v>
      </c>
      <c r="F120" s="20">
        <v>1</v>
      </c>
      <c r="G120" s="20">
        <v>500</v>
      </c>
      <c r="H120" s="20" t="s">
        <v>750</v>
      </c>
      <c r="I120" s="20" t="s">
        <v>399</v>
      </c>
      <c r="J120" s="20" t="s">
        <v>48</v>
      </c>
      <c r="K120" s="20">
        <v>3050301</v>
      </c>
      <c r="L120" s="20" t="s">
        <v>606</v>
      </c>
      <c r="M120" s="20">
        <v>3550002</v>
      </c>
    </row>
    <row r="121" spans="1:13" x14ac:dyDescent="0.3">
      <c r="A121" s="22">
        <v>901010101</v>
      </c>
      <c r="B121" s="22">
        <v>90101</v>
      </c>
      <c r="C121" s="22">
        <v>1</v>
      </c>
      <c r="D121" s="22">
        <v>1</v>
      </c>
      <c r="E121" s="23" t="s">
        <v>577</v>
      </c>
      <c r="F121" s="22">
        <v>1</v>
      </c>
      <c r="G121" s="22">
        <v>500</v>
      </c>
      <c r="H121" s="22" t="s">
        <v>649</v>
      </c>
      <c r="I121" s="22" t="s">
        <v>490</v>
      </c>
      <c r="J121" s="22" t="s">
        <v>665</v>
      </c>
      <c r="K121" s="22">
        <v>3060001</v>
      </c>
      <c r="L121" s="22" t="s">
        <v>606</v>
      </c>
      <c r="M121" s="22">
        <v>3560001</v>
      </c>
    </row>
    <row r="122" spans="1:13" x14ac:dyDescent="0.3">
      <c r="A122" s="22">
        <v>901010202</v>
      </c>
      <c r="B122" s="22">
        <v>90101</v>
      </c>
      <c r="C122" s="22">
        <v>2</v>
      </c>
      <c r="D122" s="22">
        <v>2</v>
      </c>
      <c r="E122" s="23">
        <v>901010202</v>
      </c>
      <c r="F122" s="22">
        <v>1</v>
      </c>
      <c r="G122" s="22">
        <v>500</v>
      </c>
      <c r="H122" s="22" t="s">
        <v>650</v>
      </c>
      <c r="I122" s="22" t="s">
        <v>488</v>
      </c>
      <c r="J122" s="22" t="s">
        <v>723</v>
      </c>
      <c r="K122" s="22">
        <v>3060102</v>
      </c>
      <c r="L122" s="22" t="s">
        <v>606</v>
      </c>
      <c r="M122" s="22">
        <v>3560002</v>
      </c>
    </row>
    <row r="123" spans="1:13" x14ac:dyDescent="0.3">
      <c r="A123" s="22">
        <v>901010302</v>
      </c>
      <c r="B123" s="22">
        <v>90101</v>
      </c>
      <c r="C123" s="22">
        <v>3</v>
      </c>
      <c r="D123" s="22">
        <v>2</v>
      </c>
      <c r="E123" s="23">
        <v>901010302</v>
      </c>
      <c r="F123" s="22">
        <v>1</v>
      </c>
      <c r="G123" s="22">
        <v>500</v>
      </c>
      <c r="H123" s="22" t="s">
        <v>651</v>
      </c>
      <c r="I123" s="22" t="s">
        <v>501</v>
      </c>
      <c r="J123" s="22" t="s">
        <v>724</v>
      </c>
      <c r="K123" s="22"/>
      <c r="L123" s="22" t="s">
        <v>606</v>
      </c>
      <c r="M123" s="22">
        <v>3560003</v>
      </c>
    </row>
    <row r="124" spans="1:13" x14ac:dyDescent="0.3">
      <c r="A124" s="22">
        <v>901010403</v>
      </c>
      <c r="B124" s="22">
        <v>90101</v>
      </c>
      <c r="C124" s="22">
        <v>4</v>
      </c>
      <c r="D124" s="22">
        <v>3</v>
      </c>
      <c r="E124" s="23">
        <v>901010403</v>
      </c>
      <c r="F124" s="22">
        <v>1</v>
      </c>
      <c r="G124" s="22">
        <v>500</v>
      </c>
      <c r="H124" s="22" t="s">
        <v>652</v>
      </c>
      <c r="I124" s="22" t="s">
        <v>489</v>
      </c>
      <c r="J124" s="22" t="s">
        <v>728</v>
      </c>
      <c r="K124" s="24" t="s">
        <v>565</v>
      </c>
      <c r="L124" s="22" t="s">
        <v>606</v>
      </c>
      <c r="M124" s="24">
        <v>3560002</v>
      </c>
    </row>
    <row r="125" spans="1:13" x14ac:dyDescent="0.3">
      <c r="A125" s="22">
        <v>901010503</v>
      </c>
      <c r="B125" s="22">
        <v>90101</v>
      </c>
      <c r="C125" s="22">
        <v>5</v>
      </c>
      <c r="D125" s="22">
        <v>3</v>
      </c>
      <c r="E125" s="23">
        <v>901010503</v>
      </c>
      <c r="F125" s="22">
        <v>1</v>
      </c>
      <c r="G125" s="22">
        <v>500</v>
      </c>
      <c r="H125" s="22" t="s">
        <v>734</v>
      </c>
      <c r="I125" s="22" t="s">
        <v>485</v>
      </c>
      <c r="J125" s="22" t="s">
        <v>722</v>
      </c>
      <c r="K125" s="22"/>
      <c r="L125" s="22" t="s">
        <v>606</v>
      </c>
      <c r="M125" s="22">
        <v>3560003</v>
      </c>
    </row>
    <row r="126" spans="1:13" x14ac:dyDescent="0.3">
      <c r="A126" s="22">
        <v>901010604</v>
      </c>
      <c r="B126" s="22">
        <v>90101</v>
      </c>
      <c r="C126" s="22">
        <v>6</v>
      </c>
      <c r="D126" s="22">
        <v>4</v>
      </c>
      <c r="E126" s="23">
        <v>901010604</v>
      </c>
      <c r="F126" s="22">
        <v>1</v>
      </c>
      <c r="G126" s="22">
        <v>500</v>
      </c>
      <c r="H126" s="22" t="s">
        <v>735</v>
      </c>
      <c r="I126" s="22" t="s">
        <v>491</v>
      </c>
      <c r="J126" s="22" t="s">
        <v>671</v>
      </c>
      <c r="K126" s="22">
        <v>3060102</v>
      </c>
      <c r="L126" s="22" t="s">
        <v>606</v>
      </c>
      <c r="M126" s="22">
        <v>3560002</v>
      </c>
    </row>
    <row r="127" spans="1:13" x14ac:dyDescent="0.3">
      <c r="A127" s="22">
        <v>901010704</v>
      </c>
      <c r="B127" s="22">
        <v>90101</v>
      </c>
      <c r="C127" s="22">
        <v>7</v>
      </c>
      <c r="D127" s="22">
        <v>4</v>
      </c>
      <c r="E127" s="23">
        <v>901010704</v>
      </c>
      <c r="F127" s="22">
        <v>1</v>
      </c>
      <c r="G127" s="22">
        <v>500</v>
      </c>
      <c r="H127" s="22" t="s">
        <v>736</v>
      </c>
      <c r="I127" s="22" t="s">
        <v>486</v>
      </c>
      <c r="J127" s="22" t="s">
        <v>673</v>
      </c>
      <c r="K127" s="22">
        <v>3060102</v>
      </c>
      <c r="L127" s="22" t="s">
        <v>606</v>
      </c>
      <c r="M127" s="22">
        <v>3560003</v>
      </c>
    </row>
    <row r="128" spans="1:13" x14ac:dyDescent="0.3">
      <c r="A128" s="22">
        <v>901010805</v>
      </c>
      <c r="B128" s="22">
        <v>90101</v>
      </c>
      <c r="C128" s="22">
        <v>8</v>
      </c>
      <c r="D128" s="22">
        <v>5</v>
      </c>
      <c r="E128" s="23">
        <v>901010805</v>
      </c>
      <c r="F128" s="22">
        <v>30</v>
      </c>
      <c r="G128" s="22">
        <v>500</v>
      </c>
      <c r="H128" s="22" t="s">
        <v>737</v>
      </c>
      <c r="I128" s="22" t="s">
        <v>492</v>
      </c>
      <c r="J128" s="22" t="s">
        <v>515</v>
      </c>
      <c r="K128" s="25"/>
      <c r="L128" s="22" t="s">
        <v>606</v>
      </c>
      <c r="M128" s="22">
        <v>3560004</v>
      </c>
    </row>
    <row r="129" spans="1:13" x14ac:dyDescent="0.3">
      <c r="A129" s="26">
        <v>902010101</v>
      </c>
      <c r="B129" s="26">
        <v>90201</v>
      </c>
      <c r="C129" s="26">
        <v>1</v>
      </c>
      <c r="D129" s="26">
        <v>1</v>
      </c>
      <c r="E129" s="27" t="s">
        <v>588</v>
      </c>
      <c r="F129" s="26">
        <v>1</v>
      </c>
      <c r="G129" s="26">
        <v>500</v>
      </c>
      <c r="H129" s="26" t="s">
        <v>455</v>
      </c>
      <c r="I129" s="26" t="s">
        <v>487</v>
      </c>
      <c r="J129" s="26" t="s">
        <v>516</v>
      </c>
      <c r="K129" s="26">
        <v>3070001</v>
      </c>
      <c r="L129" s="26" t="s">
        <v>606</v>
      </c>
      <c r="M129" s="26">
        <v>3570001</v>
      </c>
    </row>
    <row r="130" spans="1:13" x14ac:dyDescent="0.3">
      <c r="A130" s="26">
        <v>902010202</v>
      </c>
      <c r="B130" s="26">
        <v>90201</v>
      </c>
      <c r="C130" s="26">
        <v>2</v>
      </c>
      <c r="D130" s="26">
        <v>2</v>
      </c>
      <c r="E130" s="27">
        <v>902010202</v>
      </c>
      <c r="F130" s="26">
        <v>1</v>
      </c>
      <c r="G130" s="26">
        <v>500</v>
      </c>
      <c r="H130" s="26" t="s">
        <v>463</v>
      </c>
      <c r="I130" s="26" t="s">
        <v>493</v>
      </c>
      <c r="J130" s="26" t="s">
        <v>578</v>
      </c>
      <c r="K130" s="28" t="s">
        <v>566</v>
      </c>
      <c r="L130" s="26" t="s">
        <v>606</v>
      </c>
      <c r="M130" s="26">
        <v>3570002</v>
      </c>
    </row>
    <row r="131" spans="1:13" x14ac:dyDescent="0.3">
      <c r="A131" s="26">
        <v>902010302</v>
      </c>
      <c r="B131" s="26">
        <v>90201</v>
      </c>
      <c r="C131" s="26">
        <v>3</v>
      </c>
      <c r="D131" s="26">
        <v>2</v>
      </c>
      <c r="E131" s="27">
        <v>902010302</v>
      </c>
      <c r="F131" s="26">
        <v>1</v>
      </c>
      <c r="G131" s="26">
        <v>500</v>
      </c>
      <c r="H131" s="26" t="s">
        <v>590</v>
      </c>
      <c r="I131" s="26" t="s">
        <v>496</v>
      </c>
      <c r="J131" s="26" t="s">
        <v>517</v>
      </c>
      <c r="K131" s="26"/>
      <c r="L131" s="26" t="s">
        <v>606</v>
      </c>
      <c r="M131" s="26">
        <v>3570003</v>
      </c>
    </row>
    <row r="132" spans="1:13" x14ac:dyDescent="0.3">
      <c r="A132" s="26">
        <v>902010403</v>
      </c>
      <c r="B132" s="26">
        <v>90201</v>
      </c>
      <c r="C132" s="26">
        <v>4</v>
      </c>
      <c r="D132" s="26">
        <v>3</v>
      </c>
      <c r="E132" s="27">
        <v>902010403</v>
      </c>
      <c r="F132" s="26">
        <v>1</v>
      </c>
      <c r="G132" s="26">
        <v>500</v>
      </c>
      <c r="H132" s="26" t="s">
        <v>463</v>
      </c>
      <c r="I132" s="26" t="s">
        <v>494</v>
      </c>
      <c r="J132" s="26" t="s">
        <v>518</v>
      </c>
      <c r="K132" s="28" t="s">
        <v>566</v>
      </c>
      <c r="L132" s="26" t="s">
        <v>606</v>
      </c>
      <c r="M132" s="26">
        <v>3570002</v>
      </c>
    </row>
    <row r="133" spans="1:13" x14ac:dyDescent="0.3">
      <c r="A133" s="26">
        <v>902010503</v>
      </c>
      <c r="B133" s="26">
        <v>90201</v>
      </c>
      <c r="C133" s="26">
        <v>5</v>
      </c>
      <c r="D133" s="26">
        <v>3</v>
      </c>
      <c r="E133" s="27">
        <v>902010503</v>
      </c>
      <c r="F133" s="26">
        <v>1</v>
      </c>
      <c r="G133" s="26">
        <v>500</v>
      </c>
      <c r="H133" s="26" t="s">
        <v>591</v>
      </c>
      <c r="I133" s="26" t="s">
        <v>495</v>
      </c>
      <c r="J133" s="26" t="s">
        <v>567</v>
      </c>
      <c r="K133" s="26"/>
      <c r="L133" s="26" t="s">
        <v>606</v>
      </c>
      <c r="M133" s="26">
        <v>3570003</v>
      </c>
    </row>
    <row r="134" spans="1:13" x14ac:dyDescent="0.3">
      <c r="A134" s="26">
        <v>902010604</v>
      </c>
      <c r="B134" s="26">
        <v>90201</v>
      </c>
      <c r="C134" s="26">
        <v>6</v>
      </c>
      <c r="D134" s="26">
        <v>4</v>
      </c>
      <c r="E134" s="27">
        <v>902010604</v>
      </c>
      <c r="F134" s="26">
        <v>1</v>
      </c>
      <c r="G134" s="26">
        <v>500</v>
      </c>
      <c r="H134" s="26" t="s">
        <v>592</v>
      </c>
      <c r="I134" s="26" t="s">
        <v>607</v>
      </c>
      <c r="J134" s="26" t="s">
        <v>519</v>
      </c>
      <c r="K134" s="26">
        <v>3070102</v>
      </c>
      <c r="L134" s="26" t="s">
        <v>606</v>
      </c>
      <c r="M134" s="26">
        <v>3570002</v>
      </c>
    </row>
    <row r="135" spans="1:13" x14ac:dyDescent="0.3">
      <c r="A135" s="26">
        <v>902010704</v>
      </c>
      <c r="B135" s="26">
        <v>90201</v>
      </c>
      <c r="C135" s="26">
        <v>7</v>
      </c>
      <c r="D135" s="26">
        <v>4</v>
      </c>
      <c r="E135" s="27">
        <v>902010704</v>
      </c>
      <c r="F135" s="26">
        <v>1</v>
      </c>
      <c r="G135" s="26">
        <v>500</v>
      </c>
      <c r="H135" s="26" t="s">
        <v>593</v>
      </c>
      <c r="I135" s="26" t="s">
        <v>497</v>
      </c>
      <c r="J135" s="26" t="s">
        <v>520</v>
      </c>
      <c r="K135" s="26">
        <v>3070102</v>
      </c>
      <c r="L135" s="26" t="s">
        <v>606</v>
      </c>
      <c r="M135" s="26">
        <v>3570003</v>
      </c>
    </row>
    <row r="136" spans="1:13" x14ac:dyDescent="0.3">
      <c r="A136" s="26">
        <v>902010805</v>
      </c>
      <c r="B136" s="26">
        <v>90201</v>
      </c>
      <c r="C136" s="26">
        <v>8</v>
      </c>
      <c r="D136" s="26">
        <v>5</v>
      </c>
      <c r="E136" s="27">
        <v>902010805</v>
      </c>
      <c r="F136" s="26">
        <v>1</v>
      </c>
      <c r="G136" s="26">
        <v>500</v>
      </c>
      <c r="H136" s="26" t="s">
        <v>594</v>
      </c>
      <c r="I136" s="26" t="s">
        <v>498</v>
      </c>
      <c r="J136" s="26" t="s">
        <v>521</v>
      </c>
      <c r="K136" s="29"/>
      <c r="L136" s="26" t="s">
        <v>606</v>
      </c>
      <c r="M136" s="26">
        <v>3570001</v>
      </c>
    </row>
    <row r="137" spans="1:13" x14ac:dyDescent="0.3">
      <c r="A137" s="30">
        <v>903010101</v>
      </c>
      <c r="B137" s="30">
        <v>90301</v>
      </c>
      <c r="C137" s="30">
        <v>1</v>
      </c>
      <c r="D137" s="30">
        <v>1</v>
      </c>
      <c r="E137" s="31" t="s">
        <v>588</v>
      </c>
      <c r="F137" s="30">
        <v>1</v>
      </c>
      <c r="G137" s="30">
        <v>500</v>
      </c>
      <c r="H137" s="30" t="s">
        <v>470</v>
      </c>
      <c r="I137" s="30" t="s">
        <v>499</v>
      </c>
      <c r="J137" s="30" t="s">
        <v>579</v>
      </c>
      <c r="K137" s="30">
        <v>3080001</v>
      </c>
      <c r="L137" s="30" t="s">
        <v>606</v>
      </c>
      <c r="M137" s="30">
        <v>3580001</v>
      </c>
    </row>
    <row r="138" spans="1:13" x14ac:dyDescent="0.3">
      <c r="A138" s="30">
        <v>903010202</v>
      </c>
      <c r="B138" s="30">
        <v>90301</v>
      </c>
      <c r="C138" s="30">
        <v>2</v>
      </c>
      <c r="D138" s="30">
        <v>2</v>
      </c>
      <c r="E138" s="31">
        <v>903010202</v>
      </c>
      <c r="F138" s="30">
        <v>1</v>
      </c>
      <c r="G138" s="30">
        <v>500</v>
      </c>
      <c r="H138" s="30" t="s">
        <v>478</v>
      </c>
      <c r="I138" s="30" t="s">
        <v>500</v>
      </c>
      <c r="J138" s="30" t="s">
        <v>522</v>
      </c>
      <c r="K138" s="32" t="s">
        <v>556</v>
      </c>
      <c r="L138" s="30" t="s">
        <v>606</v>
      </c>
      <c r="M138" s="30">
        <v>3580002</v>
      </c>
    </row>
    <row r="139" spans="1:13" x14ac:dyDescent="0.3">
      <c r="A139" s="30">
        <v>903010302</v>
      </c>
      <c r="B139" s="30">
        <v>90301</v>
      </c>
      <c r="C139" s="30">
        <v>3</v>
      </c>
      <c r="D139" s="30">
        <v>2</v>
      </c>
      <c r="E139" s="31">
        <v>903010302</v>
      </c>
      <c r="F139" s="30">
        <v>1</v>
      </c>
      <c r="G139" s="30">
        <v>500</v>
      </c>
      <c r="H139" s="30" t="s">
        <v>478</v>
      </c>
      <c r="I139" s="30" t="s">
        <v>504</v>
      </c>
      <c r="J139" s="30" t="s">
        <v>523</v>
      </c>
      <c r="K139" s="30">
        <v>3080102</v>
      </c>
      <c r="L139" s="30" t="s">
        <v>606</v>
      </c>
      <c r="M139" s="30">
        <v>3580003</v>
      </c>
    </row>
    <row r="140" spans="1:13" x14ac:dyDescent="0.3">
      <c r="A140" s="30">
        <v>903010403</v>
      </c>
      <c r="B140" s="30">
        <v>90301</v>
      </c>
      <c r="C140" s="30">
        <v>4</v>
      </c>
      <c r="D140" s="30">
        <v>3</v>
      </c>
      <c r="E140" s="31">
        <v>903010403</v>
      </c>
      <c r="F140" s="30">
        <v>1</v>
      </c>
      <c r="G140" s="30">
        <v>500</v>
      </c>
      <c r="H140" s="30" t="s">
        <v>478</v>
      </c>
      <c r="I140" s="30" t="s">
        <v>502</v>
      </c>
      <c r="J140" s="30" t="s">
        <v>524</v>
      </c>
      <c r="K140" s="30">
        <v>3080102</v>
      </c>
      <c r="L140" s="30" t="s">
        <v>606</v>
      </c>
      <c r="M140" s="30">
        <v>3580002</v>
      </c>
    </row>
    <row r="141" spans="1:13" x14ac:dyDescent="0.3">
      <c r="A141" s="30">
        <v>903010503</v>
      </c>
      <c r="B141" s="30">
        <v>90301</v>
      </c>
      <c r="C141" s="30">
        <v>5</v>
      </c>
      <c r="D141" s="30">
        <v>3</v>
      </c>
      <c r="E141" s="31">
        <v>903010503</v>
      </c>
      <c r="F141" s="30">
        <v>1</v>
      </c>
      <c r="G141" s="30">
        <v>500</v>
      </c>
      <c r="H141" s="30" t="s">
        <v>595</v>
      </c>
      <c r="I141" s="30" t="s">
        <v>505</v>
      </c>
      <c r="J141" s="30" t="s">
        <v>525</v>
      </c>
      <c r="K141" s="30">
        <v>3080102</v>
      </c>
      <c r="L141" s="30" t="s">
        <v>606</v>
      </c>
      <c r="M141" s="30">
        <v>3580003</v>
      </c>
    </row>
    <row r="142" spans="1:13" x14ac:dyDescent="0.3">
      <c r="A142" s="30">
        <v>903010604</v>
      </c>
      <c r="B142" s="30">
        <v>90301</v>
      </c>
      <c r="C142" s="30">
        <v>6</v>
      </c>
      <c r="D142" s="30">
        <v>4</v>
      </c>
      <c r="E142" s="31">
        <v>903010604</v>
      </c>
      <c r="F142" s="30">
        <v>1</v>
      </c>
      <c r="G142" s="30">
        <v>500</v>
      </c>
      <c r="H142" s="30" t="s">
        <v>596</v>
      </c>
      <c r="I142" s="30" t="s">
        <v>506</v>
      </c>
      <c r="J142" s="30" t="s">
        <v>580</v>
      </c>
      <c r="K142" s="30">
        <v>3080102</v>
      </c>
      <c r="L142" s="30" t="s">
        <v>606</v>
      </c>
      <c r="M142" s="30">
        <v>3580002</v>
      </c>
    </row>
    <row r="143" spans="1:13" x14ac:dyDescent="0.3">
      <c r="A143" s="30">
        <v>903010704</v>
      </c>
      <c r="B143" s="30">
        <v>90301</v>
      </c>
      <c r="C143" s="30">
        <v>7</v>
      </c>
      <c r="D143" s="30">
        <v>4</v>
      </c>
      <c r="E143" s="31">
        <v>903010704</v>
      </c>
      <c r="F143" s="30">
        <v>1</v>
      </c>
      <c r="G143" s="30">
        <v>500</v>
      </c>
      <c r="H143" s="30" t="s">
        <v>597</v>
      </c>
      <c r="I143" s="30" t="s">
        <v>507</v>
      </c>
      <c r="J143" s="30" t="s">
        <v>526</v>
      </c>
      <c r="K143" s="30">
        <v>3080102</v>
      </c>
      <c r="L143" s="30" t="s">
        <v>606</v>
      </c>
      <c r="M143" s="30">
        <v>3580003</v>
      </c>
    </row>
    <row r="144" spans="1:13" x14ac:dyDescent="0.3">
      <c r="A144" s="30">
        <v>903010805</v>
      </c>
      <c r="B144" s="30">
        <v>90301</v>
      </c>
      <c r="C144" s="30">
        <v>8</v>
      </c>
      <c r="D144" s="30">
        <v>5</v>
      </c>
      <c r="E144" s="31">
        <v>903010805</v>
      </c>
      <c r="F144" s="30">
        <v>1</v>
      </c>
      <c r="G144" s="30">
        <v>500</v>
      </c>
      <c r="H144" s="30" t="s">
        <v>598</v>
      </c>
      <c r="I144" s="30" t="s">
        <v>503</v>
      </c>
      <c r="J144" s="30" t="s">
        <v>527</v>
      </c>
      <c r="K144" s="33" t="s">
        <v>557</v>
      </c>
      <c r="L144" s="30" t="s">
        <v>606</v>
      </c>
      <c r="M144" s="32">
        <v>3580001</v>
      </c>
    </row>
    <row r="145" spans="1:13" x14ac:dyDescent="0.3">
      <c r="A145" s="34">
        <v>904010101</v>
      </c>
      <c r="B145" s="34">
        <v>90401</v>
      </c>
      <c r="C145" s="34">
        <v>1</v>
      </c>
      <c r="D145" s="34">
        <v>1</v>
      </c>
      <c r="E145" s="35">
        <v>0</v>
      </c>
      <c r="F145" s="34">
        <v>1</v>
      </c>
      <c r="G145" s="34">
        <v>500</v>
      </c>
      <c r="H145" s="36" t="s">
        <v>568</v>
      </c>
      <c r="I145" s="34" t="s">
        <v>528</v>
      </c>
      <c r="J145" s="34" t="s">
        <v>529</v>
      </c>
      <c r="K145" s="36" t="s">
        <v>558</v>
      </c>
      <c r="L145" s="34" t="s">
        <v>606</v>
      </c>
      <c r="M145" s="36">
        <v>3590001</v>
      </c>
    </row>
    <row r="146" spans="1:13" x14ac:dyDescent="0.3">
      <c r="A146" s="34">
        <v>904010202</v>
      </c>
      <c r="B146" s="34">
        <v>90401</v>
      </c>
      <c r="C146" s="34">
        <v>2</v>
      </c>
      <c r="D146" s="34">
        <v>2</v>
      </c>
      <c r="E146" s="35">
        <v>0</v>
      </c>
      <c r="F146" s="34">
        <v>1</v>
      </c>
      <c r="G146" s="34">
        <v>500</v>
      </c>
      <c r="H146" s="36" t="s">
        <v>573</v>
      </c>
      <c r="I146" s="34" t="s">
        <v>509</v>
      </c>
      <c r="J146" s="34" t="s">
        <v>530</v>
      </c>
      <c r="K146" s="34">
        <v>3041102</v>
      </c>
      <c r="L146" s="34" t="s">
        <v>606</v>
      </c>
      <c r="M146" s="36">
        <v>3590002</v>
      </c>
    </row>
    <row r="147" spans="1:13" x14ac:dyDescent="0.3">
      <c r="A147" s="34">
        <v>904010303</v>
      </c>
      <c r="B147" s="34">
        <v>90401</v>
      </c>
      <c r="C147" s="34">
        <v>3</v>
      </c>
      <c r="D147" s="34">
        <v>3</v>
      </c>
      <c r="E147" s="35">
        <v>0</v>
      </c>
      <c r="F147" s="34">
        <v>1</v>
      </c>
      <c r="G147" s="34">
        <v>500</v>
      </c>
      <c r="H147" s="36" t="s">
        <v>573</v>
      </c>
      <c r="I147" s="34" t="s">
        <v>510</v>
      </c>
      <c r="J147" s="34" t="s">
        <v>531</v>
      </c>
      <c r="K147" s="34">
        <v>3041102</v>
      </c>
      <c r="L147" s="34" t="s">
        <v>606</v>
      </c>
      <c r="M147" s="36">
        <v>3590002</v>
      </c>
    </row>
    <row r="148" spans="1:13" x14ac:dyDescent="0.3">
      <c r="A148" s="34">
        <v>904010403</v>
      </c>
      <c r="B148" s="34">
        <v>90401</v>
      </c>
      <c r="C148" s="34">
        <v>4</v>
      </c>
      <c r="D148" s="34">
        <v>3</v>
      </c>
      <c r="E148" s="35">
        <v>0</v>
      </c>
      <c r="F148" s="34">
        <v>1</v>
      </c>
      <c r="G148" s="34">
        <v>500</v>
      </c>
      <c r="H148" s="36" t="s">
        <v>512</v>
      </c>
      <c r="I148" s="34" t="s">
        <v>508</v>
      </c>
      <c r="J148" s="34" t="s">
        <v>532</v>
      </c>
      <c r="K148" s="34"/>
      <c r="L148" s="34" t="s">
        <v>606</v>
      </c>
      <c r="M148" s="36">
        <v>3590003</v>
      </c>
    </row>
    <row r="149" spans="1:13" x14ac:dyDescent="0.3">
      <c r="A149" s="34">
        <v>904010504</v>
      </c>
      <c r="B149" s="34">
        <v>90401</v>
      </c>
      <c r="C149" s="34">
        <v>5</v>
      </c>
      <c r="D149" s="34">
        <v>4</v>
      </c>
      <c r="E149" s="35">
        <v>0</v>
      </c>
      <c r="F149" s="34">
        <v>1</v>
      </c>
      <c r="G149" s="34">
        <v>500</v>
      </c>
      <c r="H149" s="36" t="s">
        <v>573</v>
      </c>
      <c r="I149" s="34" t="s">
        <v>533</v>
      </c>
      <c r="J149" s="34" t="s">
        <v>581</v>
      </c>
      <c r="K149" s="34">
        <v>3041102</v>
      </c>
      <c r="L149" s="34" t="s">
        <v>606</v>
      </c>
      <c r="M149" s="36">
        <v>3590004</v>
      </c>
    </row>
    <row r="150" spans="1:13" x14ac:dyDescent="0.3">
      <c r="A150" s="34">
        <v>904010705</v>
      </c>
      <c r="B150" s="34">
        <v>90401</v>
      </c>
      <c r="C150" s="34">
        <v>7</v>
      </c>
      <c r="D150" s="34">
        <v>5</v>
      </c>
      <c r="E150" s="35">
        <v>0</v>
      </c>
      <c r="F150" s="34">
        <v>1</v>
      </c>
      <c r="G150" s="34">
        <v>500</v>
      </c>
      <c r="H150" s="36" t="s">
        <v>512</v>
      </c>
      <c r="I150" s="34" t="s">
        <v>511</v>
      </c>
      <c r="J150" s="34" t="s">
        <v>534</v>
      </c>
      <c r="K150" s="34"/>
      <c r="L150" s="34" t="s">
        <v>606</v>
      </c>
      <c r="M150" s="36">
        <v>3590005</v>
      </c>
    </row>
    <row r="151" spans="1:13" x14ac:dyDescent="0.3">
      <c r="A151" s="37">
        <v>905010101</v>
      </c>
      <c r="B151" s="37">
        <v>90501</v>
      </c>
      <c r="C151" s="37">
        <v>1</v>
      </c>
      <c r="D151" s="37">
        <v>1</v>
      </c>
      <c r="E151" s="38">
        <v>0</v>
      </c>
      <c r="F151" s="37">
        <v>1</v>
      </c>
      <c r="G151" s="37">
        <v>500</v>
      </c>
      <c r="H151" s="39" t="s">
        <v>648</v>
      </c>
      <c r="I151" s="37" t="s">
        <v>535</v>
      </c>
      <c r="J151" s="37" t="s">
        <v>29</v>
      </c>
      <c r="K151" s="37">
        <v>3040102</v>
      </c>
      <c r="L151" s="37" t="s">
        <v>605</v>
      </c>
      <c r="M151" s="37">
        <v>3600001</v>
      </c>
    </row>
    <row r="152" spans="1:13" x14ac:dyDescent="0.3">
      <c r="A152" s="37">
        <v>905010202</v>
      </c>
      <c r="B152" s="37">
        <v>90501</v>
      </c>
      <c r="C152" s="37">
        <v>2</v>
      </c>
      <c r="D152" s="37">
        <v>2</v>
      </c>
      <c r="E152" s="38">
        <v>905010202</v>
      </c>
      <c r="F152" s="37">
        <v>1</v>
      </c>
      <c r="G152" s="37">
        <v>500</v>
      </c>
      <c r="H152" s="39" t="s">
        <v>760</v>
      </c>
      <c r="I152" s="37" t="s">
        <v>536</v>
      </c>
      <c r="J152" s="37" t="s">
        <v>758</v>
      </c>
      <c r="K152" s="39" t="s">
        <v>756</v>
      </c>
      <c r="L152" s="37" t="s">
        <v>605</v>
      </c>
      <c r="M152" s="37">
        <v>3600001</v>
      </c>
    </row>
    <row r="153" spans="1:13" x14ac:dyDescent="0.3">
      <c r="A153" s="37">
        <v>905010302</v>
      </c>
      <c r="B153" s="37">
        <v>90501</v>
      </c>
      <c r="C153" s="37">
        <v>3</v>
      </c>
      <c r="D153" s="37">
        <v>2</v>
      </c>
      <c r="E153" s="38">
        <v>905010302</v>
      </c>
      <c r="F153" s="37">
        <v>1</v>
      </c>
      <c r="G153" s="37">
        <v>500</v>
      </c>
      <c r="H153" s="39" t="s">
        <v>766</v>
      </c>
      <c r="I153" s="37" t="s">
        <v>537</v>
      </c>
      <c r="J153" s="37" t="s">
        <v>757</v>
      </c>
      <c r="K153" s="39" t="s">
        <v>759</v>
      </c>
      <c r="L153" s="37" t="s">
        <v>606</v>
      </c>
      <c r="M153" s="37">
        <v>3600002</v>
      </c>
    </row>
    <row r="154" spans="1:13" x14ac:dyDescent="0.3">
      <c r="A154" s="37">
        <v>905010403</v>
      </c>
      <c r="B154" s="37">
        <v>90501</v>
      </c>
      <c r="C154" s="37">
        <v>4</v>
      </c>
      <c r="D154" s="37">
        <v>3</v>
      </c>
      <c r="E154" s="38">
        <v>905010403</v>
      </c>
      <c r="F154" s="37">
        <v>1</v>
      </c>
      <c r="G154" s="37">
        <v>500</v>
      </c>
      <c r="H154" s="39" t="s">
        <v>761</v>
      </c>
      <c r="I154" s="37" t="s">
        <v>538</v>
      </c>
      <c r="J154" s="37" t="s">
        <v>725</v>
      </c>
      <c r="K154" s="37"/>
      <c r="L154" s="37" t="s">
        <v>606</v>
      </c>
      <c r="M154" s="37">
        <v>3600003</v>
      </c>
    </row>
    <row r="155" spans="1:13" x14ac:dyDescent="0.3">
      <c r="A155" s="37">
        <v>905010503</v>
      </c>
      <c r="B155" s="37">
        <v>90501</v>
      </c>
      <c r="C155" s="37">
        <v>5</v>
      </c>
      <c r="D155" s="37">
        <v>3</v>
      </c>
      <c r="E155" s="40">
        <v>905010503</v>
      </c>
      <c r="F155" s="37">
        <v>1</v>
      </c>
      <c r="G155" s="37">
        <v>500</v>
      </c>
      <c r="H155" s="39" t="s">
        <v>763</v>
      </c>
      <c r="I155" s="37" t="s">
        <v>539</v>
      </c>
      <c r="J155" s="37" t="s">
        <v>726</v>
      </c>
      <c r="K155" s="37"/>
      <c r="L155" s="37" t="s">
        <v>606</v>
      </c>
      <c r="M155" s="37">
        <v>3600002</v>
      </c>
    </row>
    <row r="156" spans="1:13" x14ac:dyDescent="0.3">
      <c r="A156" s="37">
        <v>905010604</v>
      </c>
      <c r="B156" s="37">
        <v>90501</v>
      </c>
      <c r="C156" s="37">
        <v>6</v>
      </c>
      <c r="D156" s="37">
        <v>4</v>
      </c>
      <c r="E156" s="38">
        <v>905010604</v>
      </c>
      <c r="F156" s="37">
        <v>1</v>
      </c>
      <c r="G156" s="37">
        <v>500</v>
      </c>
      <c r="H156" s="39" t="s">
        <v>764</v>
      </c>
      <c r="I156" s="37" t="s">
        <v>540</v>
      </c>
      <c r="J156" s="37" t="s">
        <v>541</v>
      </c>
      <c r="K156" s="37"/>
      <c r="L156" s="37" t="s">
        <v>606</v>
      </c>
      <c r="M156" s="37">
        <v>3600002</v>
      </c>
    </row>
    <row r="157" spans="1:13" x14ac:dyDescent="0.3">
      <c r="A157" s="37">
        <v>905010704</v>
      </c>
      <c r="B157" s="37">
        <v>90501</v>
      </c>
      <c r="C157" s="37">
        <v>7</v>
      </c>
      <c r="D157" s="37">
        <v>4</v>
      </c>
      <c r="E157" s="38">
        <v>905010704</v>
      </c>
      <c r="F157" s="37">
        <v>1</v>
      </c>
      <c r="G157" s="37">
        <v>500</v>
      </c>
      <c r="H157" s="39" t="s">
        <v>765</v>
      </c>
      <c r="I157" s="37" t="s">
        <v>542</v>
      </c>
      <c r="J157" s="37" t="s">
        <v>543</v>
      </c>
      <c r="K157" s="37"/>
      <c r="L157" s="37" t="s">
        <v>606</v>
      </c>
      <c r="M157" s="37">
        <v>3600003</v>
      </c>
    </row>
    <row r="158" spans="1:13" x14ac:dyDescent="0.3">
      <c r="A158" s="37">
        <v>905010805</v>
      </c>
      <c r="B158" s="37">
        <v>90501</v>
      </c>
      <c r="C158" s="37">
        <v>8</v>
      </c>
      <c r="D158" s="37">
        <v>5</v>
      </c>
      <c r="E158" s="38">
        <v>905010805</v>
      </c>
      <c r="F158" s="37">
        <v>30</v>
      </c>
      <c r="G158" s="37">
        <v>500</v>
      </c>
      <c r="H158" s="39" t="s">
        <v>762</v>
      </c>
      <c r="I158" s="37" t="s">
        <v>544</v>
      </c>
      <c r="J158" s="37" t="s">
        <v>545</v>
      </c>
      <c r="K158" s="37"/>
      <c r="L158" s="37" t="s">
        <v>606</v>
      </c>
      <c r="M158" s="37">
        <v>3600004</v>
      </c>
    </row>
    <row r="159" spans="1:13" x14ac:dyDescent="0.3">
      <c r="A159" s="41">
        <v>906010101</v>
      </c>
      <c r="B159" s="41">
        <v>90601</v>
      </c>
      <c r="C159" s="41">
        <v>1</v>
      </c>
      <c r="D159" s="41">
        <v>1</v>
      </c>
      <c r="E159" s="42">
        <v>0</v>
      </c>
      <c r="F159" s="41">
        <v>1</v>
      </c>
      <c r="G159" s="41">
        <v>500</v>
      </c>
      <c r="H159" s="43" t="s">
        <v>415</v>
      </c>
      <c r="I159" s="41" t="s">
        <v>559</v>
      </c>
      <c r="J159" s="41" t="s">
        <v>38</v>
      </c>
      <c r="K159" s="41">
        <v>3041001</v>
      </c>
      <c r="L159" s="41" t="s">
        <v>606</v>
      </c>
      <c r="M159" s="41">
        <v>3610001</v>
      </c>
    </row>
    <row r="160" spans="1:13" x14ac:dyDescent="0.3">
      <c r="A160" s="41">
        <v>906010202</v>
      </c>
      <c r="B160" s="41">
        <v>90601</v>
      </c>
      <c r="C160" s="41">
        <v>2</v>
      </c>
      <c r="D160" s="41">
        <v>2</v>
      </c>
      <c r="E160" s="42">
        <v>0</v>
      </c>
      <c r="F160" s="41">
        <v>1</v>
      </c>
      <c r="G160" s="41">
        <v>500</v>
      </c>
      <c r="H160" s="43" t="s">
        <v>415</v>
      </c>
      <c r="I160" s="41" t="s">
        <v>546</v>
      </c>
      <c r="J160" s="41" t="s">
        <v>547</v>
      </c>
      <c r="K160" s="41"/>
      <c r="L160" s="41" t="s">
        <v>606</v>
      </c>
      <c r="M160" s="41">
        <v>3610002</v>
      </c>
    </row>
    <row r="161" spans="1:13" x14ac:dyDescent="0.3">
      <c r="A161" s="41">
        <v>906010302</v>
      </c>
      <c r="B161" s="41">
        <v>90601</v>
      </c>
      <c r="C161" s="41">
        <v>3</v>
      </c>
      <c r="D161" s="41">
        <v>2</v>
      </c>
      <c r="E161" s="42" t="s">
        <v>569</v>
      </c>
      <c r="F161" s="41">
        <v>1</v>
      </c>
      <c r="G161" s="41">
        <v>500</v>
      </c>
      <c r="H161" s="43" t="s">
        <v>416</v>
      </c>
      <c r="I161" s="41" t="s">
        <v>548</v>
      </c>
      <c r="J161" s="41" t="s">
        <v>560</v>
      </c>
      <c r="K161" s="41"/>
      <c r="L161" s="41" t="s">
        <v>606</v>
      </c>
      <c r="M161" s="41">
        <v>3610002</v>
      </c>
    </row>
    <row r="162" spans="1:13" x14ac:dyDescent="0.3">
      <c r="A162" s="41">
        <v>906010403</v>
      </c>
      <c r="B162" s="41">
        <v>90601</v>
      </c>
      <c r="C162" s="41">
        <v>4</v>
      </c>
      <c r="D162" s="41">
        <v>3</v>
      </c>
      <c r="E162" s="42">
        <v>0</v>
      </c>
      <c r="F162" s="41">
        <v>1</v>
      </c>
      <c r="G162" s="41">
        <v>500</v>
      </c>
      <c r="H162" s="43" t="s">
        <v>416</v>
      </c>
      <c r="I162" s="41" t="s">
        <v>549</v>
      </c>
      <c r="J162" s="41" t="s">
        <v>550</v>
      </c>
      <c r="K162" s="41"/>
      <c r="L162" s="41" t="s">
        <v>606</v>
      </c>
      <c r="M162" s="41">
        <v>3610003</v>
      </c>
    </row>
    <row r="163" spans="1:13" x14ac:dyDescent="0.3">
      <c r="A163" s="41">
        <v>906010503</v>
      </c>
      <c r="B163" s="41">
        <v>90601</v>
      </c>
      <c r="C163" s="41">
        <v>5</v>
      </c>
      <c r="D163" s="41">
        <v>3</v>
      </c>
      <c r="E163" s="42" t="s">
        <v>570</v>
      </c>
      <c r="F163" s="41">
        <v>1</v>
      </c>
      <c r="G163" s="41">
        <v>500</v>
      </c>
      <c r="H163" s="43" t="s">
        <v>417</v>
      </c>
      <c r="I163" s="41" t="s">
        <v>551</v>
      </c>
      <c r="J163" s="41" t="s">
        <v>561</v>
      </c>
      <c r="K163" s="41"/>
      <c r="L163" s="41" t="s">
        <v>606</v>
      </c>
      <c r="M163" s="41">
        <v>3610003</v>
      </c>
    </row>
    <row r="164" spans="1:13" x14ac:dyDescent="0.3">
      <c r="A164" s="41">
        <v>906010604</v>
      </c>
      <c r="B164" s="41">
        <v>90601</v>
      </c>
      <c r="C164" s="41">
        <v>6</v>
      </c>
      <c r="D164" s="41">
        <v>4</v>
      </c>
      <c r="E164" s="44" t="s">
        <v>571</v>
      </c>
      <c r="F164" s="41">
        <v>1</v>
      </c>
      <c r="G164" s="41">
        <v>500</v>
      </c>
      <c r="H164" s="43" t="s">
        <v>417</v>
      </c>
      <c r="I164" s="41" t="s">
        <v>552</v>
      </c>
      <c r="J164" s="41" t="s">
        <v>553</v>
      </c>
      <c r="K164" s="41"/>
      <c r="L164" s="41" t="s">
        <v>606</v>
      </c>
      <c r="M164" s="41">
        <v>3610002</v>
      </c>
    </row>
    <row r="165" spans="1:13" x14ac:dyDescent="0.3">
      <c r="A165" s="41">
        <v>906010704</v>
      </c>
      <c r="B165" s="41">
        <v>90601</v>
      </c>
      <c r="C165" s="41">
        <v>7</v>
      </c>
      <c r="D165" s="41">
        <v>4</v>
      </c>
      <c r="E165" s="42">
        <v>0</v>
      </c>
      <c r="F165" s="41">
        <v>1</v>
      </c>
      <c r="G165" s="41">
        <v>500</v>
      </c>
      <c r="H165" s="43" t="s">
        <v>418</v>
      </c>
      <c r="I165" s="41" t="s">
        <v>554</v>
      </c>
      <c r="J165" s="41" t="s">
        <v>562</v>
      </c>
      <c r="K165" s="43" t="s">
        <v>563</v>
      </c>
      <c r="L165" s="41" t="s">
        <v>606</v>
      </c>
      <c r="M165" s="41">
        <v>3610004</v>
      </c>
    </row>
    <row r="166" spans="1:13" x14ac:dyDescent="0.3">
      <c r="A166" s="41">
        <v>906010805</v>
      </c>
      <c r="B166" s="41">
        <v>90601</v>
      </c>
      <c r="C166" s="41">
        <v>8</v>
      </c>
      <c r="D166" s="41">
        <v>5</v>
      </c>
      <c r="E166" s="42">
        <v>0</v>
      </c>
      <c r="F166" s="41">
        <v>1</v>
      </c>
      <c r="G166" s="41">
        <v>500</v>
      </c>
      <c r="H166" s="43" t="s">
        <v>419</v>
      </c>
      <c r="I166" s="41" t="s">
        <v>555</v>
      </c>
      <c r="J166" s="41" t="s">
        <v>564</v>
      </c>
      <c r="K166" s="41"/>
      <c r="L166" s="41" t="s">
        <v>606</v>
      </c>
      <c r="M166" s="41">
        <v>3610004</v>
      </c>
    </row>
    <row r="167" spans="1:13" x14ac:dyDescent="0.3">
      <c r="A167" s="45">
        <v>100010101</v>
      </c>
      <c r="B167" s="45">
        <v>10001</v>
      </c>
      <c r="C167" s="45">
        <v>1</v>
      </c>
      <c r="D167" s="45">
        <v>1</v>
      </c>
      <c r="E167" s="46" t="s">
        <v>621</v>
      </c>
      <c r="F167" s="45">
        <v>1</v>
      </c>
      <c r="G167" s="45">
        <v>1</v>
      </c>
      <c r="H167" s="45" t="s">
        <v>622</v>
      </c>
      <c r="I167" s="45" t="s">
        <v>609</v>
      </c>
      <c r="J167" s="45" t="s">
        <v>634</v>
      </c>
      <c r="K167" s="45"/>
      <c r="L167" s="45" t="s">
        <v>605</v>
      </c>
      <c r="M167" s="45">
        <v>3610004</v>
      </c>
    </row>
    <row r="168" spans="1:13" x14ac:dyDescent="0.3">
      <c r="A168" s="45">
        <v>100020101</v>
      </c>
      <c r="B168" s="45">
        <v>10002</v>
      </c>
      <c r="C168" s="45">
        <v>1</v>
      </c>
      <c r="D168" s="45">
        <v>1</v>
      </c>
      <c r="E168" s="46" t="s">
        <v>621</v>
      </c>
      <c r="F168" s="45">
        <v>1</v>
      </c>
      <c r="G168" s="45">
        <v>1</v>
      </c>
      <c r="H168" s="45" t="s">
        <v>623</v>
      </c>
      <c r="I168" s="45" t="s">
        <v>610</v>
      </c>
      <c r="J168" s="45" t="s">
        <v>635</v>
      </c>
      <c r="K168" s="45"/>
      <c r="L168" s="45" t="s">
        <v>605</v>
      </c>
      <c r="M168" s="45">
        <v>3610004</v>
      </c>
    </row>
    <row r="169" spans="1:13" x14ac:dyDescent="0.3">
      <c r="A169" s="45">
        <v>100030101</v>
      </c>
      <c r="B169" s="45">
        <v>10003</v>
      </c>
      <c r="C169" s="45">
        <v>1</v>
      </c>
      <c r="D169" s="45">
        <v>1</v>
      </c>
      <c r="E169" s="46" t="s">
        <v>621</v>
      </c>
      <c r="F169" s="45">
        <v>1</v>
      </c>
      <c r="G169" s="45">
        <v>1</v>
      </c>
      <c r="H169" s="45" t="s">
        <v>624</v>
      </c>
      <c r="I169" s="45" t="s">
        <v>611</v>
      </c>
      <c r="J169" s="45" t="s">
        <v>636</v>
      </c>
      <c r="K169" s="45"/>
      <c r="L169" s="45" t="s">
        <v>605</v>
      </c>
      <c r="M169" s="45">
        <v>3610004</v>
      </c>
    </row>
    <row r="170" spans="1:13" x14ac:dyDescent="0.3">
      <c r="A170" s="45">
        <v>100040101</v>
      </c>
      <c r="B170" s="45">
        <v>10004</v>
      </c>
      <c r="C170" s="45">
        <v>1</v>
      </c>
      <c r="D170" s="45">
        <v>1</v>
      </c>
      <c r="E170" s="46" t="s">
        <v>621</v>
      </c>
      <c r="F170" s="45">
        <v>1</v>
      </c>
      <c r="G170" s="45">
        <v>1</v>
      </c>
      <c r="H170" s="45" t="s">
        <v>625</v>
      </c>
      <c r="I170" s="45" t="s">
        <v>612</v>
      </c>
      <c r="J170" s="45" t="s">
        <v>637</v>
      </c>
      <c r="K170" s="45"/>
      <c r="L170" s="45" t="s">
        <v>605</v>
      </c>
      <c r="M170" s="45">
        <v>3610004</v>
      </c>
    </row>
    <row r="171" spans="1:13" x14ac:dyDescent="0.3">
      <c r="A171" s="45">
        <v>100050101</v>
      </c>
      <c r="B171" s="45">
        <v>10005</v>
      </c>
      <c r="C171" s="45">
        <v>1</v>
      </c>
      <c r="D171" s="45">
        <v>1</v>
      </c>
      <c r="E171" s="46" t="s">
        <v>621</v>
      </c>
      <c r="F171" s="45">
        <v>1</v>
      </c>
      <c r="G171" s="45">
        <v>1</v>
      </c>
      <c r="H171" s="45" t="s">
        <v>626</v>
      </c>
      <c r="I171" s="45" t="s">
        <v>613</v>
      </c>
      <c r="J171" s="45" t="s">
        <v>638</v>
      </c>
      <c r="K171" s="45"/>
      <c r="L171" s="45" t="s">
        <v>605</v>
      </c>
      <c r="M171" s="45">
        <v>3610004</v>
      </c>
    </row>
    <row r="172" spans="1:13" x14ac:dyDescent="0.3">
      <c r="A172" s="45">
        <v>100060101</v>
      </c>
      <c r="B172" s="45">
        <v>10006</v>
      </c>
      <c r="C172" s="45">
        <v>1</v>
      </c>
      <c r="D172" s="45">
        <v>1</v>
      </c>
      <c r="E172" s="46" t="s">
        <v>621</v>
      </c>
      <c r="F172" s="45">
        <v>1</v>
      </c>
      <c r="G172" s="45">
        <v>1</v>
      </c>
      <c r="H172" s="45" t="s">
        <v>627</v>
      </c>
      <c r="I172" s="45" t="s">
        <v>614</v>
      </c>
      <c r="J172" s="45" t="s">
        <v>639</v>
      </c>
      <c r="K172" s="45"/>
      <c r="L172" s="45" t="s">
        <v>605</v>
      </c>
      <c r="M172" s="45">
        <v>3610004</v>
      </c>
    </row>
    <row r="173" spans="1:13" x14ac:dyDescent="0.3">
      <c r="A173" s="45">
        <v>100070101</v>
      </c>
      <c r="B173" s="45">
        <v>10007</v>
      </c>
      <c r="C173" s="45">
        <v>1</v>
      </c>
      <c r="D173" s="45">
        <v>1</v>
      </c>
      <c r="E173" s="46" t="s">
        <v>621</v>
      </c>
      <c r="F173" s="45">
        <v>1</v>
      </c>
      <c r="G173" s="45">
        <v>1</v>
      </c>
      <c r="H173" s="45" t="s">
        <v>628</v>
      </c>
      <c r="I173" s="45" t="s">
        <v>615</v>
      </c>
      <c r="J173" s="45" t="s">
        <v>640</v>
      </c>
      <c r="K173" s="45"/>
      <c r="L173" s="45" t="s">
        <v>605</v>
      </c>
      <c r="M173" s="45">
        <v>3610004</v>
      </c>
    </row>
    <row r="174" spans="1:13" x14ac:dyDescent="0.3">
      <c r="A174" s="45">
        <v>100080101</v>
      </c>
      <c r="B174" s="45">
        <v>10008</v>
      </c>
      <c r="C174" s="45">
        <v>1</v>
      </c>
      <c r="D174" s="45">
        <v>1</v>
      </c>
      <c r="E174" s="46" t="s">
        <v>621</v>
      </c>
      <c r="F174" s="45">
        <v>1</v>
      </c>
      <c r="G174" s="45">
        <v>1</v>
      </c>
      <c r="H174" s="45" t="s">
        <v>629</v>
      </c>
      <c r="I174" s="45" t="s">
        <v>616</v>
      </c>
      <c r="J174" s="45" t="s">
        <v>641</v>
      </c>
      <c r="K174" s="45"/>
      <c r="L174" s="45" t="s">
        <v>605</v>
      </c>
      <c r="M174" s="45">
        <v>3610004</v>
      </c>
    </row>
    <row r="175" spans="1:13" x14ac:dyDescent="0.3">
      <c r="A175" s="45">
        <v>100090101</v>
      </c>
      <c r="B175" s="45">
        <v>10009</v>
      </c>
      <c r="C175" s="45">
        <v>1</v>
      </c>
      <c r="D175" s="45">
        <v>1</v>
      </c>
      <c r="E175" s="46" t="s">
        <v>621</v>
      </c>
      <c r="F175" s="45">
        <v>1</v>
      </c>
      <c r="G175" s="45">
        <v>1</v>
      </c>
      <c r="H175" s="45" t="s">
        <v>630</v>
      </c>
      <c r="I175" s="45" t="s">
        <v>617</v>
      </c>
      <c r="J175" s="45" t="s">
        <v>653</v>
      </c>
      <c r="K175" s="45"/>
      <c r="L175" s="45" t="s">
        <v>605</v>
      </c>
      <c r="M175" s="45">
        <v>3610004</v>
      </c>
    </row>
    <row r="176" spans="1:13" x14ac:dyDescent="0.3">
      <c r="A176" s="45">
        <v>100100101</v>
      </c>
      <c r="B176" s="45">
        <v>10010</v>
      </c>
      <c r="C176" s="45">
        <v>1</v>
      </c>
      <c r="D176" s="45">
        <v>1</v>
      </c>
      <c r="E176" s="46" t="s">
        <v>621</v>
      </c>
      <c r="F176" s="45">
        <v>1</v>
      </c>
      <c r="G176" s="45">
        <v>1</v>
      </c>
      <c r="H176" s="45" t="s">
        <v>631</v>
      </c>
      <c r="I176" s="45" t="s">
        <v>618</v>
      </c>
      <c r="J176" s="45" t="s">
        <v>642</v>
      </c>
      <c r="K176" s="45"/>
      <c r="L176" s="45" t="s">
        <v>605</v>
      </c>
      <c r="M176" s="45">
        <v>3610004</v>
      </c>
    </row>
    <row r="177" spans="1:13" x14ac:dyDescent="0.3">
      <c r="A177" s="45">
        <v>100110101</v>
      </c>
      <c r="B177" s="45">
        <v>10011</v>
      </c>
      <c r="C177" s="45">
        <v>1</v>
      </c>
      <c r="D177" s="45">
        <v>1</v>
      </c>
      <c r="E177" s="46" t="s">
        <v>621</v>
      </c>
      <c r="F177" s="45">
        <v>1</v>
      </c>
      <c r="G177" s="45">
        <v>1</v>
      </c>
      <c r="H177" s="45" t="s">
        <v>632</v>
      </c>
      <c r="I177" s="45" t="s">
        <v>619</v>
      </c>
      <c r="J177" s="45" t="s">
        <v>643</v>
      </c>
      <c r="K177" s="45"/>
      <c r="L177" s="45" t="s">
        <v>605</v>
      </c>
      <c r="M177" s="45">
        <v>3610004</v>
      </c>
    </row>
    <row r="178" spans="1:13" x14ac:dyDescent="0.3">
      <c r="A178" s="45">
        <v>100120101</v>
      </c>
      <c r="B178" s="45">
        <v>10012</v>
      </c>
      <c r="C178" s="45">
        <v>1</v>
      </c>
      <c r="D178" s="45">
        <v>1</v>
      </c>
      <c r="E178" s="46" t="s">
        <v>621</v>
      </c>
      <c r="F178" s="45">
        <v>1</v>
      </c>
      <c r="G178" s="45">
        <v>1</v>
      </c>
      <c r="H178" s="45" t="s">
        <v>633</v>
      </c>
      <c r="I178" s="45" t="s">
        <v>620</v>
      </c>
      <c r="J178" s="45" t="s">
        <v>644</v>
      </c>
      <c r="K178" s="45"/>
      <c r="L178" s="45" t="s">
        <v>605</v>
      </c>
      <c r="M178" s="45">
        <v>3610004</v>
      </c>
    </row>
    <row r="179" spans="1:13" x14ac:dyDescent="0.3">
      <c r="A179" s="20">
        <v>900020101</v>
      </c>
      <c r="B179" s="20">
        <v>90002</v>
      </c>
      <c r="C179" s="20">
        <v>1</v>
      </c>
      <c r="D179" s="20">
        <v>1</v>
      </c>
      <c r="E179" s="21" t="s">
        <v>727</v>
      </c>
      <c r="F179" s="20">
        <v>1</v>
      </c>
      <c r="G179" s="20">
        <v>500</v>
      </c>
      <c r="H179" s="20" t="s">
        <v>740</v>
      </c>
      <c r="I179" s="20" t="s">
        <v>392</v>
      </c>
      <c r="J179" s="48" t="s">
        <v>654</v>
      </c>
      <c r="K179" s="20">
        <v>3050001</v>
      </c>
      <c r="L179" s="20" t="s">
        <v>605</v>
      </c>
      <c r="M179" s="20">
        <v>3550001</v>
      </c>
    </row>
    <row r="180" spans="1:13" x14ac:dyDescent="0.3">
      <c r="A180" s="20">
        <v>900020202</v>
      </c>
      <c r="B180" s="20">
        <v>90002</v>
      </c>
      <c r="C180" s="20">
        <v>2</v>
      </c>
      <c r="D180" s="20">
        <v>2</v>
      </c>
      <c r="E180" s="21">
        <v>900020202</v>
      </c>
      <c r="F180" s="20">
        <v>1</v>
      </c>
      <c r="G180" s="20">
        <v>500</v>
      </c>
      <c r="H180" s="20" t="s">
        <v>741</v>
      </c>
      <c r="I180" s="20" t="s">
        <v>393</v>
      </c>
      <c r="J180" s="48" t="s">
        <v>738</v>
      </c>
      <c r="K180" s="20">
        <v>3050301</v>
      </c>
      <c r="L180" s="20" t="s">
        <v>605</v>
      </c>
      <c r="M180" s="20">
        <v>3550002</v>
      </c>
    </row>
    <row r="181" spans="1:13" x14ac:dyDescent="0.3">
      <c r="A181" s="20">
        <v>900020302</v>
      </c>
      <c r="B181" s="20">
        <v>90002</v>
      </c>
      <c r="C181" s="20">
        <v>3</v>
      </c>
      <c r="D181" s="20">
        <v>2</v>
      </c>
      <c r="E181" s="21">
        <v>900020302</v>
      </c>
      <c r="F181" s="20">
        <v>1</v>
      </c>
      <c r="G181" s="20">
        <v>500</v>
      </c>
      <c r="H181" s="20" t="s">
        <v>655</v>
      </c>
      <c r="I181" s="20" t="s">
        <v>656</v>
      </c>
      <c r="J181" s="48" t="s">
        <v>739</v>
      </c>
      <c r="K181" s="20"/>
      <c r="L181" s="20" t="s">
        <v>605</v>
      </c>
      <c r="M181" s="20">
        <v>3550003</v>
      </c>
    </row>
    <row r="182" spans="1:13" x14ac:dyDescent="0.3">
      <c r="A182" s="20">
        <v>900020403</v>
      </c>
      <c r="B182" s="20">
        <v>90002</v>
      </c>
      <c r="C182" s="20">
        <v>4</v>
      </c>
      <c r="D182" s="20">
        <v>3</v>
      </c>
      <c r="E182" s="21">
        <v>900020403</v>
      </c>
      <c r="F182" s="20">
        <v>1</v>
      </c>
      <c r="G182" s="20">
        <v>500</v>
      </c>
      <c r="H182" s="20" t="s">
        <v>742</v>
      </c>
      <c r="I182" s="20" t="s">
        <v>395</v>
      </c>
      <c r="J182" s="48" t="s">
        <v>657</v>
      </c>
      <c r="K182" s="20">
        <v>3050301</v>
      </c>
      <c r="L182" s="20" t="s">
        <v>605</v>
      </c>
      <c r="M182" s="20">
        <v>3550002</v>
      </c>
    </row>
    <row r="183" spans="1:13" x14ac:dyDescent="0.3">
      <c r="A183" s="20">
        <v>900020503</v>
      </c>
      <c r="B183" s="20">
        <v>90002</v>
      </c>
      <c r="C183" s="20">
        <v>5</v>
      </c>
      <c r="D183" s="20">
        <v>3</v>
      </c>
      <c r="E183" s="21">
        <v>900020503</v>
      </c>
      <c r="F183" s="20">
        <v>1</v>
      </c>
      <c r="G183" s="20">
        <v>500</v>
      </c>
      <c r="H183" s="20" t="s">
        <v>658</v>
      </c>
      <c r="I183" s="20" t="s">
        <v>396</v>
      </c>
      <c r="J183" s="48" t="s">
        <v>659</v>
      </c>
      <c r="K183" s="20">
        <v>3550501</v>
      </c>
      <c r="L183" s="20" t="s">
        <v>605</v>
      </c>
      <c r="M183" s="20">
        <v>3550003</v>
      </c>
    </row>
    <row r="184" spans="1:13" x14ac:dyDescent="0.3">
      <c r="A184" s="20">
        <v>900020604</v>
      </c>
      <c r="B184" s="20">
        <v>90002</v>
      </c>
      <c r="C184" s="20">
        <v>6</v>
      </c>
      <c r="D184" s="20">
        <v>4</v>
      </c>
      <c r="E184" s="21">
        <v>900020604</v>
      </c>
      <c r="F184" s="20">
        <v>1</v>
      </c>
      <c r="G184" s="20">
        <v>500</v>
      </c>
      <c r="H184" s="20" t="s">
        <v>660</v>
      </c>
      <c r="I184" s="20" t="s">
        <v>397</v>
      </c>
      <c r="J184" s="48" t="s">
        <v>661</v>
      </c>
      <c r="K184" s="20">
        <v>3550206</v>
      </c>
      <c r="L184" s="20" t="s">
        <v>605</v>
      </c>
      <c r="M184" s="20">
        <v>3550002</v>
      </c>
    </row>
    <row r="185" spans="1:13" x14ac:dyDescent="0.3">
      <c r="A185" s="20">
        <v>900020704</v>
      </c>
      <c r="B185" s="20">
        <v>90002</v>
      </c>
      <c r="C185" s="20">
        <v>7</v>
      </c>
      <c r="D185" s="20">
        <v>4</v>
      </c>
      <c r="E185" s="21">
        <v>900020704</v>
      </c>
      <c r="F185" s="20">
        <v>1</v>
      </c>
      <c r="G185" s="20">
        <v>500</v>
      </c>
      <c r="H185" s="20" t="s">
        <v>743</v>
      </c>
      <c r="I185" s="20" t="s">
        <v>398</v>
      </c>
      <c r="J185" s="48" t="s">
        <v>662</v>
      </c>
      <c r="K185" s="20">
        <v>3050301</v>
      </c>
      <c r="L185" s="20" t="s">
        <v>605</v>
      </c>
      <c r="M185" s="20">
        <v>3550003</v>
      </c>
    </row>
    <row r="186" spans="1:13" x14ac:dyDescent="0.3">
      <c r="A186" s="20">
        <v>900020805</v>
      </c>
      <c r="B186" s="20">
        <v>90002</v>
      </c>
      <c r="C186" s="20">
        <v>8</v>
      </c>
      <c r="D186" s="20">
        <v>5</v>
      </c>
      <c r="E186" s="21">
        <v>900020805</v>
      </c>
      <c r="F186" s="20">
        <v>1</v>
      </c>
      <c r="G186" s="20">
        <v>500</v>
      </c>
      <c r="H186" s="20" t="s">
        <v>729</v>
      </c>
      <c r="I186" s="20" t="s">
        <v>399</v>
      </c>
      <c r="J186" s="48" t="s">
        <v>663</v>
      </c>
      <c r="K186" s="49" t="s">
        <v>744</v>
      </c>
      <c r="L186" s="20" t="s">
        <v>605</v>
      </c>
      <c r="M186" s="20">
        <v>3550001</v>
      </c>
    </row>
    <row r="187" spans="1:13" x14ac:dyDescent="0.3">
      <c r="A187" s="20">
        <v>900020904</v>
      </c>
      <c r="B187" s="20">
        <v>90002</v>
      </c>
      <c r="C187" s="20">
        <v>9</v>
      </c>
      <c r="D187" s="20">
        <v>4</v>
      </c>
      <c r="E187" s="21">
        <v>900020805</v>
      </c>
      <c r="F187" s="20">
        <v>30</v>
      </c>
      <c r="G187" s="20">
        <v>500</v>
      </c>
      <c r="H187" s="20" t="s">
        <v>745</v>
      </c>
      <c r="I187" s="20" t="s">
        <v>746</v>
      </c>
      <c r="J187" s="48" t="s">
        <v>48</v>
      </c>
      <c r="K187" s="20">
        <v>3050301</v>
      </c>
      <c r="L187" s="20" t="s">
        <v>605</v>
      </c>
      <c r="M187" s="20">
        <v>3550001</v>
      </c>
    </row>
    <row r="188" spans="1:13" x14ac:dyDescent="0.3">
      <c r="A188" s="22">
        <v>901020101</v>
      </c>
      <c r="B188" s="22">
        <v>90102</v>
      </c>
      <c r="C188" s="22">
        <v>1</v>
      </c>
      <c r="D188" s="22">
        <v>1</v>
      </c>
      <c r="E188" s="23" t="s">
        <v>727</v>
      </c>
      <c r="F188" s="22">
        <v>1</v>
      </c>
      <c r="G188" s="22">
        <v>500</v>
      </c>
      <c r="H188" s="22" t="s">
        <v>664</v>
      </c>
      <c r="I188" s="22" t="s">
        <v>582</v>
      </c>
      <c r="J188" s="22" t="s">
        <v>665</v>
      </c>
      <c r="K188" s="22">
        <v>3060001</v>
      </c>
      <c r="L188" s="22" t="s">
        <v>605</v>
      </c>
      <c r="M188" s="22">
        <v>3560001</v>
      </c>
    </row>
    <row r="189" spans="1:13" x14ac:dyDescent="0.3">
      <c r="A189" s="22">
        <v>901020202</v>
      </c>
      <c r="B189" s="22">
        <v>90102</v>
      </c>
      <c r="C189" s="22">
        <v>2</v>
      </c>
      <c r="D189" s="22">
        <v>2</v>
      </c>
      <c r="E189" s="23">
        <v>901020202</v>
      </c>
      <c r="F189" s="22">
        <v>1</v>
      </c>
      <c r="G189" s="22">
        <v>500</v>
      </c>
      <c r="H189" s="22" t="s">
        <v>666</v>
      </c>
      <c r="I189" s="22" t="s">
        <v>583</v>
      </c>
      <c r="J189" s="22" t="s">
        <v>723</v>
      </c>
      <c r="K189" s="22">
        <v>3060102</v>
      </c>
      <c r="L189" s="22" t="s">
        <v>605</v>
      </c>
      <c r="M189" s="22">
        <v>3560002</v>
      </c>
    </row>
    <row r="190" spans="1:13" x14ac:dyDescent="0.3">
      <c r="A190" s="22">
        <v>901020302</v>
      </c>
      <c r="B190" s="22">
        <v>90102</v>
      </c>
      <c r="C190" s="22">
        <v>3</v>
      </c>
      <c r="D190" s="22">
        <v>2</v>
      </c>
      <c r="E190" s="23">
        <v>901020302</v>
      </c>
      <c r="F190" s="22">
        <v>1</v>
      </c>
      <c r="G190" s="22">
        <v>500</v>
      </c>
      <c r="H190" s="22" t="s">
        <v>667</v>
      </c>
      <c r="I190" s="22" t="s">
        <v>584</v>
      </c>
      <c r="J190" s="22" t="s">
        <v>724</v>
      </c>
      <c r="K190" s="22"/>
      <c r="L190" s="22" t="s">
        <v>605</v>
      </c>
      <c r="M190" s="22">
        <v>3560003</v>
      </c>
    </row>
    <row r="191" spans="1:13" x14ac:dyDescent="0.3">
      <c r="A191" s="22">
        <v>901020403</v>
      </c>
      <c r="B191" s="22">
        <v>90102</v>
      </c>
      <c r="C191" s="22">
        <v>4</v>
      </c>
      <c r="D191" s="22">
        <v>3</v>
      </c>
      <c r="E191" s="23">
        <v>901020403</v>
      </c>
      <c r="F191" s="22">
        <v>1</v>
      </c>
      <c r="G191" s="22">
        <v>500</v>
      </c>
      <c r="H191" s="22" t="s">
        <v>668</v>
      </c>
      <c r="I191" s="22" t="s">
        <v>585</v>
      </c>
      <c r="J191" s="22" t="s">
        <v>728</v>
      </c>
      <c r="K191" s="24" t="s">
        <v>565</v>
      </c>
      <c r="L191" s="22" t="s">
        <v>605</v>
      </c>
      <c r="M191" s="24">
        <v>3560002</v>
      </c>
    </row>
    <row r="192" spans="1:13" x14ac:dyDescent="0.3">
      <c r="A192" s="22">
        <v>901020503</v>
      </c>
      <c r="B192" s="22">
        <v>90102</v>
      </c>
      <c r="C192" s="22">
        <v>5</v>
      </c>
      <c r="D192" s="22">
        <v>3</v>
      </c>
      <c r="E192" s="23">
        <v>901020503</v>
      </c>
      <c r="F192" s="22">
        <v>1</v>
      </c>
      <c r="G192" s="22">
        <v>500</v>
      </c>
      <c r="H192" s="22" t="s">
        <v>669</v>
      </c>
      <c r="I192" s="22" t="s">
        <v>485</v>
      </c>
      <c r="J192" s="22" t="s">
        <v>722</v>
      </c>
      <c r="K192" s="22">
        <v>3560501</v>
      </c>
      <c r="L192" s="22" t="s">
        <v>605</v>
      </c>
      <c r="M192" s="22">
        <v>3560003</v>
      </c>
    </row>
    <row r="193" spans="1:13" x14ac:dyDescent="0.3">
      <c r="A193" s="22">
        <v>901020604</v>
      </c>
      <c r="B193" s="22">
        <v>90102</v>
      </c>
      <c r="C193" s="22">
        <v>6</v>
      </c>
      <c r="D193" s="22">
        <v>4</v>
      </c>
      <c r="E193" s="23">
        <v>901020604</v>
      </c>
      <c r="F193" s="22">
        <v>1</v>
      </c>
      <c r="G193" s="22">
        <v>500</v>
      </c>
      <c r="H193" s="22" t="s">
        <v>670</v>
      </c>
      <c r="I193" s="22" t="s">
        <v>586</v>
      </c>
      <c r="J193" s="22" t="s">
        <v>671</v>
      </c>
      <c r="K193" s="22">
        <v>3060102</v>
      </c>
      <c r="L193" s="22" t="s">
        <v>605</v>
      </c>
      <c r="M193" s="22">
        <v>3560002</v>
      </c>
    </row>
    <row r="194" spans="1:13" x14ac:dyDescent="0.3">
      <c r="A194" s="22">
        <v>901020704</v>
      </c>
      <c r="B194" s="22">
        <v>90102</v>
      </c>
      <c r="C194" s="22">
        <v>7</v>
      </c>
      <c r="D194" s="22">
        <v>4</v>
      </c>
      <c r="E194" s="23">
        <v>901020704</v>
      </c>
      <c r="F194" s="22">
        <v>1</v>
      </c>
      <c r="G194" s="22">
        <v>500</v>
      </c>
      <c r="H194" s="22" t="s">
        <v>672</v>
      </c>
      <c r="I194" s="22" t="s">
        <v>486</v>
      </c>
      <c r="J194" s="22" t="s">
        <v>673</v>
      </c>
      <c r="K194" s="22">
        <v>3060102</v>
      </c>
      <c r="L194" s="22" t="s">
        <v>605</v>
      </c>
      <c r="M194" s="22">
        <v>3560003</v>
      </c>
    </row>
    <row r="195" spans="1:13" x14ac:dyDescent="0.3">
      <c r="A195" s="22">
        <v>901020805</v>
      </c>
      <c r="B195" s="22">
        <v>90102</v>
      </c>
      <c r="C195" s="22">
        <v>8</v>
      </c>
      <c r="D195" s="22">
        <v>5</v>
      </c>
      <c r="E195" s="23">
        <v>901020805</v>
      </c>
      <c r="F195" s="22">
        <v>1</v>
      </c>
      <c r="G195" s="22">
        <v>500</v>
      </c>
      <c r="H195" s="22" t="s">
        <v>674</v>
      </c>
      <c r="I195" s="22" t="s">
        <v>587</v>
      </c>
      <c r="J195" s="22" t="s">
        <v>515</v>
      </c>
      <c r="K195" s="25"/>
      <c r="L195" s="22" t="s">
        <v>605</v>
      </c>
      <c r="M195" s="22">
        <v>3560004</v>
      </c>
    </row>
    <row r="196" spans="1:13" x14ac:dyDescent="0.3">
      <c r="A196" s="26">
        <v>902020101</v>
      </c>
      <c r="B196" s="26">
        <v>90202</v>
      </c>
      <c r="C196" s="26">
        <v>1</v>
      </c>
      <c r="D196" s="26">
        <v>1</v>
      </c>
      <c r="E196" s="27" t="s">
        <v>727</v>
      </c>
      <c r="F196" s="26">
        <v>1</v>
      </c>
      <c r="G196" s="26">
        <v>500</v>
      </c>
      <c r="H196" s="26" t="s">
        <v>455</v>
      </c>
      <c r="I196" s="26" t="s">
        <v>675</v>
      </c>
      <c r="J196" s="26" t="s">
        <v>676</v>
      </c>
      <c r="K196" s="26">
        <v>3070001</v>
      </c>
      <c r="L196" s="26" t="s">
        <v>605</v>
      </c>
      <c r="M196" s="26">
        <v>3570001</v>
      </c>
    </row>
    <row r="197" spans="1:13" x14ac:dyDescent="0.3">
      <c r="A197" s="26">
        <v>902020202</v>
      </c>
      <c r="B197" s="26">
        <v>90202</v>
      </c>
      <c r="C197" s="26">
        <v>2</v>
      </c>
      <c r="D197" s="26">
        <v>2</v>
      </c>
      <c r="E197" s="27">
        <v>902020202</v>
      </c>
      <c r="F197" s="26">
        <v>1</v>
      </c>
      <c r="G197" s="26">
        <v>500</v>
      </c>
      <c r="H197" s="26" t="s">
        <v>677</v>
      </c>
      <c r="I197" s="26" t="s">
        <v>678</v>
      </c>
      <c r="J197" s="26" t="s">
        <v>679</v>
      </c>
      <c r="K197" s="28" t="s">
        <v>566</v>
      </c>
      <c r="L197" s="26" t="s">
        <v>605</v>
      </c>
      <c r="M197" s="26">
        <v>3570002</v>
      </c>
    </row>
    <row r="198" spans="1:13" x14ac:dyDescent="0.3">
      <c r="A198" s="26">
        <v>902020302</v>
      </c>
      <c r="B198" s="26">
        <v>90202</v>
      </c>
      <c r="C198" s="26">
        <v>3</v>
      </c>
      <c r="D198" s="26">
        <v>2</v>
      </c>
      <c r="E198" s="27">
        <v>902020302</v>
      </c>
      <c r="F198" s="26">
        <v>1</v>
      </c>
      <c r="G198" s="26">
        <v>500</v>
      </c>
      <c r="H198" s="26" t="s">
        <v>680</v>
      </c>
      <c r="I198" s="26" t="s">
        <v>681</v>
      </c>
      <c r="J198" s="26" t="s">
        <v>682</v>
      </c>
      <c r="K198" s="26"/>
      <c r="L198" s="26" t="s">
        <v>605</v>
      </c>
      <c r="M198" s="26">
        <v>3570003</v>
      </c>
    </row>
    <row r="199" spans="1:13" x14ac:dyDescent="0.3">
      <c r="A199" s="26">
        <v>902020403</v>
      </c>
      <c r="B199" s="26">
        <v>90202</v>
      </c>
      <c r="C199" s="26">
        <v>4</v>
      </c>
      <c r="D199" s="26">
        <v>3</v>
      </c>
      <c r="E199" s="27">
        <v>902020403</v>
      </c>
      <c r="F199" s="26">
        <v>1</v>
      </c>
      <c r="G199" s="26">
        <v>500</v>
      </c>
      <c r="H199" s="26" t="s">
        <v>683</v>
      </c>
      <c r="I199" s="26" t="s">
        <v>684</v>
      </c>
      <c r="J199" s="26" t="s">
        <v>685</v>
      </c>
      <c r="K199" s="28" t="s">
        <v>566</v>
      </c>
      <c r="L199" s="26" t="s">
        <v>605</v>
      </c>
      <c r="M199" s="26">
        <v>3570002</v>
      </c>
    </row>
    <row r="200" spans="1:13" x14ac:dyDescent="0.3">
      <c r="A200" s="26">
        <v>902020503</v>
      </c>
      <c r="B200" s="26">
        <v>90202</v>
      </c>
      <c r="C200" s="26">
        <v>5</v>
      </c>
      <c r="D200" s="26">
        <v>3</v>
      </c>
      <c r="E200" s="27">
        <v>902020503</v>
      </c>
      <c r="F200" s="26">
        <v>1</v>
      </c>
      <c r="G200" s="26">
        <v>500</v>
      </c>
      <c r="H200" s="26" t="s">
        <v>686</v>
      </c>
      <c r="I200" s="26" t="s">
        <v>687</v>
      </c>
      <c r="J200" s="26" t="s">
        <v>721</v>
      </c>
      <c r="K200" s="26">
        <v>3570701</v>
      </c>
      <c r="L200" s="26" t="s">
        <v>605</v>
      </c>
      <c r="M200" s="26">
        <v>3570003</v>
      </c>
    </row>
    <row r="201" spans="1:13" x14ac:dyDescent="0.3">
      <c r="A201" s="26">
        <v>902020604</v>
      </c>
      <c r="B201" s="26">
        <v>90202</v>
      </c>
      <c r="C201" s="26">
        <v>6</v>
      </c>
      <c r="D201" s="26">
        <v>4</v>
      </c>
      <c r="E201" s="27">
        <v>902020604</v>
      </c>
      <c r="F201" s="26">
        <v>1</v>
      </c>
      <c r="G201" s="26">
        <v>500</v>
      </c>
      <c r="H201" s="26" t="s">
        <v>688</v>
      </c>
      <c r="I201" s="26" t="s">
        <v>689</v>
      </c>
      <c r="J201" s="26" t="s">
        <v>690</v>
      </c>
      <c r="K201" s="26">
        <v>3070102</v>
      </c>
      <c r="L201" s="26" t="s">
        <v>605</v>
      </c>
      <c r="M201" s="26">
        <v>3570002</v>
      </c>
    </row>
    <row r="202" spans="1:13" x14ac:dyDescent="0.3">
      <c r="A202" s="26">
        <v>902020704</v>
      </c>
      <c r="B202" s="26">
        <v>90202</v>
      </c>
      <c r="C202" s="26">
        <v>7</v>
      </c>
      <c r="D202" s="26">
        <v>4</v>
      </c>
      <c r="E202" s="27">
        <v>902020704</v>
      </c>
      <c r="F202" s="26">
        <v>1</v>
      </c>
      <c r="G202" s="26">
        <v>500</v>
      </c>
      <c r="H202" s="26" t="s">
        <v>691</v>
      </c>
      <c r="I202" s="26" t="s">
        <v>692</v>
      </c>
      <c r="J202" s="26" t="s">
        <v>693</v>
      </c>
      <c r="K202" s="26">
        <v>3070102</v>
      </c>
      <c r="L202" s="26" t="s">
        <v>605</v>
      </c>
      <c r="M202" s="26">
        <v>3570003</v>
      </c>
    </row>
    <row r="203" spans="1:13" x14ac:dyDescent="0.3">
      <c r="A203" s="26">
        <v>902020805</v>
      </c>
      <c r="B203" s="26">
        <v>90202</v>
      </c>
      <c r="C203" s="26">
        <v>8</v>
      </c>
      <c r="D203" s="26">
        <v>5</v>
      </c>
      <c r="E203" s="27">
        <v>902020805</v>
      </c>
      <c r="F203" s="26">
        <v>1</v>
      </c>
      <c r="G203" s="26">
        <v>500</v>
      </c>
      <c r="H203" s="26" t="s">
        <v>694</v>
      </c>
      <c r="I203" s="26" t="s">
        <v>695</v>
      </c>
      <c r="J203" s="26" t="s">
        <v>696</v>
      </c>
      <c r="K203" s="29"/>
      <c r="L203" s="26" t="s">
        <v>605</v>
      </c>
      <c r="M203" s="26">
        <v>3570001</v>
      </c>
    </row>
    <row r="204" spans="1:13" x14ac:dyDescent="0.3">
      <c r="A204" s="30">
        <v>903020101</v>
      </c>
      <c r="B204" s="30">
        <v>90302</v>
      </c>
      <c r="C204" s="30">
        <v>1</v>
      </c>
      <c r="D204" s="30">
        <v>1</v>
      </c>
      <c r="E204" s="31" t="s">
        <v>727</v>
      </c>
      <c r="F204" s="30">
        <v>1</v>
      </c>
      <c r="G204" s="30">
        <v>500</v>
      </c>
      <c r="H204" s="30" t="s">
        <v>697</v>
      </c>
      <c r="I204" s="30" t="s">
        <v>698</v>
      </c>
      <c r="J204" s="30" t="s">
        <v>699</v>
      </c>
      <c r="K204" s="30">
        <v>3080001</v>
      </c>
      <c r="L204" s="30" t="s">
        <v>605</v>
      </c>
      <c r="M204" s="30">
        <v>3580001</v>
      </c>
    </row>
    <row r="205" spans="1:13" x14ac:dyDescent="0.3">
      <c r="A205" s="30">
        <v>903020202</v>
      </c>
      <c r="B205" s="30">
        <v>90302</v>
      </c>
      <c r="C205" s="30">
        <v>2</v>
      </c>
      <c r="D205" s="30">
        <v>2</v>
      </c>
      <c r="E205" s="31">
        <v>903020202</v>
      </c>
      <c r="F205" s="30">
        <v>1</v>
      </c>
      <c r="G205" s="30">
        <v>500</v>
      </c>
      <c r="H205" s="30" t="s">
        <v>700</v>
      </c>
      <c r="I205" s="30" t="s">
        <v>701</v>
      </c>
      <c r="J205" s="30" t="s">
        <v>702</v>
      </c>
      <c r="K205" s="32" t="s">
        <v>556</v>
      </c>
      <c r="L205" s="30" t="s">
        <v>605</v>
      </c>
      <c r="M205" s="30">
        <v>3580002</v>
      </c>
    </row>
    <row r="206" spans="1:13" x14ac:dyDescent="0.3">
      <c r="A206" s="30">
        <v>903020302</v>
      </c>
      <c r="B206" s="30">
        <v>90302</v>
      </c>
      <c r="C206" s="30">
        <v>3</v>
      </c>
      <c r="D206" s="30">
        <v>2</v>
      </c>
      <c r="E206" s="31">
        <v>903020302</v>
      </c>
      <c r="F206" s="30">
        <v>1</v>
      </c>
      <c r="G206" s="30">
        <v>500</v>
      </c>
      <c r="H206" s="30" t="s">
        <v>703</v>
      </c>
      <c r="I206" s="30" t="s">
        <v>704</v>
      </c>
      <c r="J206" s="30" t="s">
        <v>705</v>
      </c>
      <c r="K206" s="30">
        <v>3080102</v>
      </c>
      <c r="L206" s="30" t="s">
        <v>605</v>
      </c>
      <c r="M206" s="30">
        <v>3580003</v>
      </c>
    </row>
    <row r="207" spans="1:13" x14ac:dyDescent="0.3">
      <c r="A207" s="30">
        <v>903020403</v>
      </c>
      <c r="B207" s="30">
        <v>90302</v>
      </c>
      <c r="C207" s="30">
        <v>4</v>
      </c>
      <c r="D207" s="30">
        <v>3</v>
      </c>
      <c r="E207" s="31">
        <v>903020403</v>
      </c>
      <c r="F207" s="30">
        <v>1</v>
      </c>
      <c r="G207" s="30">
        <v>500</v>
      </c>
      <c r="H207" s="30" t="s">
        <v>706</v>
      </c>
      <c r="I207" s="30" t="s">
        <v>707</v>
      </c>
      <c r="J207" s="30" t="s">
        <v>708</v>
      </c>
      <c r="K207" s="30">
        <v>3080102</v>
      </c>
      <c r="L207" s="30" t="s">
        <v>605</v>
      </c>
      <c r="M207" s="30">
        <v>3580002</v>
      </c>
    </row>
    <row r="208" spans="1:13" x14ac:dyDescent="0.3">
      <c r="A208" s="30">
        <v>903020503</v>
      </c>
      <c r="B208" s="30">
        <v>90302</v>
      </c>
      <c r="C208" s="30">
        <v>5</v>
      </c>
      <c r="D208" s="30">
        <v>3</v>
      </c>
      <c r="E208" s="31">
        <v>903020503</v>
      </c>
      <c r="F208" s="30">
        <v>1</v>
      </c>
      <c r="G208" s="30">
        <v>500</v>
      </c>
      <c r="H208" s="30" t="s">
        <v>709</v>
      </c>
      <c r="I208" s="30" t="s">
        <v>710</v>
      </c>
      <c r="J208" s="30" t="s">
        <v>711</v>
      </c>
      <c r="K208" s="30">
        <v>3080102</v>
      </c>
      <c r="L208" s="30" t="s">
        <v>605</v>
      </c>
      <c r="M208" s="30">
        <v>3580003</v>
      </c>
    </row>
    <row r="209" spans="1:13" x14ac:dyDescent="0.3">
      <c r="A209" s="30">
        <v>903020604</v>
      </c>
      <c r="B209" s="30">
        <v>90302</v>
      </c>
      <c r="C209" s="30">
        <v>6</v>
      </c>
      <c r="D209" s="30">
        <v>4</v>
      </c>
      <c r="E209" s="31">
        <v>903020604</v>
      </c>
      <c r="F209" s="30">
        <v>1</v>
      </c>
      <c r="G209" s="30">
        <v>500</v>
      </c>
      <c r="H209" s="30" t="s">
        <v>712</v>
      </c>
      <c r="I209" s="30" t="s">
        <v>713</v>
      </c>
      <c r="J209" s="30" t="s">
        <v>714</v>
      </c>
      <c r="K209" s="30">
        <v>3080102</v>
      </c>
      <c r="L209" s="30" t="s">
        <v>605</v>
      </c>
      <c r="M209" s="30">
        <v>3580002</v>
      </c>
    </row>
    <row r="210" spans="1:13" x14ac:dyDescent="0.3">
      <c r="A210" s="30">
        <v>903020704</v>
      </c>
      <c r="B210" s="30">
        <v>90302</v>
      </c>
      <c r="C210" s="30">
        <v>7</v>
      </c>
      <c r="D210" s="30">
        <v>4</v>
      </c>
      <c r="E210" s="31">
        <v>903020704</v>
      </c>
      <c r="F210" s="30">
        <v>1</v>
      </c>
      <c r="G210" s="30">
        <v>500</v>
      </c>
      <c r="H210" s="30" t="s">
        <v>715</v>
      </c>
      <c r="I210" s="30" t="s">
        <v>716</v>
      </c>
      <c r="J210" s="30" t="s">
        <v>717</v>
      </c>
      <c r="K210" s="30">
        <v>3080102</v>
      </c>
      <c r="L210" s="30" t="s">
        <v>605</v>
      </c>
      <c r="M210" s="30">
        <v>3580003</v>
      </c>
    </row>
    <row r="211" spans="1:13" x14ac:dyDescent="0.3">
      <c r="A211" s="30">
        <v>903020805</v>
      </c>
      <c r="B211" s="30">
        <v>90302</v>
      </c>
      <c r="C211" s="30">
        <v>8</v>
      </c>
      <c r="D211" s="30">
        <v>5</v>
      </c>
      <c r="E211" s="31">
        <v>903020805</v>
      </c>
      <c r="F211" s="30">
        <v>1</v>
      </c>
      <c r="G211" s="30">
        <v>500</v>
      </c>
      <c r="H211" s="30" t="s">
        <v>718</v>
      </c>
      <c r="I211" s="30" t="s">
        <v>719</v>
      </c>
      <c r="J211" s="30" t="s">
        <v>720</v>
      </c>
      <c r="K211" s="33" t="s">
        <v>557</v>
      </c>
      <c r="L211" s="30" t="s">
        <v>605</v>
      </c>
      <c r="M211" s="32">
        <v>3580001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C65A-BAE9-422E-80F8-07D137BB1D17}">
  <sheetPr codeName="Sheet2"/>
  <dimension ref="A2:W175"/>
  <sheetViews>
    <sheetView zoomScale="130" zoomScaleNormal="130" workbookViewId="0">
      <pane ySplit="2" topLeftCell="A15" activePane="bottomLeft" state="frozen"/>
      <selection pane="bottomLeft" activeCell="N22" sqref="N22"/>
    </sheetView>
  </sheetViews>
  <sheetFormatPr defaultColWidth="9" defaultRowHeight="11.25" x14ac:dyDescent="0.15"/>
  <cols>
    <col min="1" max="1" width="2.625" style="1" bestFit="1" customWidth="1"/>
    <col min="2" max="2" width="15" style="1" customWidth="1"/>
    <col min="3" max="3" width="10.25" style="1" customWidth="1"/>
    <col min="4" max="4" width="13.875" style="1" bestFit="1" customWidth="1"/>
    <col min="5" max="6" width="13.875" style="1" customWidth="1"/>
    <col min="7" max="7" width="9" style="1"/>
    <col min="8" max="8" width="12.75" style="12" customWidth="1"/>
    <col min="9" max="13" width="9" style="1"/>
    <col min="14" max="14" width="9.625" style="1" bestFit="1" customWidth="1"/>
    <col min="15" max="15" width="12.25" style="1" bestFit="1" customWidth="1"/>
    <col min="16" max="16" width="9.625" style="1" bestFit="1" customWidth="1"/>
    <col min="17" max="17" width="15.5" style="1" bestFit="1" customWidth="1"/>
    <col min="18" max="18" width="9.625" style="1" bestFit="1" customWidth="1"/>
    <col min="19" max="19" width="15.5" style="1" bestFit="1" customWidth="1"/>
    <col min="20" max="20" width="9.625" style="1" bestFit="1" customWidth="1"/>
    <col min="21" max="21" width="15.5" style="1" bestFit="1" customWidth="1"/>
    <col min="22" max="22" width="9.625" style="1" bestFit="1" customWidth="1"/>
    <col min="23" max="23" width="15.5" style="1" bestFit="1" customWidth="1"/>
    <col min="24" max="16384" width="9" style="1"/>
  </cols>
  <sheetData>
    <row r="2" spans="1:23" x14ac:dyDescent="0.15">
      <c r="B2" s="1" t="s">
        <v>60</v>
      </c>
      <c r="E2" s="1">
        <f>SUM(E3:E7)</f>
        <v>1100</v>
      </c>
    </row>
    <row r="3" spans="1:23" ht="33.75" x14ac:dyDescent="0.15">
      <c r="A3" s="1">
        <v>1</v>
      </c>
      <c r="B3" s="2" t="s">
        <v>102</v>
      </c>
      <c r="C3" s="9" t="s">
        <v>132</v>
      </c>
      <c r="D3" s="1">
        <v>3040101</v>
      </c>
      <c r="E3" s="1">
        <v>80</v>
      </c>
      <c r="F3" s="1" t="str">
        <f>D3&amp;":"&amp;E3</f>
        <v>3040101:80</v>
      </c>
      <c r="H3" s="12" t="str">
        <f>_xlfn.TEXTJOIN("_",TRUE,F3:G3)</f>
        <v>3040101:80</v>
      </c>
      <c r="J3" s="1" t="s">
        <v>59</v>
      </c>
      <c r="N3" s="3">
        <v>3040301</v>
      </c>
      <c r="O3" s="4" t="s">
        <v>61</v>
      </c>
      <c r="P3" s="3">
        <v>3050001</v>
      </c>
      <c r="Q3" s="4" t="s">
        <v>74</v>
      </c>
      <c r="R3" s="3">
        <v>3060001</v>
      </c>
      <c r="S3" s="4" t="s">
        <v>80</v>
      </c>
      <c r="T3" s="3">
        <v>3070001</v>
      </c>
      <c r="U3" s="4" t="s">
        <v>86</v>
      </c>
      <c r="V3" s="3">
        <v>3080001</v>
      </c>
      <c r="W3" s="4" t="s">
        <v>92</v>
      </c>
    </row>
    <row r="4" spans="1:23" ht="12" customHeight="1" x14ac:dyDescent="0.15">
      <c r="A4" s="1">
        <f>A3+1</f>
        <v>2</v>
      </c>
      <c r="B4" s="2" t="s">
        <v>103</v>
      </c>
      <c r="C4" s="9" t="s">
        <v>132</v>
      </c>
      <c r="D4" s="1">
        <v>3040101</v>
      </c>
      <c r="E4" s="1">
        <v>140</v>
      </c>
      <c r="F4" s="1" t="str">
        <f>D4&amp;":"&amp;E4</f>
        <v>3040101:140</v>
      </c>
      <c r="H4" s="12" t="str">
        <f>_xlfn.TEXTJOIN("_",TRUE,F4:G4)</f>
        <v>3040101:140</v>
      </c>
      <c r="J4" s="1" t="s">
        <v>186</v>
      </c>
      <c r="N4" s="3">
        <v>3040401</v>
      </c>
      <c r="O4" s="4" t="s">
        <v>62</v>
      </c>
      <c r="P4" s="3">
        <v>3050101</v>
      </c>
      <c r="Q4" s="4" t="s">
        <v>75</v>
      </c>
      <c r="R4" s="3">
        <v>3060101</v>
      </c>
      <c r="S4" s="4" t="s">
        <v>81</v>
      </c>
      <c r="T4" s="3">
        <v>3070101</v>
      </c>
      <c r="U4" s="4" t="s">
        <v>87</v>
      </c>
      <c r="V4" s="3">
        <v>3080101</v>
      </c>
      <c r="W4" s="4" t="s">
        <v>93</v>
      </c>
    </row>
    <row r="5" spans="1:23" x14ac:dyDescent="0.15">
      <c r="A5" s="1">
        <f t="shared" ref="A5:A11" si="0">A4+1</f>
        <v>3</v>
      </c>
      <c r="B5" s="5" t="s">
        <v>104</v>
      </c>
      <c r="C5" s="10" t="s">
        <v>132</v>
      </c>
      <c r="D5" s="1">
        <v>3040101</v>
      </c>
      <c r="E5" s="1">
        <v>190</v>
      </c>
      <c r="F5" s="1" t="str">
        <f>D5&amp;":"&amp;E5</f>
        <v>3040101:190</v>
      </c>
      <c r="H5" s="12" t="str">
        <f t="shared" ref="H5:H67" si="1">_xlfn.TEXTJOIN("_",TRUE,F5:G5)</f>
        <v>3040101:190</v>
      </c>
      <c r="J5" s="1" t="s">
        <v>190</v>
      </c>
      <c r="N5" s="3">
        <v>3040501</v>
      </c>
      <c r="O5" s="4" t="s">
        <v>63</v>
      </c>
      <c r="P5" s="3">
        <v>3050102</v>
      </c>
      <c r="Q5" s="4" t="s">
        <v>75</v>
      </c>
      <c r="R5" s="3">
        <v>3060102</v>
      </c>
      <c r="S5" s="4" t="s">
        <v>81</v>
      </c>
      <c r="T5" s="3">
        <v>3070102</v>
      </c>
      <c r="U5" s="4" t="s">
        <v>87</v>
      </c>
      <c r="V5" s="3">
        <v>3080102</v>
      </c>
      <c r="W5" s="4" t="s">
        <v>93</v>
      </c>
    </row>
    <row r="6" spans="1:23" x14ac:dyDescent="0.15">
      <c r="A6" s="1">
        <f t="shared" si="0"/>
        <v>4</v>
      </c>
      <c r="B6" s="5" t="s">
        <v>105</v>
      </c>
      <c r="C6" s="10" t="s">
        <v>132</v>
      </c>
      <c r="D6" s="1">
        <v>3040101</v>
      </c>
      <c r="E6" s="1">
        <v>280</v>
      </c>
      <c r="F6" s="1" t="str">
        <f>D6&amp;":"&amp;E6</f>
        <v>3040101:280</v>
      </c>
      <c r="H6" s="12" t="str">
        <f t="shared" si="1"/>
        <v>3040101:280</v>
      </c>
      <c r="J6" s="1" t="s">
        <v>191</v>
      </c>
      <c r="N6" s="3">
        <v>3040601</v>
      </c>
      <c r="O6" s="4" t="s">
        <v>64</v>
      </c>
      <c r="P6" s="3">
        <v>3050301</v>
      </c>
      <c r="Q6" s="4" t="s">
        <v>76</v>
      </c>
      <c r="R6" s="3">
        <v>3060301</v>
      </c>
      <c r="S6" s="4" t="s">
        <v>82</v>
      </c>
      <c r="T6" s="3">
        <v>3070301</v>
      </c>
      <c r="U6" s="4" t="s">
        <v>88</v>
      </c>
      <c r="V6" s="3">
        <v>3080301</v>
      </c>
      <c r="W6" s="4" t="s">
        <v>94</v>
      </c>
    </row>
    <row r="7" spans="1:23" x14ac:dyDescent="0.15">
      <c r="A7" s="1">
        <f t="shared" si="0"/>
        <v>5</v>
      </c>
      <c r="B7" s="5" t="s">
        <v>106</v>
      </c>
      <c r="C7" s="10" t="s">
        <v>132</v>
      </c>
      <c r="D7" s="1">
        <v>3040101</v>
      </c>
      <c r="E7" s="1">
        <v>410</v>
      </c>
      <c r="F7" s="1" t="str">
        <f>D7&amp;":"&amp;E7</f>
        <v>3040101:410</v>
      </c>
      <c r="H7" s="12" t="str">
        <f t="shared" si="1"/>
        <v>3040101:410</v>
      </c>
      <c r="J7" s="1" t="s">
        <v>192</v>
      </c>
      <c r="N7" s="3">
        <v>3040701</v>
      </c>
      <c r="O7" s="4" t="s">
        <v>65</v>
      </c>
      <c r="P7" s="3">
        <v>3050401</v>
      </c>
      <c r="Q7" s="4" t="s">
        <v>77</v>
      </c>
      <c r="R7" s="3">
        <v>3060401</v>
      </c>
      <c r="S7" s="4" t="s">
        <v>83</v>
      </c>
      <c r="T7" s="3">
        <v>3070401</v>
      </c>
      <c r="U7" s="4" t="s">
        <v>89</v>
      </c>
      <c r="V7" s="3">
        <v>3080401</v>
      </c>
      <c r="W7" s="4" t="s">
        <v>95</v>
      </c>
    </row>
    <row r="8" spans="1:23" x14ac:dyDescent="0.15">
      <c r="A8" s="1">
        <f t="shared" si="0"/>
        <v>6</v>
      </c>
      <c r="B8" s="5" t="s">
        <v>107</v>
      </c>
      <c r="C8" s="5" t="s">
        <v>132</v>
      </c>
      <c r="D8" s="1">
        <v>3040102</v>
      </c>
      <c r="E8" s="1">
        <v>3000</v>
      </c>
      <c r="F8" s="1" t="str">
        <f t="shared" ref="F8:F67" si="2">D8&amp;":"&amp;E8</f>
        <v>3040102:3000</v>
      </c>
      <c r="H8" s="12" t="str">
        <f t="shared" si="1"/>
        <v>3040102:3000</v>
      </c>
      <c r="J8" s="1" t="s">
        <v>165</v>
      </c>
      <c r="N8" s="3">
        <v>3040801</v>
      </c>
      <c r="O8" s="4" t="s">
        <v>66</v>
      </c>
      <c r="P8" s="3">
        <v>3050501</v>
      </c>
      <c r="Q8" s="4" t="s">
        <v>78</v>
      </c>
      <c r="R8" s="3">
        <v>3060501</v>
      </c>
      <c r="S8" s="4" t="s">
        <v>84</v>
      </c>
      <c r="T8" s="3">
        <v>3070501</v>
      </c>
      <c r="U8" s="4" t="s">
        <v>90</v>
      </c>
      <c r="V8" s="3">
        <v>3080501</v>
      </c>
      <c r="W8" s="4" t="s">
        <v>96</v>
      </c>
    </row>
    <row r="9" spans="1:23" ht="45" x14ac:dyDescent="0.15">
      <c r="A9" s="1">
        <f t="shared" si="0"/>
        <v>7</v>
      </c>
      <c r="B9" s="2" t="s">
        <v>108</v>
      </c>
      <c r="C9" s="2" t="s">
        <v>132</v>
      </c>
      <c r="D9" s="1">
        <v>3040102</v>
      </c>
      <c r="E9" s="1">
        <v>5000</v>
      </c>
      <c r="F9" s="1" t="str">
        <f t="shared" si="2"/>
        <v>3040102:5000</v>
      </c>
      <c r="H9" s="12" t="str">
        <f t="shared" si="1"/>
        <v>3040102:5000</v>
      </c>
      <c r="J9" s="1" t="s">
        <v>129</v>
      </c>
      <c r="N9" s="3">
        <v>3040901</v>
      </c>
      <c r="O9" s="4" t="s">
        <v>67</v>
      </c>
      <c r="P9" s="3">
        <v>3050601</v>
      </c>
      <c r="Q9" s="4" t="s">
        <v>79</v>
      </c>
      <c r="R9" s="3">
        <v>3060601</v>
      </c>
      <c r="S9" s="4" t="s">
        <v>85</v>
      </c>
      <c r="T9" s="3">
        <v>3070601</v>
      </c>
      <c r="U9" s="4" t="s">
        <v>91</v>
      </c>
      <c r="V9" s="3">
        <v>3080601</v>
      </c>
      <c r="W9" s="4" t="s">
        <v>97</v>
      </c>
    </row>
    <row r="10" spans="1:23" ht="13.5" customHeight="1" x14ac:dyDescent="0.15">
      <c r="A10" s="1">
        <f t="shared" si="0"/>
        <v>8</v>
      </c>
      <c r="B10" s="2" t="s">
        <v>109</v>
      </c>
      <c r="C10" s="2" t="s">
        <v>132</v>
      </c>
      <c r="D10" s="1">
        <v>3040102</v>
      </c>
      <c r="E10" s="1">
        <v>7000</v>
      </c>
      <c r="F10" s="1" t="str">
        <f t="shared" si="2"/>
        <v>3040102:7000</v>
      </c>
      <c r="H10" s="12" t="str">
        <f t="shared" si="1"/>
        <v>3040102:7000</v>
      </c>
      <c r="J10" s="1" t="s">
        <v>193</v>
      </c>
      <c r="N10" s="3">
        <v>3041001</v>
      </c>
      <c r="O10" s="4" t="s">
        <v>68</v>
      </c>
      <c r="P10" s="1">
        <v>3050700</v>
      </c>
      <c r="Q10" s="1" t="s">
        <v>100</v>
      </c>
      <c r="R10" s="1" t="s">
        <v>124</v>
      </c>
    </row>
    <row r="11" spans="1:23" ht="33.75" x14ac:dyDescent="0.15">
      <c r="A11" s="1">
        <f t="shared" si="0"/>
        <v>9</v>
      </c>
      <c r="B11" s="2" t="s">
        <v>110</v>
      </c>
      <c r="C11" s="2" t="s">
        <v>132</v>
      </c>
      <c r="D11" s="1">
        <v>3040102</v>
      </c>
      <c r="E11" s="1">
        <v>10000</v>
      </c>
      <c r="F11" s="1" t="str">
        <f t="shared" si="2"/>
        <v>3040102:10000</v>
      </c>
      <c r="H11" s="12" t="str">
        <f t="shared" si="1"/>
        <v>3040102:10000</v>
      </c>
      <c r="J11" s="1" t="s">
        <v>194</v>
      </c>
      <c r="N11" s="3">
        <v>3041101</v>
      </c>
      <c r="O11" s="4" t="s">
        <v>69</v>
      </c>
      <c r="P11" s="1">
        <v>3050800</v>
      </c>
      <c r="Q11" s="1" t="s">
        <v>99</v>
      </c>
      <c r="R11" s="1" t="s">
        <v>120</v>
      </c>
    </row>
    <row r="12" spans="1:23" x14ac:dyDescent="0.15">
      <c r="C12" s="1" t="s">
        <v>132</v>
      </c>
      <c r="D12" s="1">
        <v>3040102</v>
      </c>
      <c r="E12" s="1">
        <v>15000</v>
      </c>
      <c r="F12" s="1" t="str">
        <f t="shared" si="2"/>
        <v>3040102:15000</v>
      </c>
      <c r="H12" s="12" t="str">
        <f t="shared" si="1"/>
        <v>3040102:15000</v>
      </c>
      <c r="J12" s="1" t="s">
        <v>195</v>
      </c>
      <c r="N12" s="3">
        <v>3041201</v>
      </c>
      <c r="O12" s="4" t="s">
        <v>70</v>
      </c>
      <c r="P12" s="1">
        <v>3050801</v>
      </c>
      <c r="Q12" s="1" t="s">
        <v>101</v>
      </c>
      <c r="R12" s="1" t="s">
        <v>125</v>
      </c>
    </row>
    <row r="13" spans="1:23" x14ac:dyDescent="0.15">
      <c r="C13" s="11" t="s">
        <v>133</v>
      </c>
      <c r="D13" s="1">
        <v>3040201</v>
      </c>
      <c r="E13" s="1">
        <v>80</v>
      </c>
      <c r="F13" s="1" t="str">
        <f t="shared" si="2"/>
        <v>3040201:80</v>
      </c>
      <c r="H13" s="12" t="str">
        <f t="shared" si="1"/>
        <v>3040201:80</v>
      </c>
      <c r="J13" s="1" t="s">
        <v>177</v>
      </c>
      <c r="N13" s="3">
        <v>3041301</v>
      </c>
      <c r="O13" s="4" t="s">
        <v>71</v>
      </c>
      <c r="P13" s="1">
        <v>3050802</v>
      </c>
      <c r="Q13" s="1" t="s">
        <v>98</v>
      </c>
      <c r="R13" s="1" t="s">
        <v>126</v>
      </c>
    </row>
    <row r="14" spans="1:23" x14ac:dyDescent="0.15">
      <c r="C14" s="11" t="s">
        <v>133</v>
      </c>
      <c r="D14" s="1">
        <v>3040201</v>
      </c>
      <c r="E14" s="1">
        <v>140</v>
      </c>
      <c r="F14" s="1" t="str">
        <f t="shared" si="2"/>
        <v>3040201:140</v>
      </c>
      <c r="H14" s="12" t="str">
        <f t="shared" si="1"/>
        <v>3040201:140</v>
      </c>
      <c r="J14" s="1" t="s">
        <v>166</v>
      </c>
      <c r="N14" s="3">
        <v>3041401</v>
      </c>
      <c r="O14" s="4" t="s">
        <v>72</v>
      </c>
      <c r="P14" s="1">
        <v>3050900</v>
      </c>
      <c r="Q14" s="1" t="s">
        <v>123</v>
      </c>
      <c r="R14" s="1" t="s">
        <v>124</v>
      </c>
    </row>
    <row r="15" spans="1:23" x14ac:dyDescent="0.15">
      <c r="C15" s="11" t="s">
        <v>133</v>
      </c>
      <c r="D15" s="1">
        <v>3040201</v>
      </c>
      <c r="E15" s="1">
        <v>190</v>
      </c>
      <c r="F15" s="1" t="str">
        <f t="shared" si="2"/>
        <v>3040201:190</v>
      </c>
      <c r="H15" s="12" t="str">
        <f t="shared" si="1"/>
        <v>3040201:190</v>
      </c>
      <c r="J15" s="1" t="s">
        <v>196</v>
      </c>
      <c r="N15" s="3">
        <v>3041501</v>
      </c>
      <c r="O15" s="4" t="s">
        <v>73</v>
      </c>
      <c r="P15" s="1">
        <v>3051000</v>
      </c>
      <c r="Q15" s="1" t="s">
        <v>111</v>
      </c>
      <c r="R15" s="1" t="s">
        <v>120</v>
      </c>
    </row>
    <row r="16" spans="1:23" x14ac:dyDescent="0.15">
      <c r="C16" s="11" t="s">
        <v>133</v>
      </c>
      <c r="D16" s="1">
        <v>3040201</v>
      </c>
      <c r="E16" s="1">
        <v>280</v>
      </c>
      <c r="F16" s="1" t="str">
        <f t="shared" si="2"/>
        <v>3040201:280</v>
      </c>
      <c r="H16" s="12" t="str">
        <f t="shared" si="1"/>
        <v>3040201:280</v>
      </c>
      <c r="J16" s="1" t="s">
        <v>197</v>
      </c>
      <c r="P16" s="1">
        <f>P15+1</f>
        <v>3051001</v>
      </c>
      <c r="Q16" s="1" t="s">
        <v>112</v>
      </c>
      <c r="R16" s="1" t="s">
        <v>127</v>
      </c>
    </row>
    <row r="17" spans="3:18" x14ac:dyDescent="0.15">
      <c r="C17" s="11" t="s">
        <v>133</v>
      </c>
      <c r="D17" s="1">
        <v>3040201</v>
      </c>
      <c r="E17" s="1">
        <v>410</v>
      </c>
      <c r="F17" s="1" t="str">
        <f t="shared" si="2"/>
        <v>3040201:410</v>
      </c>
      <c r="H17" s="12" t="str">
        <f t="shared" si="1"/>
        <v>3040201:410</v>
      </c>
      <c r="J17" s="1" t="s">
        <v>198</v>
      </c>
      <c r="P17" s="1">
        <f>P16+1</f>
        <v>3051002</v>
      </c>
      <c r="Q17" s="1" t="s">
        <v>113</v>
      </c>
      <c r="R17" s="1" t="s">
        <v>128</v>
      </c>
    </row>
    <row r="18" spans="3:18" x14ac:dyDescent="0.15">
      <c r="C18" s="1" t="s">
        <v>133</v>
      </c>
      <c r="D18" s="1">
        <v>3040202</v>
      </c>
      <c r="E18" s="1">
        <v>3000</v>
      </c>
      <c r="F18" s="1" t="str">
        <f t="shared" si="2"/>
        <v>3040202:3000</v>
      </c>
      <c r="H18" s="12" t="str">
        <f t="shared" si="1"/>
        <v>3040202:3000</v>
      </c>
      <c r="J18" s="1" t="s">
        <v>183</v>
      </c>
      <c r="P18" s="1">
        <v>3051000</v>
      </c>
      <c r="Q18" s="1" t="s">
        <v>114</v>
      </c>
      <c r="R18" s="1" t="s">
        <v>124</v>
      </c>
    </row>
    <row r="19" spans="3:18" x14ac:dyDescent="0.15">
      <c r="C19" s="1" t="s">
        <v>133</v>
      </c>
      <c r="D19" s="1">
        <v>3040202</v>
      </c>
      <c r="E19" s="1">
        <v>5000</v>
      </c>
      <c r="F19" s="1" t="str">
        <f t="shared" si="2"/>
        <v>3040202:5000</v>
      </c>
      <c r="H19" s="12" t="str">
        <f t="shared" si="1"/>
        <v>3040202:5000</v>
      </c>
      <c r="J19" s="1" t="s">
        <v>178</v>
      </c>
      <c r="P19" s="1">
        <f>P18+1</f>
        <v>3051001</v>
      </c>
      <c r="Q19" s="1" t="s">
        <v>115</v>
      </c>
      <c r="R19" s="1" t="s">
        <v>121</v>
      </c>
    </row>
    <row r="20" spans="3:18" x14ac:dyDescent="0.15">
      <c r="C20" s="1" t="s">
        <v>133</v>
      </c>
      <c r="D20" s="1">
        <v>3040202</v>
      </c>
      <c r="E20" s="1">
        <v>7000</v>
      </c>
      <c r="F20" s="1" t="str">
        <f t="shared" si="2"/>
        <v>3040202:7000</v>
      </c>
      <c r="H20" s="12" t="str">
        <f t="shared" si="1"/>
        <v>3040202:7000</v>
      </c>
      <c r="J20" s="1" t="s">
        <v>199</v>
      </c>
      <c r="P20" s="1">
        <f>P19+1</f>
        <v>3051002</v>
      </c>
      <c r="Q20" s="1" t="s">
        <v>119</v>
      </c>
      <c r="R20" s="1" t="s">
        <v>122</v>
      </c>
    </row>
    <row r="21" spans="3:18" x14ac:dyDescent="0.15">
      <c r="C21" s="1" t="s">
        <v>133</v>
      </c>
      <c r="D21" s="1">
        <v>3040202</v>
      </c>
      <c r="E21" s="1">
        <v>10000</v>
      </c>
      <c r="F21" s="1" t="str">
        <f t="shared" si="2"/>
        <v>3040202:10000</v>
      </c>
      <c r="H21" s="12" t="str">
        <f t="shared" si="1"/>
        <v>3040202:10000</v>
      </c>
      <c r="J21" s="1" t="s">
        <v>200</v>
      </c>
      <c r="P21" s="1">
        <f>P20+1</f>
        <v>3051003</v>
      </c>
    </row>
    <row r="22" spans="3:18" x14ac:dyDescent="0.15">
      <c r="C22" s="1" t="s">
        <v>133</v>
      </c>
      <c r="D22" s="1">
        <v>3040202</v>
      </c>
      <c r="E22" s="1">
        <v>15000</v>
      </c>
      <c r="F22" s="1" t="str">
        <f t="shared" si="2"/>
        <v>3040202:15000</v>
      </c>
      <c r="H22" s="12" t="str">
        <f t="shared" si="1"/>
        <v>3040202:15000</v>
      </c>
      <c r="J22" s="1" t="s">
        <v>201</v>
      </c>
      <c r="N22" s="1" t="str">
        <f>_xlfn.TEXTJOIN(",",TRUE,N23:N43)</f>
        <v>1010901,1010902,1010903,1010904,1010905,905010101,905010202,905010302,905010403,905010503,905010604,905010704,905010805,901010101,901010202,901010302,901010403,901010503,901010604,901010704,901010805</v>
      </c>
      <c r="P22" s="1">
        <v>3051100</v>
      </c>
      <c r="Q22" s="1" t="s">
        <v>116</v>
      </c>
    </row>
    <row r="23" spans="3:18" x14ac:dyDescent="0.15">
      <c r="C23" s="1" t="s">
        <v>134</v>
      </c>
      <c r="D23" s="1">
        <v>3040301</v>
      </c>
      <c r="E23" s="1">
        <v>3000</v>
      </c>
      <c r="F23" s="1" t="str">
        <f t="shared" si="2"/>
        <v>3040301:3000</v>
      </c>
      <c r="H23" s="12" t="str">
        <f t="shared" si="1"/>
        <v>3040301:3000</v>
      </c>
      <c r="J23" s="1" t="s">
        <v>187</v>
      </c>
      <c r="N23" s="7">
        <v>1010901</v>
      </c>
      <c r="O23" s="7" t="s">
        <v>575</v>
      </c>
      <c r="P23" s="1">
        <v>3051101</v>
      </c>
      <c r="Q23" s="1" t="s">
        <v>117</v>
      </c>
    </row>
    <row r="24" spans="3:18" x14ac:dyDescent="0.15">
      <c r="C24" s="1" t="s">
        <v>134</v>
      </c>
      <c r="D24" s="1">
        <v>3040301</v>
      </c>
      <c r="E24" s="1">
        <v>5000</v>
      </c>
      <c r="F24" s="1" t="str">
        <f t="shared" si="2"/>
        <v>3040301:5000</v>
      </c>
      <c r="H24" s="12" t="str">
        <f t="shared" si="1"/>
        <v>3040301:5000</v>
      </c>
      <c r="J24" s="1" t="s">
        <v>184</v>
      </c>
      <c r="N24" s="7">
        <v>1010902</v>
      </c>
      <c r="O24" s="7" t="s">
        <v>575</v>
      </c>
      <c r="P24" s="1">
        <f>P23+1</f>
        <v>3051102</v>
      </c>
      <c r="Q24" s="1" t="s">
        <v>118</v>
      </c>
    </row>
    <row r="25" spans="3:18" x14ac:dyDescent="0.15">
      <c r="C25" s="1" t="s">
        <v>134</v>
      </c>
      <c r="D25" s="1">
        <v>3040301</v>
      </c>
      <c r="E25" s="1">
        <v>7000</v>
      </c>
      <c r="F25" s="1" t="str">
        <f t="shared" si="2"/>
        <v>3040301:7000</v>
      </c>
      <c r="H25" s="12" t="str">
        <f t="shared" si="1"/>
        <v>3040301:7000</v>
      </c>
      <c r="J25" s="1" t="s">
        <v>202</v>
      </c>
      <c r="N25" s="7">
        <v>1010903</v>
      </c>
      <c r="O25" s="7" t="s">
        <v>575</v>
      </c>
      <c r="P25" s="1">
        <v>3051200</v>
      </c>
    </row>
    <row r="26" spans="3:18" x14ac:dyDescent="0.15">
      <c r="C26" s="1" t="s">
        <v>134</v>
      </c>
      <c r="D26" s="1">
        <v>3040301</v>
      </c>
      <c r="E26" s="1">
        <v>10000</v>
      </c>
      <c r="F26" s="1" t="str">
        <f t="shared" si="2"/>
        <v>3040301:10000</v>
      </c>
      <c r="H26" s="12" t="str">
        <f t="shared" si="1"/>
        <v>3040301:10000</v>
      </c>
      <c r="J26" s="1" t="s">
        <v>203</v>
      </c>
      <c r="N26" s="7">
        <v>1010904</v>
      </c>
      <c r="O26" s="7" t="s">
        <v>575</v>
      </c>
    </row>
    <row r="27" spans="3:18" x14ac:dyDescent="0.15">
      <c r="C27" s="1" t="s">
        <v>134</v>
      </c>
      <c r="D27" s="1">
        <v>3040301</v>
      </c>
      <c r="E27" s="1">
        <v>15000</v>
      </c>
      <c r="F27" s="1" t="str">
        <f t="shared" si="2"/>
        <v>3040301:15000</v>
      </c>
      <c r="H27" s="12" t="str">
        <f t="shared" si="1"/>
        <v>3040301:15000</v>
      </c>
      <c r="J27" s="1" t="s">
        <v>204</v>
      </c>
      <c r="N27" s="7">
        <v>1010905</v>
      </c>
      <c r="O27" s="7" t="s">
        <v>575</v>
      </c>
    </row>
    <row r="28" spans="3:18" x14ac:dyDescent="0.15">
      <c r="C28" s="8" t="s">
        <v>135</v>
      </c>
      <c r="D28" s="1">
        <v>3040501</v>
      </c>
      <c r="E28" s="1">
        <v>80</v>
      </c>
      <c r="F28" s="1" t="str">
        <f t="shared" si="2"/>
        <v>3040501:80</v>
      </c>
      <c r="H28" s="12" t="str">
        <f t="shared" si="1"/>
        <v>3040501:80</v>
      </c>
      <c r="J28" s="1" t="s">
        <v>153</v>
      </c>
      <c r="N28" s="12">
        <v>905010101</v>
      </c>
      <c r="O28" s="12" t="s">
        <v>535</v>
      </c>
    </row>
    <row r="29" spans="3:18" x14ac:dyDescent="0.15">
      <c r="C29" s="8" t="s">
        <v>135</v>
      </c>
      <c r="D29" s="1">
        <v>3040501</v>
      </c>
      <c r="E29" s="1">
        <v>140</v>
      </c>
      <c r="F29" s="1" t="str">
        <f t="shared" si="2"/>
        <v>3040501:140</v>
      </c>
      <c r="H29" s="12" t="str">
        <f t="shared" si="1"/>
        <v>3040501:140</v>
      </c>
      <c r="J29" s="1" t="s">
        <v>188</v>
      </c>
      <c r="N29" s="12">
        <v>905010202</v>
      </c>
      <c r="O29" s="12" t="s">
        <v>536</v>
      </c>
    </row>
    <row r="30" spans="3:18" x14ac:dyDescent="0.15">
      <c r="C30" s="8" t="s">
        <v>135</v>
      </c>
      <c r="D30" s="1">
        <v>3040501</v>
      </c>
      <c r="E30" s="1">
        <v>190</v>
      </c>
      <c r="F30" s="1" t="str">
        <f t="shared" si="2"/>
        <v>3040501:190</v>
      </c>
      <c r="H30" s="12" t="str">
        <f t="shared" si="1"/>
        <v>3040501:190</v>
      </c>
      <c r="J30" s="1" t="s">
        <v>205</v>
      </c>
      <c r="N30" s="12">
        <v>905010302</v>
      </c>
      <c r="O30" s="12" t="s">
        <v>537</v>
      </c>
    </row>
    <row r="31" spans="3:18" x14ac:dyDescent="0.15">
      <c r="C31" s="8" t="s">
        <v>135</v>
      </c>
      <c r="D31" s="1">
        <v>3040501</v>
      </c>
      <c r="E31" s="1">
        <v>280</v>
      </c>
      <c r="F31" s="1" t="str">
        <f t="shared" si="2"/>
        <v>3040501:280</v>
      </c>
      <c r="H31" s="12" t="str">
        <f t="shared" si="1"/>
        <v>3040501:280</v>
      </c>
      <c r="J31" s="1" t="s">
        <v>206</v>
      </c>
      <c r="N31" s="12">
        <v>905010403</v>
      </c>
      <c r="O31" s="12" t="s">
        <v>538</v>
      </c>
    </row>
    <row r="32" spans="3:18" x14ac:dyDescent="0.15">
      <c r="C32" s="8" t="s">
        <v>135</v>
      </c>
      <c r="D32" s="1">
        <v>3040501</v>
      </c>
      <c r="E32" s="1">
        <v>410</v>
      </c>
      <c r="F32" s="1" t="str">
        <f t="shared" si="2"/>
        <v>3040501:410</v>
      </c>
      <c r="H32" s="12" t="str">
        <f t="shared" si="1"/>
        <v>3040501:410</v>
      </c>
      <c r="J32" s="1" t="s">
        <v>207</v>
      </c>
      <c r="N32" s="12">
        <v>905010503</v>
      </c>
      <c r="O32" s="12" t="s">
        <v>539</v>
      </c>
    </row>
    <row r="33" spans="3:15" x14ac:dyDescent="0.15">
      <c r="C33" s="1" t="s">
        <v>136</v>
      </c>
      <c r="D33" s="1">
        <v>3040701</v>
      </c>
      <c r="E33" s="1">
        <v>3000</v>
      </c>
      <c r="F33" s="1" t="str">
        <f t="shared" si="2"/>
        <v>3040701:3000</v>
      </c>
      <c r="H33" s="12" t="str">
        <f t="shared" si="1"/>
        <v>3040701:3000</v>
      </c>
      <c r="J33" s="1" t="s">
        <v>167</v>
      </c>
      <c r="N33" s="12">
        <v>905010604</v>
      </c>
      <c r="O33" s="12" t="s">
        <v>540</v>
      </c>
    </row>
    <row r="34" spans="3:15" x14ac:dyDescent="0.15">
      <c r="C34" s="1" t="s">
        <v>136</v>
      </c>
      <c r="D34" s="1">
        <v>3040701</v>
      </c>
      <c r="E34" s="1">
        <v>5000</v>
      </c>
      <c r="F34" s="1" t="str">
        <f t="shared" si="2"/>
        <v>3040701:5000</v>
      </c>
      <c r="H34" s="12" t="str">
        <f t="shared" si="1"/>
        <v>3040701:5000</v>
      </c>
      <c r="J34" s="1" t="s">
        <v>154</v>
      </c>
      <c r="N34" s="12">
        <v>905010704</v>
      </c>
      <c r="O34" s="12" t="s">
        <v>542</v>
      </c>
    </row>
    <row r="35" spans="3:15" x14ac:dyDescent="0.15">
      <c r="C35" s="1" t="s">
        <v>136</v>
      </c>
      <c r="D35" s="1">
        <v>3040701</v>
      </c>
      <c r="E35" s="1">
        <v>7000</v>
      </c>
      <c r="F35" s="1" t="str">
        <f t="shared" si="2"/>
        <v>3040701:7000</v>
      </c>
      <c r="H35" s="12" t="str">
        <f t="shared" si="1"/>
        <v>3040701:7000</v>
      </c>
      <c r="J35" s="1" t="s">
        <v>208</v>
      </c>
      <c r="N35" s="12">
        <v>905010805</v>
      </c>
      <c r="O35" s="12" t="s">
        <v>544</v>
      </c>
    </row>
    <row r="36" spans="3:15" x14ac:dyDescent="0.15">
      <c r="C36" s="1" t="s">
        <v>136</v>
      </c>
      <c r="D36" s="1">
        <v>3040701</v>
      </c>
      <c r="E36" s="1">
        <v>10000</v>
      </c>
      <c r="F36" s="1" t="str">
        <f t="shared" si="2"/>
        <v>3040701:10000</v>
      </c>
      <c r="H36" s="12" t="str">
        <f t="shared" si="1"/>
        <v>3040701:10000</v>
      </c>
      <c r="J36" s="1" t="s">
        <v>209</v>
      </c>
      <c r="N36" s="6">
        <v>901010101</v>
      </c>
      <c r="O36" s="6" t="s">
        <v>582</v>
      </c>
    </row>
    <row r="37" spans="3:15" x14ac:dyDescent="0.15">
      <c r="C37" s="1" t="s">
        <v>136</v>
      </c>
      <c r="D37" s="1">
        <v>3040701</v>
      </c>
      <c r="E37" s="1">
        <v>15000</v>
      </c>
      <c r="F37" s="1" t="str">
        <f t="shared" si="2"/>
        <v>3040701:15000</v>
      </c>
      <c r="H37" s="12" t="str">
        <f t="shared" si="1"/>
        <v>3040701:15000</v>
      </c>
      <c r="J37" s="1" t="s">
        <v>210</v>
      </c>
      <c r="N37" s="6">
        <v>901010202</v>
      </c>
      <c r="O37" s="6" t="s">
        <v>583</v>
      </c>
    </row>
    <row r="38" spans="3:15" x14ac:dyDescent="0.15">
      <c r="C38" s="1" t="s">
        <v>137</v>
      </c>
      <c r="D38" s="1">
        <v>3040901</v>
      </c>
      <c r="E38" s="1">
        <v>2000</v>
      </c>
      <c r="F38" s="1" t="str">
        <f t="shared" si="2"/>
        <v>3040901:2000</v>
      </c>
      <c r="H38" s="12" t="str">
        <f t="shared" si="1"/>
        <v>3040901:2000</v>
      </c>
      <c r="J38" s="1" t="s">
        <v>150</v>
      </c>
      <c r="N38" s="6">
        <v>901010302</v>
      </c>
      <c r="O38" s="6" t="s">
        <v>584</v>
      </c>
    </row>
    <row r="39" spans="3:15" x14ac:dyDescent="0.15">
      <c r="C39" s="1" t="s">
        <v>137</v>
      </c>
      <c r="D39" s="1">
        <v>3040901</v>
      </c>
      <c r="E39" s="1">
        <v>3000</v>
      </c>
      <c r="F39" s="1" t="str">
        <f t="shared" si="2"/>
        <v>3040901:3000</v>
      </c>
      <c r="H39" s="12" t="str">
        <f t="shared" si="1"/>
        <v>3040901:3000</v>
      </c>
      <c r="J39" s="1" t="s">
        <v>168</v>
      </c>
      <c r="N39" s="6">
        <v>901010403</v>
      </c>
      <c r="O39" s="6" t="s">
        <v>585</v>
      </c>
    </row>
    <row r="40" spans="3:15" x14ac:dyDescent="0.15">
      <c r="C40" s="1" t="s">
        <v>137</v>
      </c>
      <c r="D40" s="1">
        <v>3040901</v>
      </c>
      <c r="E40" s="1">
        <v>4000</v>
      </c>
      <c r="F40" s="1" t="str">
        <f t="shared" si="2"/>
        <v>3040901:4000</v>
      </c>
      <c r="H40" s="12" t="str">
        <f t="shared" si="1"/>
        <v>3040901:4000</v>
      </c>
      <c r="J40" s="1" t="s">
        <v>211</v>
      </c>
      <c r="N40" s="6">
        <v>901010503</v>
      </c>
      <c r="O40" s="6" t="s">
        <v>485</v>
      </c>
    </row>
    <row r="41" spans="3:15" x14ac:dyDescent="0.15">
      <c r="C41" s="1" t="s">
        <v>137</v>
      </c>
      <c r="D41" s="1">
        <v>3040901</v>
      </c>
      <c r="E41" s="1">
        <v>5000</v>
      </c>
      <c r="F41" s="1" t="str">
        <f t="shared" si="2"/>
        <v>3040901:5000</v>
      </c>
      <c r="H41" s="12" t="str">
        <f t="shared" si="1"/>
        <v>3040901:5000</v>
      </c>
      <c r="J41" s="1" t="s">
        <v>212</v>
      </c>
      <c r="N41" s="6">
        <v>901010604</v>
      </c>
      <c r="O41" s="6" t="s">
        <v>586</v>
      </c>
    </row>
    <row r="42" spans="3:15" x14ac:dyDescent="0.15">
      <c r="C42" s="1" t="s">
        <v>137</v>
      </c>
      <c r="D42" s="1">
        <v>3040901</v>
      </c>
      <c r="E42" s="1">
        <v>6000</v>
      </c>
      <c r="F42" s="1" t="str">
        <f t="shared" si="2"/>
        <v>3040901:6000</v>
      </c>
      <c r="H42" s="12" t="str">
        <f t="shared" si="1"/>
        <v>3040901:6000</v>
      </c>
      <c r="J42" s="1" t="s">
        <v>213</v>
      </c>
      <c r="N42" s="6">
        <v>901010704</v>
      </c>
      <c r="O42" s="6" t="s">
        <v>486</v>
      </c>
    </row>
    <row r="43" spans="3:15" x14ac:dyDescent="0.15">
      <c r="C43" s="1" t="s">
        <v>138</v>
      </c>
      <c r="D43" s="1">
        <v>3041001</v>
      </c>
      <c r="E43" s="1">
        <v>3000</v>
      </c>
      <c r="F43" s="1" t="str">
        <f t="shared" si="2"/>
        <v>3041001:3000</v>
      </c>
      <c r="H43" s="12" t="str">
        <f t="shared" si="1"/>
        <v>3041001:3000</v>
      </c>
      <c r="J43" s="1" t="s">
        <v>185</v>
      </c>
      <c r="N43" s="6">
        <v>901010805</v>
      </c>
      <c r="O43" s="6" t="s">
        <v>587</v>
      </c>
    </row>
    <row r="44" spans="3:15" x14ac:dyDescent="0.15">
      <c r="C44" s="1" t="s">
        <v>138</v>
      </c>
      <c r="D44" s="1">
        <v>3041001</v>
      </c>
      <c r="E44" s="1">
        <v>5000</v>
      </c>
      <c r="F44" s="1" t="str">
        <f t="shared" si="2"/>
        <v>3041001:5000</v>
      </c>
      <c r="H44" s="12" t="str">
        <f t="shared" si="1"/>
        <v>3041001:5000</v>
      </c>
      <c r="J44" s="1" t="s">
        <v>151</v>
      </c>
    </row>
    <row r="45" spans="3:15" x14ac:dyDescent="0.15">
      <c r="C45" s="1" t="s">
        <v>138</v>
      </c>
      <c r="D45" s="1">
        <v>3041001</v>
      </c>
      <c r="E45" s="1">
        <v>7000</v>
      </c>
      <c r="F45" s="1" t="str">
        <f t="shared" si="2"/>
        <v>3041001:7000</v>
      </c>
      <c r="H45" s="12" t="str">
        <f t="shared" si="1"/>
        <v>3041001:7000</v>
      </c>
      <c r="J45" s="1" t="s">
        <v>214</v>
      </c>
    </row>
    <row r="46" spans="3:15" x14ac:dyDescent="0.15">
      <c r="C46" s="1" t="s">
        <v>138</v>
      </c>
      <c r="D46" s="1">
        <v>3041001</v>
      </c>
      <c r="E46" s="1">
        <v>10000</v>
      </c>
      <c r="F46" s="1" t="str">
        <f t="shared" si="2"/>
        <v>3041001:10000</v>
      </c>
      <c r="H46" s="12" t="str">
        <f t="shared" si="1"/>
        <v>3041001:10000</v>
      </c>
      <c r="J46" s="1" t="s">
        <v>215</v>
      </c>
    </row>
    <row r="47" spans="3:15" x14ac:dyDescent="0.15">
      <c r="C47" s="1" t="s">
        <v>138</v>
      </c>
      <c r="D47" s="1">
        <v>3041001</v>
      </c>
      <c r="E47" s="1">
        <v>15000</v>
      </c>
      <c r="F47" s="1" t="str">
        <f t="shared" si="2"/>
        <v>3041001:15000</v>
      </c>
      <c r="H47" s="12" t="str">
        <f t="shared" si="1"/>
        <v>3041001:15000</v>
      </c>
      <c r="J47" s="1" t="s">
        <v>216</v>
      </c>
    </row>
    <row r="48" spans="3:15" x14ac:dyDescent="0.15">
      <c r="C48" s="8" t="s">
        <v>139</v>
      </c>
      <c r="D48" s="1">
        <v>3041101</v>
      </c>
      <c r="E48" s="1">
        <v>60</v>
      </c>
      <c r="F48" s="1" t="str">
        <f t="shared" si="2"/>
        <v>3041101:60</v>
      </c>
      <c r="H48" s="12" t="str">
        <f t="shared" si="1"/>
        <v>3041101:60</v>
      </c>
      <c r="J48" s="1" t="s">
        <v>327</v>
      </c>
    </row>
    <row r="49" spans="3:10" x14ac:dyDescent="0.15">
      <c r="C49" s="8" t="s">
        <v>139</v>
      </c>
      <c r="D49" s="1">
        <v>3041101</v>
      </c>
      <c r="E49" s="1">
        <v>100</v>
      </c>
      <c r="F49" s="1" t="str">
        <f t="shared" si="2"/>
        <v>3041101:100</v>
      </c>
      <c r="H49" s="12" t="str">
        <f t="shared" si="1"/>
        <v>3041101:100</v>
      </c>
      <c r="J49" s="1" t="s">
        <v>328</v>
      </c>
    </row>
    <row r="50" spans="3:10" x14ac:dyDescent="0.15">
      <c r="C50" s="8" t="s">
        <v>139</v>
      </c>
      <c r="D50" s="1">
        <v>3041101</v>
      </c>
      <c r="E50" s="1">
        <v>140</v>
      </c>
      <c r="F50" s="1" t="str">
        <f t="shared" si="2"/>
        <v>3041101:140</v>
      </c>
      <c r="H50" s="12" t="str">
        <f t="shared" si="1"/>
        <v>3041101:140</v>
      </c>
      <c r="J50" s="1" t="s">
        <v>329</v>
      </c>
    </row>
    <row r="51" spans="3:10" x14ac:dyDescent="0.15">
      <c r="C51" s="8" t="s">
        <v>139</v>
      </c>
      <c r="D51" s="1">
        <v>3041101</v>
      </c>
      <c r="E51" s="1">
        <v>200</v>
      </c>
      <c r="F51" s="1" t="str">
        <f t="shared" si="2"/>
        <v>3041101:200</v>
      </c>
      <c r="H51" s="12" t="str">
        <f t="shared" si="1"/>
        <v>3041101:200</v>
      </c>
      <c r="J51" s="1" t="s">
        <v>330</v>
      </c>
    </row>
    <row r="52" spans="3:10" x14ac:dyDescent="0.15">
      <c r="C52" s="8" t="s">
        <v>139</v>
      </c>
      <c r="D52" s="1">
        <v>3041101</v>
      </c>
      <c r="E52" s="1">
        <v>300</v>
      </c>
      <c r="F52" s="1" t="str">
        <f t="shared" si="2"/>
        <v>3041101:300</v>
      </c>
      <c r="H52" s="12" t="str">
        <f t="shared" si="1"/>
        <v>3041101:300</v>
      </c>
      <c r="J52" s="1" t="s">
        <v>331</v>
      </c>
    </row>
    <row r="53" spans="3:10" x14ac:dyDescent="0.15">
      <c r="C53" s="1" t="s">
        <v>140</v>
      </c>
      <c r="D53" s="1">
        <v>3041201</v>
      </c>
      <c r="E53" s="1">
        <v>1000</v>
      </c>
      <c r="F53" s="1" t="str">
        <f t="shared" si="2"/>
        <v>3041201:1000</v>
      </c>
      <c r="H53" s="12" t="str">
        <f t="shared" si="1"/>
        <v>3041201:1000</v>
      </c>
      <c r="J53" s="1" t="s">
        <v>159</v>
      </c>
    </row>
    <row r="54" spans="3:10" x14ac:dyDescent="0.15">
      <c r="C54" s="1" t="s">
        <v>140</v>
      </c>
      <c r="D54" s="1">
        <v>3041201</v>
      </c>
      <c r="E54" s="1">
        <v>1500</v>
      </c>
      <c r="F54" s="1" t="str">
        <f t="shared" si="2"/>
        <v>3041201:1500</v>
      </c>
      <c r="H54" s="12" t="str">
        <f t="shared" si="1"/>
        <v>3041201:1500</v>
      </c>
      <c r="J54" s="1" t="s">
        <v>189</v>
      </c>
    </row>
    <row r="55" spans="3:10" x14ac:dyDescent="0.15">
      <c r="C55" s="1" t="s">
        <v>140</v>
      </c>
      <c r="D55" s="1">
        <v>3041201</v>
      </c>
      <c r="E55" s="1">
        <v>2000</v>
      </c>
      <c r="F55" s="1" t="str">
        <f t="shared" si="2"/>
        <v>3041201:2000</v>
      </c>
      <c r="H55" s="12" t="str">
        <f t="shared" si="1"/>
        <v>3041201:2000</v>
      </c>
      <c r="J55" s="1" t="s">
        <v>217</v>
      </c>
    </row>
    <row r="56" spans="3:10" x14ac:dyDescent="0.15">
      <c r="C56" s="1" t="s">
        <v>140</v>
      </c>
      <c r="D56" s="1">
        <v>3041201</v>
      </c>
      <c r="E56" s="1">
        <v>2500</v>
      </c>
      <c r="F56" s="1" t="str">
        <f t="shared" si="2"/>
        <v>3041201:2500</v>
      </c>
      <c r="H56" s="12" t="str">
        <f t="shared" si="1"/>
        <v>3041201:2500</v>
      </c>
      <c r="J56" s="1" t="s">
        <v>218</v>
      </c>
    </row>
    <row r="57" spans="3:10" x14ac:dyDescent="0.15">
      <c r="C57" s="1" t="s">
        <v>140</v>
      </c>
      <c r="D57" s="1">
        <v>3041201</v>
      </c>
      <c r="E57" s="1">
        <v>3000</v>
      </c>
      <c r="F57" s="1" t="str">
        <f t="shared" si="2"/>
        <v>3041201:3000</v>
      </c>
      <c r="H57" s="12" t="str">
        <f t="shared" si="1"/>
        <v>3041201:3000</v>
      </c>
      <c r="J57" s="1" t="s">
        <v>219</v>
      </c>
    </row>
    <row r="58" spans="3:10" x14ac:dyDescent="0.15">
      <c r="C58" s="1" t="s">
        <v>141</v>
      </c>
      <c r="D58" s="1">
        <v>3041301</v>
      </c>
      <c r="E58" s="1">
        <v>3000</v>
      </c>
      <c r="F58" s="1" t="str">
        <f t="shared" si="2"/>
        <v>3041301:3000</v>
      </c>
      <c r="H58" s="12" t="str">
        <f t="shared" si="1"/>
        <v>3041301:3000</v>
      </c>
      <c r="J58" s="1" t="s">
        <v>130</v>
      </c>
    </row>
    <row r="59" spans="3:10" x14ac:dyDescent="0.15">
      <c r="C59" s="1" t="s">
        <v>141</v>
      </c>
      <c r="D59" s="1">
        <v>3041301</v>
      </c>
      <c r="E59" s="1">
        <v>5000</v>
      </c>
      <c r="F59" s="1" t="str">
        <f t="shared" si="2"/>
        <v>3041301:5000</v>
      </c>
      <c r="H59" s="12" t="str">
        <f t="shared" si="1"/>
        <v>3041301:5000</v>
      </c>
      <c r="J59" s="1" t="s">
        <v>160</v>
      </c>
    </row>
    <row r="60" spans="3:10" x14ac:dyDescent="0.15">
      <c r="C60" s="1" t="s">
        <v>141</v>
      </c>
      <c r="D60" s="1">
        <v>3041301</v>
      </c>
      <c r="E60" s="1">
        <v>7000</v>
      </c>
      <c r="F60" s="1" t="str">
        <f t="shared" si="2"/>
        <v>3041301:7000</v>
      </c>
      <c r="H60" s="12" t="str">
        <f t="shared" si="1"/>
        <v>3041301:7000</v>
      </c>
      <c r="J60" s="1" t="s">
        <v>220</v>
      </c>
    </row>
    <row r="61" spans="3:10" x14ac:dyDescent="0.15">
      <c r="C61" s="1" t="s">
        <v>141</v>
      </c>
      <c r="D61" s="1">
        <v>3041301</v>
      </c>
      <c r="E61" s="1">
        <v>10000</v>
      </c>
      <c r="F61" s="1" t="str">
        <f t="shared" si="2"/>
        <v>3041301:10000</v>
      </c>
      <c r="H61" s="12" t="str">
        <f t="shared" si="1"/>
        <v>3041301:10000</v>
      </c>
      <c r="J61" s="1" t="s">
        <v>221</v>
      </c>
    </row>
    <row r="62" spans="3:10" x14ac:dyDescent="0.15">
      <c r="C62" s="1" t="s">
        <v>141</v>
      </c>
      <c r="D62" s="1">
        <v>3041301</v>
      </c>
      <c r="E62" s="1">
        <v>15000</v>
      </c>
      <c r="F62" s="1" t="str">
        <f t="shared" si="2"/>
        <v>3041301:15000</v>
      </c>
      <c r="H62" s="12" t="str">
        <f t="shared" si="1"/>
        <v>3041301:15000</v>
      </c>
      <c r="J62" s="1" t="s">
        <v>222</v>
      </c>
    </row>
    <row r="63" spans="3:10" x14ac:dyDescent="0.15">
      <c r="C63" s="1" t="s">
        <v>142</v>
      </c>
      <c r="D63" s="1">
        <v>3041401</v>
      </c>
      <c r="E63" s="1">
        <v>1000</v>
      </c>
      <c r="F63" s="1" t="str">
        <f t="shared" si="2"/>
        <v>3041401:1000</v>
      </c>
      <c r="H63" s="12" t="str">
        <f t="shared" si="1"/>
        <v>3041401:1000</v>
      </c>
      <c r="J63" s="1" t="s">
        <v>179</v>
      </c>
    </row>
    <row r="64" spans="3:10" x14ac:dyDescent="0.15">
      <c r="C64" s="1" t="s">
        <v>142</v>
      </c>
      <c r="D64" s="1">
        <v>3041401</v>
      </c>
      <c r="E64" s="1">
        <v>2000</v>
      </c>
      <c r="F64" s="1" t="str">
        <f t="shared" si="2"/>
        <v>3041401:2000</v>
      </c>
      <c r="H64" s="12" t="str">
        <f t="shared" si="1"/>
        <v>3041401:2000</v>
      </c>
      <c r="J64" s="1" t="s">
        <v>131</v>
      </c>
    </row>
    <row r="65" spans="3:11" x14ac:dyDescent="0.15">
      <c r="C65" s="1" t="s">
        <v>142</v>
      </c>
      <c r="D65" s="1">
        <v>3041401</v>
      </c>
      <c r="E65" s="1">
        <v>3000</v>
      </c>
      <c r="F65" s="1" t="str">
        <f t="shared" si="2"/>
        <v>3041401:3000</v>
      </c>
      <c r="H65" s="12" t="str">
        <f t="shared" si="1"/>
        <v>3041401:3000</v>
      </c>
      <c r="J65" s="1" t="s">
        <v>223</v>
      </c>
    </row>
    <row r="66" spans="3:11" x14ac:dyDescent="0.15">
      <c r="C66" s="1" t="s">
        <v>142</v>
      </c>
      <c r="D66" s="1">
        <v>3041401</v>
      </c>
      <c r="E66" s="1">
        <v>4000</v>
      </c>
      <c r="F66" s="1" t="str">
        <f t="shared" si="2"/>
        <v>3041401:4000</v>
      </c>
      <c r="H66" s="12" t="str">
        <f t="shared" si="1"/>
        <v>3041401:4000</v>
      </c>
      <c r="J66" s="1" t="s">
        <v>224</v>
      </c>
    </row>
    <row r="67" spans="3:11" x14ac:dyDescent="0.15">
      <c r="C67" s="1" t="s">
        <v>142</v>
      </c>
      <c r="D67" s="1">
        <v>3041401</v>
      </c>
      <c r="E67" s="1">
        <v>5000</v>
      </c>
      <c r="F67" s="1" t="str">
        <f t="shared" si="2"/>
        <v>3041401:5000</v>
      </c>
      <c r="H67" s="12" t="str">
        <f t="shared" si="1"/>
        <v>3041401:5000</v>
      </c>
      <c r="J67" s="1" t="s">
        <v>225</v>
      </c>
    </row>
    <row r="68" spans="3:11" x14ac:dyDescent="0.15">
      <c r="C68" s="1" t="s">
        <v>143</v>
      </c>
      <c r="D68" s="1">
        <v>3050001</v>
      </c>
      <c r="E68" s="1">
        <v>3000</v>
      </c>
      <c r="F68" s="1" t="str">
        <f t="shared" ref="F68:F131" si="3">D68&amp;":"&amp;E68</f>
        <v>3050001:3000</v>
      </c>
      <c r="G68" s="1" t="s">
        <v>155</v>
      </c>
      <c r="H68" s="12" t="str">
        <f t="shared" ref="H68:H131" si="4">_xlfn.TEXTJOIN("_",TRUE,F68:G68)</f>
        <v>3050001:3000_3050000:1</v>
      </c>
      <c r="J68" s="1" t="s">
        <v>332</v>
      </c>
      <c r="K68" s="1" t="s">
        <v>155</v>
      </c>
    </row>
    <row r="69" spans="3:11" x14ac:dyDescent="0.15">
      <c r="C69" s="1" t="s">
        <v>143</v>
      </c>
      <c r="D69" s="1">
        <v>3050001</v>
      </c>
      <c r="E69" s="1">
        <v>5000</v>
      </c>
      <c r="F69" s="1" t="str">
        <f t="shared" si="3"/>
        <v>3050001:5000</v>
      </c>
      <c r="G69" s="1" t="s">
        <v>155</v>
      </c>
      <c r="H69" s="12" t="str">
        <f t="shared" si="4"/>
        <v>3050001:5000_3050000:1</v>
      </c>
      <c r="J69" s="1" t="s">
        <v>333</v>
      </c>
      <c r="K69" s="1" t="s">
        <v>155</v>
      </c>
    </row>
    <row r="70" spans="3:11" x14ac:dyDescent="0.15">
      <c r="C70" s="1" t="s">
        <v>143</v>
      </c>
      <c r="D70" s="1">
        <v>3050001</v>
      </c>
      <c r="E70" s="1">
        <v>7000</v>
      </c>
      <c r="F70" s="1" t="str">
        <f t="shared" si="3"/>
        <v>3050001:7000</v>
      </c>
      <c r="G70" s="1" t="s">
        <v>155</v>
      </c>
      <c r="H70" s="12" t="str">
        <f t="shared" si="4"/>
        <v>3050001:7000_3050000:1</v>
      </c>
      <c r="J70" s="1" t="s">
        <v>334</v>
      </c>
      <c r="K70" s="1" t="s">
        <v>155</v>
      </c>
    </row>
    <row r="71" spans="3:11" x14ac:dyDescent="0.15">
      <c r="C71" s="1" t="s">
        <v>143</v>
      </c>
      <c r="D71" s="1">
        <v>3050001</v>
      </c>
      <c r="E71" s="1">
        <v>10000</v>
      </c>
      <c r="F71" s="1" t="str">
        <f t="shared" si="3"/>
        <v>3050001:10000</v>
      </c>
      <c r="G71" s="1" t="s">
        <v>155</v>
      </c>
      <c r="H71" s="12" t="str">
        <f t="shared" si="4"/>
        <v>3050001:10000_3050000:1</v>
      </c>
      <c r="J71" s="1" t="s">
        <v>335</v>
      </c>
      <c r="K71" s="1" t="s">
        <v>155</v>
      </c>
    </row>
    <row r="72" spans="3:11" x14ac:dyDescent="0.15">
      <c r="C72" s="1" t="s">
        <v>143</v>
      </c>
      <c r="D72" s="1">
        <v>3050001</v>
      </c>
      <c r="E72" s="1">
        <v>15000</v>
      </c>
      <c r="F72" s="1" t="str">
        <f t="shared" si="3"/>
        <v>3050001:15000</v>
      </c>
      <c r="G72" s="1" t="s">
        <v>155</v>
      </c>
      <c r="H72" s="12" t="str">
        <f t="shared" si="4"/>
        <v>3050001:15000_3050000:1</v>
      </c>
      <c r="J72" s="1" t="s">
        <v>336</v>
      </c>
      <c r="K72" s="1" t="s">
        <v>155</v>
      </c>
    </row>
    <row r="73" spans="3:11" x14ac:dyDescent="0.15">
      <c r="C73" s="11" t="s">
        <v>144</v>
      </c>
      <c r="D73" s="1">
        <v>3050101</v>
      </c>
      <c r="E73" s="1">
        <v>80</v>
      </c>
      <c r="F73" s="1" t="str">
        <f t="shared" si="3"/>
        <v>3050101:80</v>
      </c>
      <c r="G73" s="1" t="s">
        <v>155</v>
      </c>
      <c r="H73" s="12" t="str">
        <f t="shared" si="4"/>
        <v>3050101:80_3050000:1</v>
      </c>
      <c r="J73" s="1" t="s">
        <v>337</v>
      </c>
      <c r="K73" s="1" t="s">
        <v>155</v>
      </c>
    </row>
    <row r="74" spans="3:11" x14ac:dyDescent="0.15">
      <c r="C74" s="11" t="s">
        <v>144</v>
      </c>
      <c r="D74" s="1">
        <v>3050101</v>
      </c>
      <c r="E74" s="1">
        <v>140</v>
      </c>
      <c r="F74" s="1" t="str">
        <f t="shared" si="3"/>
        <v>3050101:140</v>
      </c>
      <c r="G74" s="1" t="s">
        <v>155</v>
      </c>
      <c r="H74" s="12" t="str">
        <f t="shared" si="4"/>
        <v>3050101:140_3050000:1</v>
      </c>
      <c r="J74" s="1" t="s">
        <v>338</v>
      </c>
      <c r="K74" s="1" t="s">
        <v>155</v>
      </c>
    </row>
    <row r="75" spans="3:11" x14ac:dyDescent="0.15">
      <c r="C75" s="11" t="s">
        <v>144</v>
      </c>
      <c r="D75" s="1">
        <v>3050101</v>
      </c>
      <c r="E75" s="1">
        <v>190</v>
      </c>
      <c r="F75" s="1" t="str">
        <f t="shared" si="3"/>
        <v>3050101:190</v>
      </c>
      <c r="G75" s="1" t="s">
        <v>155</v>
      </c>
      <c r="H75" s="12" t="str">
        <f t="shared" si="4"/>
        <v>3050101:190_3050000:1</v>
      </c>
      <c r="J75" s="1" t="s">
        <v>339</v>
      </c>
      <c r="K75" s="1" t="s">
        <v>155</v>
      </c>
    </row>
    <row r="76" spans="3:11" x14ac:dyDescent="0.15">
      <c r="C76" s="11" t="s">
        <v>144</v>
      </c>
      <c r="D76" s="1">
        <v>3050101</v>
      </c>
      <c r="E76" s="1">
        <v>280</v>
      </c>
      <c r="F76" s="1" t="str">
        <f t="shared" si="3"/>
        <v>3050101:280</v>
      </c>
      <c r="G76" s="1" t="s">
        <v>155</v>
      </c>
      <c r="H76" s="12" t="str">
        <f t="shared" si="4"/>
        <v>3050101:280_3050000:1</v>
      </c>
      <c r="J76" s="1" t="s">
        <v>340</v>
      </c>
      <c r="K76" s="1" t="s">
        <v>155</v>
      </c>
    </row>
    <row r="77" spans="3:11" x14ac:dyDescent="0.15">
      <c r="C77" s="11" t="s">
        <v>144</v>
      </c>
      <c r="D77" s="1">
        <v>3050101</v>
      </c>
      <c r="E77" s="1">
        <v>410</v>
      </c>
      <c r="F77" s="1" t="str">
        <f t="shared" si="3"/>
        <v>3050101:410</v>
      </c>
      <c r="G77" s="1" t="s">
        <v>155</v>
      </c>
      <c r="H77" s="12" t="str">
        <f t="shared" si="4"/>
        <v>3050101:410_3050000:1</v>
      </c>
      <c r="J77" s="1" t="s">
        <v>341</v>
      </c>
      <c r="K77" s="1" t="s">
        <v>155</v>
      </c>
    </row>
    <row r="78" spans="3:11" x14ac:dyDescent="0.15">
      <c r="C78" s="1" t="s">
        <v>144</v>
      </c>
      <c r="D78" s="1">
        <v>3050102</v>
      </c>
      <c r="E78" s="1">
        <v>3000</v>
      </c>
      <c r="F78" s="1" t="str">
        <f t="shared" si="3"/>
        <v>3050102:3000</v>
      </c>
      <c r="H78" s="12" t="str">
        <f t="shared" si="4"/>
        <v>3050102:3000</v>
      </c>
      <c r="J78" s="1" t="s">
        <v>169</v>
      </c>
    </row>
    <row r="79" spans="3:11" x14ac:dyDescent="0.15">
      <c r="C79" s="1" t="s">
        <v>144</v>
      </c>
      <c r="D79" s="1">
        <v>3050102</v>
      </c>
      <c r="E79" s="1">
        <v>5000</v>
      </c>
      <c r="F79" s="1" t="str">
        <f t="shared" si="3"/>
        <v>3050102:5000</v>
      </c>
      <c r="H79" s="12" t="str">
        <f t="shared" si="4"/>
        <v>3050102:5000</v>
      </c>
      <c r="J79" s="1" t="s">
        <v>161</v>
      </c>
    </row>
    <row r="80" spans="3:11" x14ac:dyDescent="0.15">
      <c r="C80" s="1" t="s">
        <v>144</v>
      </c>
      <c r="D80" s="1">
        <v>3050102</v>
      </c>
      <c r="E80" s="1">
        <v>7000</v>
      </c>
      <c r="F80" s="1" t="str">
        <f t="shared" si="3"/>
        <v>3050102:7000</v>
      </c>
      <c r="H80" s="12" t="str">
        <f t="shared" si="4"/>
        <v>3050102:7000</v>
      </c>
      <c r="J80" s="1" t="s">
        <v>226</v>
      </c>
    </row>
    <row r="81" spans="3:11" x14ac:dyDescent="0.15">
      <c r="C81" s="1" t="s">
        <v>144</v>
      </c>
      <c r="D81" s="1">
        <v>3050102</v>
      </c>
      <c r="E81" s="1">
        <v>10000</v>
      </c>
      <c r="F81" s="1" t="str">
        <f t="shared" si="3"/>
        <v>3050102:10000</v>
      </c>
      <c r="H81" s="12" t="str">
        <f t="shared" si="4"/>
        <v>3050102:10000</v>
      </c>
      <c r="J81" s="1" t="s">
        <v>227</v>
      </c>
    </row>
    <row r="82" spans="3:11" x14ac:dyDescent="0.15">
      <c r="C82" s="1" t="s">
        <v>144</v>
      </c>
      <c r="D82" s="1">
        <v>3050102</v>
      </c>
      <c r="E82" s="1">
        <v>15000</v>
      </c>
      <c r="F82" s="1" t="str">
        <f t="shared" si="3"/>
        <v>3050102:15000</v>
      </c>
      <c r="H82" s="12" t="str">
        <f t="shared" si="4"/>
        <v>3050102:15000</v>
      </c>
      <c r="J82" s="1" t="s">
        <v>228</v>
      </c>
    </row>
    <row r="83" spans="3:11" x14ac:dyDescent="0.15">
      <c r="C83" s="1" t="s">
        <v>145</v>
      </c>
      <c r="D83" s="1">
        <v>3050301</v>
      </c>
      <c r="E83" s="1">
        <v>3000</v>
      </c>
      <c r="F83" s="1" t="str">
        <f t="shared" si="3"/>
        <v>3050301:3000</v>
      </c>
      <c r="H83" s="12" t="str">
        <f t="shared" si="4"/>
        <v>3050301:3000</v>
      </c>
      <c r="J83" s="1" t="s">
        <v>180</v>
      </c>
    </row>
    <row r="84" spans="3:11" x14ac:dyDescent="0.15">
      <c r="C84" s="1" t="s">
        <v>145</v>
      </c>
      <c r="D84" s="1">
        <v>3050301</v>
      </c>
      <c r="E84" s="1">
        <v>5000</v>
      </c>
      <c r="F84" s="1" t="str">
        <f t="shared" si="3"/>
        <v>3050301:5000</v>
      </c>
      <c r="H84" s="12" t="str">
        <f t="shared" si="4"/>
        <v>3050301:5000</v>
      </c>
      <c r="J84" s="1" t="s">
        <v>170</v>
      </c>
    </row>
    <row r="85" spans="3:11" x14ac:dyDescent="0.15">
      <c r="C85" s="1" t="s">
        <v>145</v>
      </c>
      <c r="D85" s="1">
        <v>3050301</v>
      </c>
      <c r="E85" s="1">
        <v>7000</v>
      </c>
      <c r="F85" s="1" t="str">
        <f t="shared" si="3"/>
        <v>3050301:7000</v>
      </c>
      <c r="H85" s="12" t="str">
        <f t="shared" si="4"/>
        <v>3050301:7000</v>
      </c>
      <c r="J85" s="1" t="s">
        <v>229</v>
      </c>
    </row>
    <row r="86" spans="3:11" x14ac:dyDescent="0.15">
      <c r="C86" s="1" t="s">
        <v>145</v>
      </c>
      <c r="D86" s="1">
        <v>3050301</v>
      </c>
      <c r="E86" s="1">
        <v>10000</v>
      </c>
      <c r="F86" s="1" t="str">
        <f t="shared" si="3"/>
        <v>3050301:10000</v>
      </c>
      <c r="H86" s="12" t="str">
        <f t="shared" si="4"/>
        <v>3050301:10000</v>
      </c>
      <c r="J86" s="1" t="s">
        <v>230</v>
      </c>
    </row>
    <row r="87" spans="3:11" x14ac:dyDescent="0.15">
      <c r="C87" s="1" t="s">
        <v>145</v>
      </c>
      <c r="D87" s="1">
        <v>3050301</v>
      </c>
      <c r="E87" s="1">
        <v>15000</v>
      </c>
      <c r="F87" s="1" t="str">
        <f t="shared" si="3"/>
        <v>3050301:15000</v>
      </c>
      <c r="H87" s="12" t="str">
        <f t="shared" si="4"/>
        <v>3050301:15000</v>
      </c>
      <c r="J87" s="1" t="s">
        <v>231</v>
      </c>
    </row>
    <row r="88" spans="3:11" x14ac:dyDescent="0.15">
      <c r="C88" s="8" t="s">
        <v>146</v>
      </c>
      <c r="D88" s="1">
        <v>3050501</v>
      </c>
      <c r="E88" s="1">
        <v>80</v>
      </c>
      <c r="F88" s="1" t="str">
        <f t="shared" si="3"/>
        <v>3050501:80</v>
      </c>
      <c r="G88" s="1" t="s">
        <v>155</v>
      </c>
      <c r="H88" s="12" t="str">
        <f t="shared" si="4"/>
        <v>3050501:80_3050000:1</v>
      </c>
      <c r="J88" s="1" t="s">
        <v>342</v>
      </c>
      <c r="K88" s="1" t="s">
        <v>155</v>
      </c>
    </row>
    <row r="89" spans="3:11" x14ac:dyDescent="0.15">
      <c r="C89" s="8" t="s">
        <v>146</v>
      </c>
      <c r="D89" s="1">
        <v>3050501</v>
      </c>
      <c r="E89" s="1">
        <v>140</v>
      </c>
      <c r="F89" s="1" t="str">
        <f t="shared" si="3"/>
        <v>3050501:140</v>
      </c>
      <c r="G89" s="1" t="s">
        <v>155</v>
      </c>
      <c r="H89" s="12" t="str">
        <f t="shared" si="4"/>
        <v>3050501:140_3050000:1</v>
      </c>
      <c r="J89" s="1" t="s">
        <v>343</v>
      </c>
      <c r="K89" s="1" t="s">
        <v>155</v>
      </c>
    </row>
    <row r="90" spans="3:11" x14ac:dyDescent="0.15">
      <c r="C90" s="8" t="s">
        <v>146</v>
      </c>
      <c r="D90" s="1">
        <v>3050501</v>
      </c>
      <c r="E90" s="1">
        <v>190</v>
      </c>
      <c r="F90" s="1" t="str">
        <f t="shared" si="3"/>
        <v>3050501:190</v>
      </c>
      <c r="G90" s="1" t="s">
        <v>155</v>
      </c>
      <c r="H90" s="12" t="str">
        <f t="shared" si="4"/>
        <v>3050501:190_3050000:1</v>
      </c>
      <c r="J90" s="1" t="s">
        <v>344</v>
      </c>
      <c r="K90" s="1" t="s">
        <v>155</v>
      </c>
    </row>
    <row r="91" spans="3:11" x14ac:dyDescent="0.15">
      <c r="C91" s="8" t="s">
        <v>146</v>
      </c>
      <c r="D91" s="1">
        <v>3050501</v>
      </c>
      <c r="E91" s="1">
        <v>280</v>
      </c>
      <c r="F91" s="1" t="str">
        <f t="shared" si="3"/>
        <v>3050501:280</v>
      </c>
      <c r="G91" s="1" t="s">
        <v>155</v>
      </c>
      <c r="H91" s="12" t="str">
        <f t="shared" si="4"/>
        <v>3050501:280_3050000:1</v>
      </c>
      <c r="J91" s="1" t="s">
        <v>345</v>
      </c>
      <c r="K91" s="1" t="s">
        <v>155</v>
      </c>
    </row>
    <row r="92" spans="3:11" x14ac:dyDescent="0.15">
      <c r="C92" s="8" t="s">
        <v>146</v>
      </c>
      <c r="D92" s="1">
        <v>3050501</v>
      </c>
      <c r="E92" s="1">
        <v>410</v>
      </c>
      <c r="F92" s="1" t="str">
        <f t="shared" si="3"/>
        <v>3050501:410</v>
      </c>
      <c r="G92" s="1" t="s">
        <v>155</v>
      </c>
      <c r="H92" s="12" t="str">
        <f t="shared" si="4"/>
        <v>3050501:410_3050000:1</v>
      </c>
      <c r="J92" s="1" t="s">
        <v>346</v>
      </c>
      <c r="K92" s="1" t="s">
        <v>155</v>
      </c>
    </row>
    <row r="93" spans="3:11" x14ac:dyDescent="0.15">
      <c r="C93" s="1" t="s">
        <v>147</v>
      </c>
      <c r="D93" s="1">
        <v>3060001</v>
      </c>
      <c r="E93" s="1">
        <v>3000</v>
      </c>
      <c r="F93" s="1" t="str">
        <f t="shared" si="3"/>
        <v>3060001:3000</v>
      </c>
      <c r="G93" s="1" t="s">
        <v>156</v>
      </c>
      <c r="H93" s="12" t="str">
        <f t="shared" si="4"/>
        <v>3060001:3000_3060000:1</v>
      </c>
      <c r="J93" s="1" t="s">
        <v>347</v>
      </c>
      <c r="K93" s="1" t="s">
        <v>156</v>
      </c>
    </row>
    <row r="94" spans="3:11" x14ac:dyDescent="0.15">
      <c r="C94" s="1" t="s">
        <v>147</v>
      </c>
      <c r="D94" s="1">
        <v>3060001</v>
      </c>
      <c r="E94" s="1">
        <v>5000</v>
      </c>
      <c r="F94" s="1" t="str">
        <f t="shared" si="3"/>
        <v>3060001:5000</v>
      </c>
      <c r="G94" s="1" t="s">
        <v>156</v>
      </c>
      <c r="H94" s="12" t="str">
        <f t="shared" si="4"/>
        <v>3060001:5000_3060000:1</v>
      </c>
      <c r="J94" s="1" t="s">
        <v>348</v>
      </c>
      <c r="K94" s="1" t="s">
        <v>156</v>
      </c>
    </row>
    <row r="95" spans="3:11" x14ac:dyDescent="0.15">
      <c r="C95" s="1" t="s">
        <v>147</v>
      </c>
      <c r="D95" s="1">
        <v>3060001</v>
      </c>
      <c r="E95" s="1">
        <v>7000</v>
      </c>
      <c r="F95" s="1" t="str">
        <f t="shared" si="3"/>
        <v>3060001:7000</v>
      </c>
      <c r="G95" s="1" t="s">
        <v>156</v>
      </c>
      <c r="H95" s="12" t="str">
        <f t="shared" si="4"/>
        <v>3060001:7000_3060000:1</v>
      </c>
      <c r="J95" s="1" t="s">
        <v>349</v>
      </c>
      <c r="K95" s="1" t="s">
        <v>156</v>
      </c>
    </row>
    <row r="96" spans="3:11" x14ac:dyDescent="0.15">
      <c r="C96" s="1" t="s">
        <v>147</v>
      </c>
      <c r="D96" s="1">
        <v>3060001</v>
      </c>
      <c r="E96" s="1">
        <v>10000</v>
      </c>
      <c r="F96" s="1" t="str">
        <f t="shared" si="3"/>
        <v>3060001:10000</v>
      </c>
      <c r="G96" s="1" t="s">
        <v>156</v>
      </c>
      <c r="H96" s="12" t="str">
        <f t="shared" si="4"/>
        <v>3060001:10000_3060000:1</v>
      </c>
      <c r="J96" s="1" t="s">
        <v>350</v>
      </c>
      <c r="K96" s="1" t="s">
        <v>156</v>
      </c>
    </row>
    <row r="97" spans="3:11" x14ac:dyDescent="0.15">
      <c r="C97" s="1" t="s">
        <v>147</v>
      </c>
      <c r="D97" s="1">
        <v>3060001</v>
      </c>
      <c r="E97" s="1">
        <v>15000</v>
      </c>
      <c r="F97" s="1" t="str">
        <f t="shared" si="3"/>
        <v>3060001:15000</v>
      </c>
      <c r="G97" s="1" t="s">
        <v>156</v>
      </c>
      <c r="H97" s="12" t="str">
        <f t="shared" si="4"/>
        <v>3060001:15000_3060000:1</v>
      </c>
      <c r="J97" s="1" t="s">
        <v>351</v>
      </c>
      <c r="K97" s="1" t="s">
        <v>156</v>
      </c>
    </row>
    <row r="98" spans="3:11" x14ac:dyDescent="0.15">
      <c r="C98" s="11" t="s">
        <v>81</v>
      </c>
      <c r="D98" s="1">
        <v>3060101</v>
      </c>
      <c r="E98" s="1">
        <v>80</v>
      </c>
      <c r="F98" s="1" t="str">
        <f t="shared" si="3"/>
        <v>3060101:80</v>
      </c>
      <c r="G98" s="1" t="s">
        <v>156</v>
      </c>
      <c r="H98" s="12" t="str">
        <f t="shared" si="4"/>
        <v>3060101:80_3060000:1</v>
      </c>
      <c r="J98" s="1" t="s">
        <v>352</v>
      </c>
      <c r="K98" s="1" t="s">
        <v>156</v>
      </c>
    </row>
    <row r="99" spans="3:11" x14ac:dyDescent="0.15">
      <c r="C99" s="11" t="s">
        <v>81</v>
      </c>
      <c r="D99" s="1">
        <v>3060101</v>
      </c>
      <c r="E99" s="1">
        <v>140</v>
      </c>
      <c r="F99" s="1" t="str">
        <f t="shared" si="3"/>
        <v>3060101:140</v>
      </c>
      <c r="G99" s="1" t="s">
        <v>156</v>
      </c>
      <c r="H99" s="12" t="str">
        <f t="shared" si="4"/>
        <v>3060101:140_3060000:1</v>
      </c>
      <c r="J99" s="1" t="s">
        <v>353</v>
      </c>
      <c r="K99" s="1" t="s">
        <v>156</v>
      </c>
    </row>
    <row r="100" spans="3:11" x14ac:dyDescent="0.15">
      <c r="C100" s="11" t="s">
        <v>81</v>
      </c>
      <c r="D100" s="1">
        <v>3060101</v>
      </c>
      <c r="E100" s="1">
        <v>190</v>
      </c>
      <c r="F100" s="1" t="str">
        <f t="shared" si="3"/>
        <v>3060101:190</v>
      </c>
      <c r="G100" s="1" t="s">
        <v>156</v>
      </c>
      <c r="H100" s="12" t="str">
        <f t="shared" si="4"/>
        <v>3060101:190_3060000:1</v>
      </c>
      <c r="J100" s="1" t="s">
        <v>354</v>
      </c>
      <c r="K100" s="1" t="s">
        <v>156</v>
      </c>
    </row>
    <row r="101" spans="3:11" x14ac:dyDescent="0.15">
      <c r="C101" s="11" t="s">
        <v>81</v>
      </c>
      <c r="D101" s="1">
        <v>3060101</v>
      </c>
      <c r="E101" s="1">
        <v>280</v>
      </c>
      <c r="F101" s="1" t="str">
        <f t="shared" si="3"/>
        <v>3060101:280</v>
      </c>
      <c r="G101" s="1" t="s">
        <v>156</v>
      </c>
      <c r="H101" s="12" t="str">
        <f t="shared" si="4"/>
        <v>3060101:280_3060000:1</v>
      </c>
      <c r="J101" s="1" t="s">
        <v>355</v>
      </c>
      <c r="K101" s="1" t="s">
        <v>156</v>
      </c>
    </row>
    <row r="102" spans="3:11" x14ac:dyDescent="0.15">
      <c r="C102" s="11" t="s">
        <v>81</v>
      </c>
      <c r="D102" s="1">
        <v>3060101</v>
      </c>
      <c r="E102" s="1">
        <v>410</v>
      </c>
      <c r="F102" s="1" t="str">
        <f t="shared" si="3"/>
        <v>3060101:410</v>
      </c>
      <c r="G102" s="1" t="s">
        <v>156</v>
      </c>
      <c r="H102" s="12" t="str">
        <f t="shared" si="4"/>
        <v>3060101:410_3060000:1</v>
      </c>
      <c r="J102" s="1" t="s">
        <v>356</v>
      </c>
      <c r="K102" s="1" t="s">
        <v>156</v>
      </c>
    </row>
    <row r="103" spans="3:11" x14ac:dyDescent="0.15">
      <c r="C103" s="1" t="s">
        <v>81</v>
      </c>
      <c r="D103" s="1">
        <v>3060102</v>
      </c>
      <c r="E103" s="1">
        <v>3000</v>
      </c>
      <c r="F103" s="1" t="str">
        <f t="shared" si="3"/>
        <v>3060102:3000</v>
      </c>
      <c r="H103" s="12" t="str">
        <f t="shared" si="4"/>
        <v>3060102:3000</v>
      </c>
      <c r="J103" s="1" t="s">
        <v>171</v>
      </c>
    </row>
    <row r="104" spans="3:11" x14ac:dyDescent="0.15">
      <c r="C104" s="1" t="s">
        <v>81</v>
      </c>
      <c r="D104" s="1">
        <v>3060102</v>
      </c>
      <c r="E104" s="1">
        <v>5000</v>
      </c>
      <c r="F104" s="1" t="str">
        <f t="shared" si="3"/>
        <v>3060102:5000</v>
      </c>
      <c r="H104" s="12" t="str">
        <f t="shared" si="4"/>
        <v>3060102:5000</v>
      </c>
      <c r="J104" s="1" t="s">
        <v>162</v>
      </c>
    </row>
    <row r="105" spans="3:11" x14ac:dyDescent="0.15">
      <c r="C105" s="1" t="s">
        <v>81</v>
      </c>
      <c r="D105" s="1">
        <v>3060102</v>
      </c>
      <c r="E105" s="1">
        <v>7000</v>
      </c>
      <c r="F105" s="1" t="str">
        <f t="shared" si="3"/>
        <v>3060102:7000</v>
      </c>
      <c r="H105" s="12" t="str">
        <f t="shared" si="4"/>
        <v>3060102:7000</v>
      </c>
      <c r="J105" s="1" t="s">
        <v>232</v>
      </c>
    </row>
    <row r="106" spans="3:11" x14ac:dyDescent="0.15">
      <c r="C106" s="1" t="s">
        <v>81</v>
      </c>
      <c r="D106" s="1">
        <v>3060102</v>
      </c>
      <c r="E106" s="1">
        <v>10000</v>
      </c>
      <c r="F106" s="1" t="str">
        <f t="shared" si="3"/>
        <v>3060102:10000</v>
      </c>
      <c r="H106" s="12" t="str">
        <f t="shared" si="4"/>
        <v>3060102:10000</v>
      </c>
      <c r="J106" s="1" t="s">
        <v>233</v>
      </c>
    </row>
    <row r="107" spans="3:11" x14ac:dyDescent="0.15">
      <c r="C107" s="1" t="s">
        <v>81</v>
      </c>
      <c r="D107" s="1">
        <v>3060102</v>
      </c>
      <c r="E107" s="1">
        <v>15000</v>
      </c>
      <c r="F107" s="1" t="str">
        <f t="shared" si="3"/>
        <v>3060102:15000</v>
      </c>
      <c r="H107" s="12" t="str">
        <f t="shared" si="4"/>
        <v>3060102:15000</v>
      </c>
      <c r="J107" s="1" t="s">
        <v>234</v>
      </c>
    </row>
    <row r="108" spans="3:11" x14ac:dyDescent="0.15">
      <c r="C108" s="1" t="s">
        <v>82</v>
      </c>
      <c r="D108" s="1">
        <v>3060301</v>
      </c>
      <c r="E108" s="1">
        <v>3000</v>
      </c>
      <c r="F108" s="1" t="str">
        <f t="shared" si="3"/>
        <v>3060301:3000</v>
      </c>
      <c r="H108" s="12" t="str">
        <f t="shared" si="4"/>
        <v>3060301:3000</v>
      </c>
      <c r="J108" s="1" t="s">
        <v>181</v>
      </c>
    </row>
    <row r="109" spans="3:11" x14ac:dyDescent="0.15">
      <c r="C109" s="1" t="s">
        <v>82</v>
      </c>
      <c r="D109" s="1">
        <v>3060301</v>
      </c>
      <c r="E109" s="1">
        <v>5000</v>
      </c>
      <c r="F109" s="1" t="str">
        <f t="shared" si="3"/>
        <v>3060301:5000</v>
      </c>
      <c r="H109" s="12" t="str">
        <f t="shared" si="4"/>
        <v>3060301:5000</v>
      </c>
      <c r="J109" s="1" t="s">
        <v>172</v>
      </c>
    </row>
    <row r="110" spans="3:11" x14ac:dyDescent="0.15">
      <c r="C110" s="1" t="s">
        <v>82</v>
      </c>
      <c r="D110" s="1">
        <v>3060301</v>
      </c>
      <c r="E110" s="1">
        <v>7000</v>
      </c>
      <c r="F110" s="1" t="str">
        <f t="shared" si="3"/>
        <v>3060301:7000</v>
      </c>
      <c r="H110" s="12" t="str">
        <f t="shared" si="4"/>
        <v>3060301:7000</v>
      </c>
      <c r="J110" s="1" t="s">
        <v>235</v>
      </c>
    </row>
    <row r="111" spans="3:11" x14ac:dyDescent="0.15">
      <c r="C111" s="1" t="s">
        <v>82</v>
      </c>
      <c r="D111" s="1">
        <v>3060301</v>
      </c>
      <c r="E111" s="1">
        <v>10000</v>
      </c>
      <c r="F111" s="1" t="str">
        <f t="shared" si="3"/>
        <v>3060301:10000</v>
      </c>
      <c r="H111" s="12" t="str">
        <f t="shared" si="4"/>
        <v>3060301:10000</v>
      </c>
      <c r="J111" s="1" t="s">
        <v>236</v>
      </c>
    </row>
    <row r="112" spans="3:11" x14ac:dyDescent="0.15">
      <c r="C112" s="1" t="s">
        <v>82</v>
      </c>
      <c r="D112" s="1">
        <v>3060301</v>
      </c>
      <c r="E112" s="1">
        <v>15000</v>
      </c>
      <c r="F112" s="1" t="str">
        <f t="shared" si="3"/>
        <v>3060301:15000</v>
      </c>
      <c r="H112" s="12" t="str">
        <f t="shared" si="4"/>
        <v>3060301:15000</v>
      </c>
      <c r="J112" s="1" t="s">
        <v>237</v>
      </c>
    </row>
    <row r="113" spans="3:11" x14ac:dyDescent="0.15">
      <c r="C113" s="8" t="s">
        <v>84</v>
      </c>
      <c r="D113" s="1">
        <v>3060501</v>
      </c>
      <c r="E113" s="1">
        <v>80</v>
      </c>
      <c r="F113" s="1" t="str">
        <f t="shared" si="3"/>
        <v>3060501:80</v>
      </c>
      <c r="G113" s="1" t="s">
        <v>156</v>
      </c>
      <c r="H113" s="12" t="str">
        <f t="shared" si="4"/>
        <v>3060501:80_3060000:1</v>
      </c>
      <c r="J113" s="1" t="s">
        <v>357</v>
      </c>
      <c r="K113" s="1" t="s">
        <v>156</v>
      </c>
    </row>
    <row r="114" spans="3:11" x14ac:dyDescent="0.15">
      <c r="C114" s="8" t="s">
        <v>84</v>
      </c>
      <c r="D114" s="1">
        <v>3060501</v>
      </c>
      <c r="E114" s="1">
        <v>140</v>
      </c>
      <c r="F114" s="1" t="str">
        <f t="shared" si="3"/>
        <v>3060501:140</v>
      </c>
      <c r="G114" s="1" t="s">
        <v>156</v>
      </c>
      <c r="H114" s="12" t="str">
        <f t="shared" si="4"/>
        <v>3060501:140_3060000:1</v>
      </c>
      <c r="J114" s="1" t="s">
        <v>358</v>
      </c>
      <c r="K114" s="1" t="s">
        <v>156</v>
      </c>
    </row>
    <row r="115" spans="3:11" x14ac:dyDescent="0.15">
      <c r="C115" s="8" t="s">
        <v>84</v>
      </c>
      <c r="D115" s="1">
        <v>3060501</v>
      </c>
      <c r="E115" s="1">
        <v>190</v>
      </c>
      <c r="F115" s="1" t="str">
        <f t="shared" si="3"/>
        <v>3060501:190</v>
      </c>
      <c r="G115" s="1" t="s">
        <v>156</v>
      </c>
      <c r="H115" s="12" t="str">
        <f t="shared" si="4"/>
        <v>3060501:190_3060000:1</v>
      </c>
      <c r="J115" s="1" t="s">
        <v>359</v>
      </c>
      <c r="K115" s="1" t="s">
        <v>156</v>
      </c>
    </row>
    <row r="116" spans="3:11" x14ac:dyDescent="0.15">
      <c r="C116" s="8" t="s">
        <v>84</v>
      </c>
      <c r="D116" s="1">
        <v>3060501</v>
      </c>
      <c r="E116" s="1">
        <v>280</v>
      </c>
      <c r="F116" s="1" t="str">
        <f t="shared" si="3"/>
        <v>3060501:280</v>
      </c>
      <c r="G116" s="1" t="s">
        <v>156</v>
      </c>
      <c r="H116" s="12" t="str">
        <f t="shared" si="4"/>
        <v>3060501:280_3060000:1</v>
      </c>
      <c r="J116" s="1" t="s">
        <v>360</v>
      </c>
      <c r="K116" s="1" t="s">
        <v>156</v>
      </c>
    </row>
    <row r="117" spans="3:11" x14ac:dyDescent="0.15">
      <c r="C117" s="8" t="s">
        <v>84</v>
      </c>
      <c r="D117" s="1">
        <v>3060501</v>
      </c>
      <c r="E117" s="1">
        <v>410</v>
      </c>
      <c r="F117" s="1" t="str">
        <f t="shared" si="3"/>
        <v>3060501:410</v>
      </c>
      <c r="G117" s="1" t="s">
        <v>156</v>
      </c>
      <c r="H117" s="12" t="str">
        <f t="shared" si="4"/>
        <v>3060501:410_3060000:1</v>
      </c>
      <c r="J117" s="1" t="s">
        <v>361</v>
      </c>
      <c r="K117" s="1" t="s">
        <v>156</v>
      </c>
    </row>
    <row r="118" spans="3:11" x14ac:dyDescent="0.15">
      <c r="C118" s="1" t="s">
        <v>148</v>
      </c>
      <c r="D118" s="1">
        <v>3070001</v>
      </c>
      <c r="E118" s="1">
        <v>3000</v>
      </c>
      <c r="F118" s="1" t="str">
        <f t="shared" si="3"/>
        <v>3070001:3000</v>
      </c>
      <c r="G118" s="1" t="s">
        <v>157</v>
      </c>
      <c r="H118" s="12" t="str">
        <f t="shared" si="4"/>
        <v>3070001:3000_3070000:1</v>
      </c>
      <c r="J118" s="1" t="s">
        <v>362</v>
      </c>
      <c r="K118" s="1" t="s">
        <v>157</v>
      </c>
    </row>
    <row r="119" spans="3:11" x14ac:dyDescent="0.15">
      <c r="C119" s="1" t="s">
        <v>148</v>
      </c>
      <c r="D119" s="1">
        <v>3070001</v>
      </c>
      <c r="E119" s="1">
        <v>5000</v>
      </c>
      <c r="F119" s="1" t="str">
        <f t="shared" si="3"/>
        <v>3070001:5000</v>
      </c>
      <c r="G119" s="1" t="s">
        <v>157</v>
      </c>
      <c r="H119" s="12" t="str">
        <f t="shared" si="4"/>
        <v>3070001:5000_3070000:1</v>
      </c>
      <c r="J119" s="1" t="s">
        <v>363</v>
      </c>
      <c r="K119" s="1" t="s">
        <v>157</v>
      </c>
    </row>
    <row r="120" spans="3:11" x14ac:dyDescent="0.15">
      <c r="C120" s="1" t="s">
        <v>148</v>
      </c>
      <c r="D120" s="1">
        <v>3070001</v>
      </c>
      <c r="E120" s="1">
        <v>7000</v>
      </c>
      <c r="F120" s="1" t="str">
        <f t="shared" si="3"/>
        <v>3070001:7000</v>
      </c>
      <c r="G120" s="1" t="s">
        <v>157</v>
      </c>
      <c r="H120" s="12" t="str">
        <f t="shared" si="4"/>
        <v>3070001:7000_3070000:1</v>
      </c>
      <c r="J120" s="1" t="s">
        <v>364</v>
      </c>
      <c r="K120" s="1" t="s">
        <v>157</v>
      </c>
    </row>
    <row r="121" spans="3:11" x14ac:dyDescent="0.15">
      <c r="C121" s="1" t="s">
        <v>148</v>
      </c>
      <c r="D121" s="1">
        <v>3070001</v>
      </c>
      <c r="E121" s="1">
        <v>10000</v>
      </c>
      <c r="F121" s="1" t="str">
        <f t="shared" si="3"/>
        <v>3070001:10000</v>
      </c>
      <c r="G121" s="1" t="s">
        <v>157</v>
      </c>
      <c r="H121" s="12" t="str">
        <f t="shared" si="4"/>
        <v>3070001:10000_3070000:1</v>
      </c>
      <c r="J121" s="1" t="s">
        <v>365</v>
      </c>
      <c r="K121" s="1" t="s">
        <v>157</v>
      </c>
    </row>
    <row r="122" spans="3:11" x14ac:dyDescent="0.15">
      <c r="C122" s="1" t="s">
        <v>148</v>
      </c>
      <c r="D122" s="1">
        <v>3070001</v>
      </c>
      <c r="E122" s="1">
        <v>15000</v>
      </c>
      <c r="F122" s="1" t="str">
        <f t="shared" si="3"/>
        <v>3070001:15000</v>
      </c>
      <c r="G122" s="1" t="s">
        <v>157</v>
      </c>
      <c r="H122" s="12" t="str">
        <f t="shared" si="4"/>
        <v>3070001:15000_3070000:1</v>
      </c>
      <c r="J122" s="1" t="s">
        <v>366</v>
      </c>
      <c r="K122" s="1" t="s">
        <v>157</v>
      </c>
    </row>
    <row r="123" spans="3:11" x14ac:dyDescent="0.15">
      <c r="C123" s="11" t="s">
        <v>87</v>
      </c>
      <c r="D123" s="1">
        <v>3070101</v>
      </c>
      <c r="E123" s="1">
        <v>80</v>
      </c>
      <c r="F123" s="1" t="str">
        <f t="shared" si="3"/>
        <v>3070101:80</v>
      </c>
      <c r="G123" s="1" t="s">
        <v>157</v>
      </c>
      <c r="H123" s="12" t="str">
        <f t="shared" si="4"/>
        <v>3070101:80_3070000:1</v>
      </c>
      <c r="J123" s="1" t="s">
        <v>367</v>
      </c>
      <c r="K123" s="1" t="s">
        <v>157</v>
      </c>
    </row>
    <row r="124" spans="3:11" x14ac:dyDescent="0.15">
      <c r="C124" s="11" t="s">
        <v>87</v>
      </c>
      <c r="D124" s="1">
        <v>3070101</v>
      </c>
      <c r="E124" s="1">
        <v>140</v>
      </c>
      <c r="F124" s="1" t="str">
        <f t="shared" si="3"/>
        <v>3070101:140</v>
      </c>
      <c r="G124" s="1" t="s">
        <v>157</v>
      </c>
      <c r="H124" s="12" t="str">
        <f t="shared" si="4"/>
        <v>3070101:140_3070000:1</v>
      </c>
      <c r="J124" s="1" t="s">
        <v>368</v>
      </c>
      <c r="K124" s="1" t="s">
        <v>157</v>
      </c>
    </row>
    <row r="125" spans="3:11" x14ac:dyDescent="0.15">
      <c r="C125" s="11" t="s">
        <v>87</v>
      </c>
      <c r="D125" s="1">
        <v>3070101</v>
      </c>
      <c r="E125" s="1">
        <v>190</v>
      </c>
      <c r="F125" s="1" t="str">
        <f t="shared" si="3"/>
        <v>3070101:190</v>
      </c>
      <c r="G125" s="1" t="s">
        <v>157</v>
      </c>
      <c r="H125" s="12" t="str">
        <f t="shared" si="4"/>
        <v>3070101:190_3070000:1</v>
      </c>
      <c r="J125" s="1" t="s">
        <v>369</v>
      </c>
      <c r="K125" s="1" t="s">
        <v>157</v>
      </c>
    </row>
    <row r="126" spans="3:11" x14ac:dyDescent="0.15">
      <c r="C126" s="11" t="s">
        <v>87</v>
      </c>
      <c r="D126" s="1">
        <v>3070101</v>
      </c>
      <c r="E126" s="1">
        <v>280</v>
      </c>
      <c r="F126" s="1" t="str">
        <f t="shared" si="3"/>
        <v>3070101:280</v>
      </c>
      <c r="G126" s="1" t="s">
        <v>157</v>
      </c>
      <c r="H126" s="12" t="str">
        <f t="shared" si="4"/>
        <v>3070101:280_3070000:1</v>
      </c>
      <c r="J126" s="1" t="s">
        <v>370</v>
      </c>
      <c r="K126" s="1" t="s">
        <v>157</v>
      </c>
    </row>
    <row r="127" spans="3:11" x14ac:dyDescent="0.15">
      <c r="C127" s="11" t="s">
        <v>87</v>
      </c>
      <c r="D127" s="1">
        <v>3070101</v>
      </c>
      <c r="E127" s="1">
        <v>410</v>
      </c>
      <c r="F127" s="1" t="str">
        <f t="shared" si="3"/>
        <v>3070101:410</v>
      </c>
      <c r="G127" s="1" t="s">
        <v>157</v>
      </c>
      <c r="H127" s="12" t="str">
        <f t="shared" si="4"/>
        <v>3070101:410_3070000:1</v>
      </c>
      <c r="J127" s="1" t="s">
        <v>371</v>
      </c>
      <c r="K127" s="1" t="s">
        <v>157</v>
      </c>
    </row>
    <row r="128" spans="3:11" x14ac:dyDescent="0.15">
      <c r="C128" s="1" t="s">
        <v>87</v>
      </c>
      <c r="D128" s="1">
        <v>3070102</v>
      </c>
      <c r="E128" s="1">
        <v>3000</v>
      </c>
      <c r="F128" s="1" t="str">
        <f t="shared" si="3"/>
        <v>3070102:3000</v>
      </c>
      <c r="H128" s="12" t="str">
        <f t="shared" si="4"/>
        <v>3070102:3000</v>
      </c>
      <c r="J128" s="1" t="s">
        <v>173</v>
      </c>
    </row>
    <row r="129" spans="3:11" x14ac:dyDescent="0.15">
      <c r="C129" s="1" t="s">
        <v>87</v>
      </c>
      <c r="D129" s="1">
        <v>3070102</v>
      </c>
      <c r="E129" s="1">
        <v>5000</v>
      </c>
      <c r="F129" s="1" t="str">
        <f t="shared" si="3"/>
        <v>3070102:5000</v>
      </c>
      <c r="H129" s="12" t="str">
        <f t="shared" si="4"/>
        <v>3070102:5000</v>
      </c>
      <c r="J129" s="1" t="s">
        <v>163</v>
      </c>
    </row>
    <row r="130" spans="3:11" x14ac:dyDescent="0.15">
      <c r="C130" s="1" t="s">
        <v>87</v>
      </c>
      <c r="D130" s="1">
        <v>3070102</v>
      </c>
      <c r="E130" s="1">
        <v>7000</v>
      </c>
      <c r="F130" s="1" t="str">
        <f t="shared" si="3"/>
        <v>3070102:7000</v>
      </c>
      <c r="H130" s="12" t="str">
        <f t="shared" si="4"/>
        <v>3070102:7000</v>
      </c>
      <c r="J130" s="1" t="s">
        <v>238</v>
      </c>
    </row>
    <row r="131" spans="3:11" x14ac:dyDescent="0.15">
      <c r="C131" s="1" t="s">
        <v>87</v>
      </c>
      <c r="D131" s="1">
        <v>3070102</v>
      </c>
      <c r="E131" s="1">
        <v>10000</v>
      </c>
      <c r="F131" s="1" t="str">
        <f t="shared" si="3"/>
        <v>3070102:10000</v>
      </c>
      <c r="H131" s="12" t="str">
        <f t="shared" si="4"/>
        <v>3070102:10000</v>
      </c>
      <c r="J131" s="1" t="s">
        <v>239</v>
      </c>
    </row>
    <row r="132" spans="3:11" x14ac:dyDescent="0.15">
      <c r="C132" s="1" t="s">
        <v>87</v>
      </c>
      <c r="D132" s="1">
        <v>3070102</v>
      </c>
      <c r="E132" s="1">
        <v>15000</v>
      </c>
      <c r="F132" s="1" t="str">
        <f t="shared" ref="F132:F167" si="5">D132&amp;":"&amp;E132</f>
        <v>3070102:15000</v>
      </c>
      <c r="H132" s="12" t="str">
        <f t="shared" ref="H132:H167" si="6">_xlfn.TEXTJOIN("_",TRUE,F132:G132)</f>
        <v>3070102:15000</v>
      </c>
      <c r="J132" s="1" t="s">
        <v>240</v>
      </c>
    </row>
    <row r="133" spans="3:11" x14ac:dyDescent="0.15">
      <c r="C133" s="1" t="s">
        <v>88</v>
      </c>
      <c r="D133" s="1">
        <v>3070301</v>
      </c>
      <c r="E133" s="1">
        <v>3000</v>
      </c>
      <c r="F133" s="1" t="str">
        <f t="shared" si="5"/>
        <v>3070301:3000</v>
      </c>
      <c r="H133" s="12" t="str">
        <f t="shared" si="6"/>
        <v>3070301:3000</v>
      </c>
      <c r="J133" s="1" t="s">
        <v>182</v>
      </c>
    </row>
    <row r="134" spans="3:11" x14ac:dyDescent="0.15">
      <c r="C134" s="1" t="s">
        <v>88</v>
      </c>
      <c r="D134" s="1">
        <v>3070301</v>
      </c>
      <c r="E134" s="1">
        <v>5000</v>
      </c>
      <c r="F134" s="1" t="str">
        <f t="shared" si="5"/>
        <v>3070301:5000</v>
      </c>
      <c r="H134" s="12" t="str">
        <f t="shared" si="6"/>
        <v>3070301:5000</v>
      </c>
      <c r="J134" s="1" t="s">
        <v>174</v>
      </c>
    </row>
    <row r="135" spans="3:11" x14ac:dyDescent="0.15">
      <c r="C135" s="1" t="s">
        <v>88</v>
      </c>
      <c r="D135" s="1">
        <v>3070301</v>
      </c>
      <c r="E135" s="1">
        <v>7000</v>
      </c>
      <c r="F135" s="1" t="str">
        <f t="shared" si="5"/>
        <v>3070301:7000</v>
      </c>
      <c r="H135" s="12" t="str">
        <f t="shared" si="6"/>
        <v>3070301:7000</v>
      </c>
      <c r="J135" s="1" t="s">
        <v>241</v>
      </c>
    </row>
    <row r="136" spans="3:11" x14ac:dyDescent="0.15">
      <c r="C136" s="1" t="s">
        <v>88</v>
      </c>
      <c r="D136" s="1">
        <v>3070301</v>
      </c>
      <c r="E136" s="1">
        <v>10000</v>
      </c>
      <c r="F136" s="1" t="str">
        <f t="shared" si="5"/>
        <v>3070301:10000</v>
      </c>
      <c r="H136" s="12" t="str">
        <f t="shared" si="6"/>
        <v>3070301:10000</v>
      </c>
      <c r="J136" s="1" t="s">
        <v>242</v>
      </c>
    </row>
    <row r="137" spans="3:11" x14ac:dyDescent="0.15">
      <c r="C137" s="1" t="s">
        <v>88</v>
      </c>
      <c r="D137" s="1">
        <v>3070301</v>
      </c>
      <c r="E137" s="1">
        <v>15000</v>
      </c>
      <c r="F137" s="1" t="str">
        <f t="shared" si="5"/>
        <v>3070301:15000</v>
      </c>
      <c r="H137" s="12" t="str">
        <f t="shared" si="6"/>
        <v>3070301:15000</v>
      </c>
      <c r="J137" s="1" t="s">
        <v>243</v>
      </c>
    </row>
    <row r="138" spans="3:11" x14ac:dyDescent="0.15">
      <c r="C138" s="8" t="s">
        <v>90</v>
      </c>
      <c r="D138" s="1">
        <v>3070501</v>
      </c>
      <c r="E138" s="1">
        <v>80</v>
      </c>
      <c r="F138" s="1" t="str">
        <f t="shared" si="5"/>
        <v>3070501:80</v>
      </c>
      <c r="G138" s="1" t="s">
        <v>157</v>
      </c>
      <c r="H138" s="12" t="str">
        <f t="shared" si="6"/>
        <v>3070501:80_3070000:1</v>
      </c>
      <c r="J138" s="1" t="s">
        <v>372</v>
      </c>
      <c r="K138" s="1" t="s">
        <v>157</v>
      </c>
    </row>
    <row r="139" spans="3:11" x14ac:dyDescent="0.15">
      <c r="C139" s="8" t="s">
        <v>90</v>
      </c>
      <c r="D139" s="1">
        <v>3070501</v>
      </c>
      <c r="E139" s="1">
        <v>140</v>
      </c>
      <c r="F139" s="1" t="str">
        <f t="shared" si="5"/>
        <v>3070501:140</v>
      </c>
      <c r="G139" s="1" t="s">
        <v>157</v>
      </c>
      <c r="H139" s="12" t="str">
        <f t="shared" si="6"/>
        <v>3070501:140_3070000:1</v>
      </c>
      <c r="J139" s="1" t="s">
        <v>373</v>
      </c>
      <c r="K139" s="1" t="s">
        <v>157</v>
      </c>
    </row>
    <row r="140" spans="3:11" x14ac:dyDescent="0.15">
      <c r="C140" s="8" t="s">
        <v>90</v>
      </c>
      <c r="D140" s="1">
        <v>3070501</v>
      </c>
      <c r="E140" s="1">
        <v>190</v>
      </c>
      <c r="F140" s="1" t="str">
        <f t="shared" si="5"/>
        <v>3070501:190</v>
      </c>
      <c r="G140" s="1" t="s">
        <v>157</v>
      </c>
      <c r="H140" s="12" t="str">
        <f t="shared" si="6"/>
        <v>3070501:190_3070000:1</v>
      </c>
      <c r="J140" s="1" t="s">
        <v>374</v>
      </c>
      <c r="K140" s="1" t="s">
        <v>157</v>
      </c>
    </row>
    <row r="141" spans="3:11" x14ac:dyDescent="0.15">
      <c r="C141" s="8" t="s">
        <v>90</v>
      </c>
      <c r="D141" s="1">
        <v>3070501</v>
      </c>
      <c r="E141" s="1">
        <v>280</v>
      </c>
      <c r="F141" s="1" t="str">
        <f t="shared" si="5"/>
        <v>3070501:280</v>
      </c>
      <c r="G141" s="1" t="s">
        <v>157</v>
      </c>
      <c r="H141" s="12" t="str">
        <f t="shared" si="6"/>
        <v>3070501:280_3070000:1</v>
      </c>
      <c r="J141" s="1" t="s">
        <v>375</v>
      </c>
      <c r="K141" s="1" t="s">
        <v>157</v>
      </c>
    </row>
    <row r="142" spans="3:11" x14ac:dyDescent="0.15">
      <c r="C142" s="8" t="s">
        <v>90</v>
      </c>
      <c r="D142" s="1">
        <v>3070501</v>
      </c>
      <c r="E142" s="1">
        <v>410</v>
      </c>
      <c r="F142" s="1" t="str">
        <f t="shared" si="5"/>
        <v>3070501:410</v>
      </c>
      <c r="G142" s="1" t="s">
        <v>157</v>
      </c>
      <c r="H142" s="12" t="str">
        <f t="shared" si="6"/>
        <v>3070501:410_3070000:1</v>
      </c>
      <c r="J142" s="1" t="s">
        <v>376</v>
      </c>
      <c r="K142" s="1" t="s">
        <v>157</v>
      </c>
    </row>
    <row r="143" spans="3:11" x14ac:dyDescent="0.15">
      <c r="C143" s="1" t="s">
        <v>149</v>
      </c>
      <c r="D143" s="1">
        <v>3080001</v>
      </c>
      <c r="E143" s="1">
        <v>3000</v>
      </c>
      <c r="F143" s="1" t="str">
        <f t="shared" si="5"/>
        <v>3080001:3000</v>
      </c>
      <c r="G143" s="1" t="s">
        <v>158</v>
      </c>
      <c r="H143" s="12" t="str">
        <f t="shared" si="6"/>
        <v>3080001:3000_3080000:1</v>
      </c>
      <c r="J143" s="1" t="s">
        <v>377</v>
      </c>
      <c r="K143" s="1" t="s">
        <v>158</v>
      </c>
    </row>
    <row r="144" spans="3:11" x14ac:dyDescent="0.15">
      <c r="C144" s="1" t="s">
        <v>149</v>
      </c>
      <c r="D144" s="1">
        <v>3080001</v>
      </c>
      <c r="E144" s="1">
        <v>5000</v>
      </c>
      <c r="F144" s="1" t="str">
        <f t="shared" si="5"/>
        <v>3080001:5000</v>
      </c>
      <c r="G144" s="1" t="s">
        <v>158</v>
      </c>
      <c r="H144" s="12" t="str">
        <f t="shared" si="6"/>
        <v>3080001:5000_3080000:1</v>
      </c>
      <c r="J144" s="1" t="s">
        <v>378</v>
      </c>
      <c r="K144" s="1" t="s">
        <v>158</v>
      </c>
    </row>
    <row r="145" spans="3:11" x14ac:dyDescent="0.15">
      <c r="C145" s="1" t="s">
        <v>149</v>
      </c>
      <c r="D145" s="1">
        <v>3080001</v>
      </c>
      <c r="E145" s="1">
        <v>7000</v>
      </c>
      <c r="F145" s="1" t="str">
        <f t="shared" si="5"/>
        <v>3080001:7000</v>
      </c>
      <c r="G145" s="1" t="s">
        <v>158</v>
      </c>
      <c r="H145" s="12" t="str">
        <f t="shared" si="6"/>
        <v>3080001:7000_3080000:1</v>
      </c>
      <c r="J145" s="1" t="s">
        <v>379</v>
      </c>
      <c r="K145" s="1" t="s">
        <v>158</v>
      </c>
    </row>
    <row r="146" spans="3:11" x14ac:dyDescent="0.15">
      <c r="C146" s="1" t="s">
        <v>149</v>
      </c>
      <c r="D146" s="1">
        <v>3080001</v>
      </c>
      <c r="E146" s="1">
        <v>10000</v>
      </c>
      <c r="F146" s="1" t="str">
        <f t="shared" si="5"/>
        <v>3080001:10000</v>
      </c>
      <c r="G146" s="1" t="s">
        <v>158</v>
      </c>
      <c r="H146" s="12" t="str">
        <f t="shared" si="6"/>
        <v>3080001:10000_3080000:1</v>
      </c>
      <c r="J146" s="1" t="s">
        <v>380</v>
      </c>
      <c r="K146" s="1" t="s">
        <v>158</v>
      </c>
    </row>
    <row r="147" spans="3:11" x14ac:dyDescent="0.15">
      <c r="C147" s="1" t="s">
        <v>149</v>
      </c>
      <c r="D147" s="1">
        <v>3080001</v>
      </c>
      <c r="E147" s="1">
        <v>15000</v>
      </c>
      <c r="F147" s="1" t="str">
        <f t="shared" si="5"/>
        <v>3080001:15000</v>
      </c>
      <c r="G147" s="1" t="s">
        <v>158</v>
      </c>
      <c r="H147" s="12" t="str">
        <f t="shared" si="6"/>
        <v>3080001:15000_3080000:1</v>
      </c>
      <c r="J147" s="1" t="s">
        <v>381</v>
      </c>
      <c r="K147" s="1" t="s">
        <v>158</v>
      </c>
    </row>
    <row r="148" spans="3:11" x14ac:dyDescent="0.15">
      <c r="C148" s="11" t="s">
        <v>93</v>
      </c>
      <c r="D148" s="1">
        <v>3080101</v>
      </c>
      <c r="E148" s="1">
        <v>80</v>
      </c>
      <c r="F148" s="1" t="str">
        <f t="shared" si="5"/>
        <v>3080101:80</v>
      </c>
      <c r="G148" s="1" t="s">
        <v>158</v>
      </c>
      <c r="H148" s="12" t="str">
        <f t="shared" si="6"/>
        <v>3080101:80_3080000:1</v>
      </c>
      <c r="J148" s="1" t="s">
        <v>382</v>
      </c>
      <c r="K148" s="1" t="s">
        <v>158</v>
      </c>
    </row>
    <row r="149" spans="3:11" x14ac:dyDescent="0.15">
      <c r="C149" s="11" t="s">
        <v>93</v>
      </c>
      <c r="D149" s="1">
        <v>3080101</v>
      </c>
      <c r="E149" s="1">
        <v>140</v>
      </c>
      <c r="F149" s="1" t="str">
        <f t="shared" si="5"/>
        <v>3080101:140</v>
      </c>
      <c r="G149" s="1" t="s">
        <v>158</v>
      </c>
      <c r="H149" s="12" t="str">
        <f t="shared" si="6"/>
        <v>3080101:140_3080000:1</v>
      </c>
      <c r="J149" s="1" t="s">
        <v>383</v>
      </c>
      <c r="K149" s="1" t="s">
        <v>158</v>
      </c>
    </row>
    <row r="150" spans="3:11" x14ac:dyDescent="0.15">
      <c r="C150" s="11" t="s">
        <v>93</v>
      </c>
      <c r="D150" s="1">
        <v>3080101</v>
      </c>
      <c r="E150" s="1">
        <v>190</v>
      </c>
      <c r="F150" s="1" t="str">
        <f t="shared" si="5"/>
        <v>3080101:190</v>
      </c>
      <c r="G150" s="1" t="s">
        <v>158</v>
      </c>
      <c r="H150" s="12" t="str">
        <f t="shared" si="6"/>
        <v>3080101:190_3080000:1</v>
      </c>
      <c r="J150" s="1" t="s">
        <v>384</v>
      </c>
      <c r="K150" s="1" t="s">
        <v>158</v>
      </c>
    </row>
    <row r="151" spans="3:11" x14ac:dyDescent="0.15">
      <c r="C151" s="11" t="s">
        <v>93</v>
      </c>
      <c r="D151" s="1">
        <v>3080101</v>
      </c>
      <c r="E151" s="1">
        <v>280</v>
      </c>
      <c r="F151" s="1" t="str">
        <f t="shared" si="5"/>
        <v>3080101:280</v>
      </c>
      <c r="G151" s="1" t="s">
        <v>158</v>
      </c>
      <c r="H151" s="12" t="str">
        <f t="shared" si="6"/>
        <v>3080101:280_3080000:1</v>
      </c>
      <c r="J151" s="1" t="s">
        <v>385</v>
      </c>
      <c r="K151" s="1" t="s">
        <v>158</v>
      </c>
    </row>
    <row r="152" spans="3:11" x14ac:dyDescent="0.15">
      <c r="C152" s="11" t="s">
        <v>93</v>
      </c>
      <c r="D152" s="1">
        <v>3080101</v>
      </c>
      <c r="E152" s="1">
        <v>410</v>
      </c>
      <c r="F152" s="1" t="str">
        <f t="shared" si="5"/>
        <v>3080101:410</v>
      </c>
      <c r="G152" s="1" t="s">
        <v>158</v>
      </c>
      <c r="H152" s="12" t="str">
        <f t="shared" si="6"/>
        <v>3080101:410_3080000:1</v>
      </c>
      <c r="J152" s="1" t="s">
        <v>386</v>
      </c>
      <c r="K152" s="1" t="s">
        <v>158</v>
      </c>
    </row>
    <row r="153" spans="3:11" x14ac:dyDescent="0.15">
      <c r="C153" s="1" t="s">
        <v>93</v>
      </c>
      <c r="D153" s="1">
        <v>3080102</v>
      </c>
      <c r="E153" s="1">
        <v>3000</v>
      </c>
      <c r="F153" s="1" t="str">
        <f t="shared" si="5"/>
        <v>3080102:3000</v>
      </c>
      <c r="H153" s="12" t="str">
        <f t="shared" si="6"/>
        <v>3080102:3000</v>
      </c>
      <c r="J153" s="1" t="s">
        <v>175</v>
      </c>
    </row>
    <row r="154" spans="3:11" x14ac:dyDescent="0.15">
      <c r="C154" s="1" t="s">
        <v>93</v>
      </c>
      <c r="D154" s="1">
        <v>3080102</v>
      </c>
      <c r="E154" s="1">
        <v>5000</v>
      </c>
      <c r="F154" s="1" t="str">
        <f t="shared" si="5"/>
        <v>3080102:5000</v>
      </c>
      <c r="H154" s="12" t="str">
        <f t="shared" si="6"/>
        <v>3080102:5000</v>
      </c>
      <c r="J154" s="1" t="s">
        <v>164</v>
      </c>
    </row>
    <row r="155" spans="3:11" x14ac:dyDescent="0.15">
      <c r="C155" s="1" t="s">
        <v>93</v>
      </c>
      <c r="D155" s="1">
        <v>3080102</v>
      </c>
      <c r="E155" s="1">
        <v>7000</v>
      </c>
      <c r="F155" s="1" t="str">
        <f t="shared" si="5"/>
        <v>3080102:7000</v>
      </c>
      <c r="H155" s="12" t="str">
        <f t="shared" si="6"/>
        <v>3080102:7000</v>
      </c>
      <c r="J155" s="1" t="s">
        <v>244</v>
      </c>
    </row>
    <row r="156" spans="3:11" x14ac:dyDescent="0.15">
      <c r="C156" s="1" t="s">
        <v>93</v>
      </c>
      <c r="D156" s="1">
        <v>3080102</v>
      </c>
      <c r="E156" s="1">
        <v>10000</v>
      </c>
      <c r="F156" s="1" t="str">
        <f t="shared" si="5"/>
        <v>3080102:10000</v>
      </c>
      <c r="H156" s="12" t="str">
        <f t="shared" si="6"/>
        <v>3080102:10000</v>
      </c>
      <c r="J156" s="1" t="s">
        <v>245</v>
      </c>
    </row>
    <row r="157" spans="3:11" x14ac:dyDescent="0.15">
      <c r="C157" s="1" t="s">
        <v>93</v>
      </c>
      <c r="D157" s="1">
        <v>3080102</v>
      </c>
      <c r="E157" s="1">
        <v>15000</v>
      </c>
      <c r="F157" s="1" t="str">
        <f t="shared" si="5"/>
        <v>3080102:15000</v>
      </c>
      <c r="H157" s="12" t="str">
        <f t="shared" si="6"/>
        <v>3080102:15000</v>
      </c>
      <c r="J157" s="1" t="s">
        <v>246</v>
      </c>
    </row>
    <row r="158" spans="3:11" x14ac:dyDescent="0.15">
      <c r="C158" s="1" t="s">
        <v>94</v>
      </c>
      <c r="D158" s="1">
        <v>3080301</v>
      </c>
      <c r="E158" s="1">
        <v>3000</v>
      </c>
      <c r="F158" s="1" t="str">
        <f t="shared" si="5"/>
        <v>3080301:3000</v>
      </c>
      <c r="H158" s="12" t="str">
        <f t="shared" si="6"/>
        <v>3080301:3000</v>
      </c>
      <c r="J158" s="1" t="s">
        <v>152</v>
      </c>
    </row>
    <row r="159" spans="3:11" x14ac:dyDescent="0.15">
      <c r="C159" s="1" t="s">
        <v>94</v>
      </c>
      <c r="D159" s="1">
        <v>3080301</v>
      </c>
      <c r="E159" s="1">
        <v>5000</v>
      </c>
      <c r="F159" s="1" t="str">
        <f t="shared" si="5"/>
        <v>3080301:5000</v>
      </c>
      <c r="H159" s="12" t="str">
        <f t="shared" si="6"/>
        <v>3080301:5000</v>
      </c>
      <c r="J159" s="1" t="s">
        <v>176</v>
      </c>
    </row>
    <row r="160" spans="3:11" x14ac:dyDescent="0.15">
      <c r="C160" s="1" t="s">
        <v>94</v>
      </c>
      <c r="D160" s="1">
        <v>3080301</v>
      </c>
      <c r="E160" s="1">
        <v>7000</v>
      </c>
      <c r="F160" s="1" t="str">
        <f t="shared" si="5"/>
        <v>3080301:7000</v>
      </c>
      <c r="H160" s="12" t="str">
        <f t="shared" si="6"/>
        <v>3080301:7000</v>
      </c>
      <c r="J160" s="1" t="s">
        <v>247</v>
      </c>
    </row>
    <row r="161" spans="3:11" x14ac:dyDescent="0.15">
      <c r="C161" s="1" t="s">
        <v>94</v>
      </c>
      <c r="D161" s="1">
        <v>3080301</v>
      </c>
      <c r="E161" s="1">
        <v>10000</v>
      </c>
      <c r="F161" s="1" t="str">
        <f t="shared" si="5"/>
        <v>3080301:10000</v>
      </c>
      <c r="H161" s="12" t="str">
        <f t="shared" si="6"/>
        <v>3080301:10000</v>
      </c>
      <c r="J161" s="1" t="s">
        <v>248</v>
      </c>
    </row>
    <row r="162" spans="3:11" x14ac:dyDescent="0.15">
      <c r="C162" s="1" t="s">
        <v>94</v>
      </c>
      <c r="D162" s="1">
        <v>3080301</v>
      </c>
      <c r="E162" s="1">
        <v>15000</v>
      </c>
      <c r="F162" s="1" t="str">
        <f t="shared" si="5"/>
        <v>3080301:15000</v>
      </c>
      <c r="H162" s="12" t="str">
        <f t="shared" si="6"/>
        <v>3080301:15000</v>
      </c>
      <c r="J162" s="1" t="s">
        <v>249</v>
      </c>
    </row>
    <row r="163" spans="3:11" x14ac:dyDescent="0.15">
      <c r="C163" s="8" t="s">
        <v>96</v>
      </c>
      <c r="D163" s="1">
        <v>3080501</v>
      </c>
      <c r="E163" s="1">
        <v>80</v>
      </c>
      <c r="F163" s="1" t="str">
        <f t="shared" si="5"/>
        <v>3080501:80</v>
      </c>
      <c r="G163" s="1" t="s">
        <v>158</v>
      </c>
      <c r="H163" s="12" t="str">
        <f t="shared" si="6"/>
        <v>3080501:80_3080000:1</v>
      </c>
      <c r="J163" s="1" t="s">
        <v>387</v>
      </c>
      <c r="K163" s="1" t="s">
        <v>158</v>
      </c>
    </row>
    <row r="164" spans="3:11" x14ac:dyDescent="0.15">
      <c r="C164" s="8" t="s">
        <v>96</v>
      </c>
      <c r="D164" s="1">
        <v>3080501</v>
      </c>
      <c r="E164" s="1">
        <v>140</v>
      </c>
      <c r="F164" s="1" t="str">
        <f t="shared" si="5"/>
        <v>3080501:140</v>
      </c>
      <c r="G164" s="1" t="s">
        <v>158</v>
      </c>
      <c r="H164" s="12" t="str">
        <f t="shared" si="6"/>
        <v>3080501:140_3080000:1</v>
      </c>
      <c r="J164" s="1" t="s">
        <v>388</v>
      </c>
      <c r="K164" s="1" t="s">
        <v>158</v>
      </c>
    </row>
    <row r="165" spans="3:11" x14ac:dyDescent="0.15">
      <c r="C165" s="8" t="s">
        <v>96</v>
      </c>
      <c r="D165" s="1">
        <v>3080501</v>
      </c>
      <c r="E165" s="1">
        <v>190</v>
      </c>
      <c r="F165" s="1" t="str">
        <f t="shared" si="5"/>
        <v>3080501:190</v>
      </c>
      <c r="G165" s="1" t="s">
        <v>158</v>
      </c>
      <c r="H165" s="12" t="str">
        <f t="shared" si="6"/>
        <v>3080501:190_3080000:1</v>
      </c>
      <c r="J165" s="1" t="s">
        <v>389</v>
      </c>
      <c r="K165" s="1" t="s">
        <v>158</v>
      </c>
    </row>
    <row r="166" spans="3:11" x14ac:dyDescent="0.15">
      <c r="C166" s="8" t="s">
        <v>96</v>
      </c>
      <c r="D166" s="1">
        <v>3080501</v>
      </c>
      <c r="E166" s="1">
        <v>280</v>
      </c>
      <c r="F166" s="1" t="str">
        <f t="shared" si="5"/>
        <v>3080501:280</v>
      </c>
      <c r="G166" s="1" t="s">
        <v>158</v>
      </c>
      <c r="H166" s="12" t="str">
        <f t="shared" si="6"/>
        <v>3080501:280_3080000:1</v>
      </c>
      <c r="J166" s="1" t="s">
        <v>390</v>
      </c>
      <c r="K166" s="1" t="s">
        <v>158</v>
      </c>
    </row>
    <row r="167" spans="3:11" x14ac:dyDescent="0.15">
      <c r="C167" s="8" t="s">
        <v>96</v>
      </c>
      <c r="D167" s="1">
        <v>3080501</v>
      </c>
      <c r="E167" s="1">
        <v>410</v>
      </c>
      <c r="F167" s="1" t="str">
        <f t="shared" si="5"/>
        <v>3080501:410</v>
      </c>
      <c r="G167" s="1" t="s">
        <v>158</v>
      </c>
      <c r="H167" s="12" t="str">
        <f t="shared" si="6"/>
        <v>3080501:410_3080000:1</v>
      </c>
      <c r="J167" s="1" t="s">
        <v>391</v>
      </c>
      <c r="K167" s="1" t="s">
        <v>158</v>
      </c>
    </row>
    <row r="168" spans="3:11" x14ac:dyDescent="0.15">
      <c r="C168" s="1" t="s">
        <v>392</v>
      </c>
    </row>
    <row r="169" spans="3:11" x14ac:dyDescent="0.15">
      <c r="C169" s="1" t="s">
        <v>393</v>
      </c>
    </row>
    <row r="170" spans="3:11" x14ac:dyDescent="0.15">
      <c r="C170" s="1" t="s">
        <v>394</v>
      </c>
    </row>
    <row r="171" spans="3:11" x14ac:dyDescent="0.15">
      <c r="C171" s="1" t="s">
        <v>395</v>
      </c>
    </row>
    <row r="172" spans="3:11" x14ac:dyDescent="0.15">
      <c r="C172" s="1" t="s">
        <v>396</v>
      </c>
    </row>
    <row r="173" spans="3:11" x14ac:dyDescent="0.15">
      <c r="C173" s="1" t="s">
        <v>397</v>
      </c>
    </row>
    <row r="174" spans="3:11" x14ac:dyDescent="0.15">
      <c r="C174" s="1" t="s">
        <v>398</v>
      </c>
    </row>
    <row r="175" spans="3:11" x14ac:dyDescent="0.15">
      <c r="C175" s="1" t="s">
        <v>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maze_energy_affix_v8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2025-05-09T12:28:12Z</dcterms:modified>
</cp:coreProperties>
</file>