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派派世界2.0\02策划方案\06表格\4.0版本-迷宫独立表\"/>
    </mc:Choice>
  </mc:AlternateContent>
  <xr:revisionPtr revIDLastSave="0" documentId="13_ncr:1_{D717A22D-8145-4A09-BC94-EEECBE447846}" xr6:coauthVersionLast="47" xr6:coauthVersionMax="47" xr10:uidLastSave="{00000000-0000-0000-0000-000000000000}"/>
  <bookViews>
    <workbookView xWindow="-120" yWindow="-120" windowWidth="29040" windowHeight="15840" xr2:uid="{B965FE27-C998-4B23-9CF9-52FD9DD9A018}"/>
  </bookViews>
  <sheets>
    <sheet name="maze_shop_equip_list_v8" sheetId="1" r:id="rId1"/>
    <sheet name="备注" sheetId="2" r:id="rId2"/>
  </sheets>
  <definedNames>
    <definedName name="_xlnm._FilterDatabase" localSheetId="0" hidden="1">maze_shop_equip_list_v8!$A$4:$E$44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" i="2" l="1"/>
  <c r="Y2" i="2" s="1"/>
  <c r="Y6" i="2" s="1" a="1"/>
  <c r="Y6" i="2" s="1"/>
  <c r="B3" i="2" a="1"/>
  <c r="B3" i="2" s="1"/>
  <c r="W3" i="2" a="1"/>
  <c r="W3" i="2" s="1"/>
  <c r="B4" i="2" a="1"/>
  <c r="B4" i="2" s="1"/>
  <c r="G4" i="2"/>
  <c r="G9" i="2" s="1"/>
  <c r="G14" i="2" s="1"/>
  <c r="G19" i="2" s="1"/>
  <c r="W4" i="2" a="1"/>
  <c r="W4" i="2" s="1"/>
  <c r="B5" i="2" a="1"/>
  <c r="B5" i="2" s="1"/>
  <c r="W5" i="2" a="1"/>
  <c r="W5" i="2" s="1"/>
  <c r="X5" i="2" a="1"/>
  <c r="X5" i="2" s="1"/>
  <c r="B6" i="2" a="1"/>
  <c r="B6" i="2" s="1"/>
  <c r="W6" i="2" a="1"/>
  <c r="W6" i="2" s="1"/>
  <c r="B7" i="2" a="1"/>
  <c r="B7" i="2" s="1"/>
  <c r="P7" i="2"/>
  <c r="B8" i="2" a="1"/>
  <c r="B8" i="2" s="1"/>
  <c r="G8" i="2"/>
  <c r="G13" i="2" s="1"/>
  <c r="G18" i="2" s="1"/>
  <c r="P8" i="2"/>
  <c r="Y8" i="2" s="1" a="1"/>
  <c r="Y8" i="2" s="1"/>
  <c r="B9" i="2" a="1"/>
  <c r="B9" i="2" s="1"/>
  <c r="P9" i="2"/>
  <c r="W9" i="2" s="1" a="1"/>
  <c r="W9" i="2" s="1"/>
  <c r="B10" i="2" a="1"/>
  <c r="B10" i="2" s="1"/>
  <c r="P10" i="2"/>
  <c r="B11" i="2" a="1"/>
  <c r="B11" i="2" s="1"/>
  <c r="B12" i="2" a="1"/>
  <c r="B12" i="2" s="1"/>
  <c r="B13" i="2" a="1"/>
  <c r="B13" i="2" s="1"/>
  <c r="B14" i="2" a="1"/>
  <c r="B14" i="2" s="1"/>
  <c r="B15" i="2" a="1"/>
  <c r="B15" i="2" s="1"/>
  <c r="B16" i="2" a="1"/>
  <c r="B16" i="2" s="1"/>
  <c r="B17" i="2" a="1"/>
  <c r="B17" i="2" s="1"/>
  <c r="B18" i="2" a="1"/>
  <c r="B18" i="2" s="1"/>
  <c r="B19" i="2" a="1"/>
  <c r="B19" i="2" s="1"/>
  <c r="B20" i="2" a="1"/>
  <c r="B20" i="2" s="1"/>
  <c r="B21" i="2" a="1"/>
  <c r="B21" i="2" s="1"/>
  <c r="B22" i="2" a="1"/>
  <c r="B22" i="2" s="1"/>
  <c r="B23" i="2" a="1"/>
  <c r="B23" i="2" s="1"/>
  <c r="O23" i="2"/>
  <c r="O43" i="2" s="1"/>
  <c r="O63" i="2" s="1"/>
  <c r="P23" i="2"/>
  <c r="P43" i="2" s="1"/>
  <c r="Q23" i="2"/>
  <c r="B24" i="2" a="1"/>
  <c r="B24" i="2" s="1"/>
  <c r="O24" i="2"/>
  <c r="O44" i="2" s="1"/>
  <c r="O64" i="2" s="1"/>
  <c r="P24" i="2"/>
  <c r="P44" i="2" s="1"/>
  <c r="P64" i="2" s="1"/>
  <c r="Q24" i="2"/>
  <c r="Q44" i="2" s="1"/>
  <c r="Q64" i="2" s="1"/>
  <c r="B25" i="2" a="1"/>
  <c r="B25" i="2" s="1"/>
  <c r="O25" i="2"/>
  <c r="P25" i="2"/>
  <c r="P45" i="2" s="1"/>
  <c r="Q25" i="2"/>
  <c r="Q45" i="2" s="1"/>
  <c r="Q65" i="2" s="1"/>
  <c r="B26" i="2" a="1"/>
  <c r="B26" i="2" s="1"/>
  <c r="O26" i="2"/>
  <c r="O46" i="2" s="1"/>
  <c r="O66" i="2" s="1"/>
  <c r="P26" i="2"/>
  <c r="P46" i="2" s="1"/>
  <c r="P66" i="2" s="1"/>
  <c r="Q26" i="2"/>
  <c r="Q46" i="2" s="1"/>
  <c r="Q66" i="2" s="1"/>
  <c r="B27" i="2" a="1"/>
  <c r="B27" i="2" s="1"/>
  <c r="O27" i="2"/>
  <c r="O47" i="2" s="1"/>
  <c r="O67" i="2" s="1"/>
  <c r="P27" i="2"/>
  <c r="P47" i="2" s="1"/>
  <c r="P67" i="2" s="1"/>
  <c r="Q27" i="2"/>
  <c r="Q47" i="2" s="1"/>
  <c r="Q67" i="2" s="1"/>
  <c r="B28" i="2" a="1"/>
  <c r="B28" i="2" s="1"/>
  <c r="O28" i="2"/>
  <c r="O48" i="2" s="1"/>
  <c r="O68" i="2" s="1"/>
  <c r="Q28" i="2"/>
  <c r="Q48" i="2" s="1"/>
  <c r="Q68" i="2" s="1"/>
  <c r="B29" i="2" a="1"/>
  <c r="B29" i="2" s="1"/>
  <c r="O29" i="2"/>
  <c r="O49" i="2" s="1"/>
  <c r="O69" i="2" s="1"/>
  <c r="Q29" i="2"/>
  <c r="Q49" i="2" s="1"/>
  <c r="Q69" i="2" s="1"/>
  <c r="B30" i="2" a="1"/>
  <c r="B30" i="2" s="1"/>
  <c r="O30" i="2"/>
  <c r="O50" i="2" s="1"/>
  <c r="O70" i="2" s="1"/>
  <c r="P30" i="2"/>
  <c r="Q30" i="2"/>
  <c r="Q50" i="2" s="1"/>
  <c r="Q70" i="2" s="1"/>
  <c r="B31" i="2" a="1"/>
  <c r="B31" i="2" s="1"/>
  <c r="O31" i="2"/>
  <c r="O51" i="2" s="1"/>
  <c r="Q31" i="2"/>
  <c r="Q51" i="2" s="1"/>
  <c r="Q71" i="2" s="1"/>
  <c r="B32" i="2" a="1"/>
  <c r="B32" i="2" s="1"/>
  <c r="O32" i="2"/>
  <c r="O52" i="2" s="1"/>
  <c r="O72" i="2" s="1"/>
  <c r="Q32" i="2"/>
  <c r="B33" i="2" a="1"/>
  <c r="B33" i="2" s="1"/>
  <c r="O33" i="2"/>
  <c r="O53" i="2" s="1"/>
  <c r="O73" i="2" s="1"/>
  <c r="Q33" i="2"/>
  <c r="Q53" i="2" s="1"/>
  <c r="Q73" i="2" s="1"/>
  <c r="O34" i="2"/>
  <c r="O54" i="2" s="1"/>
  <c r="O74" i="2" s="1"/>
  <c r="Q34" i="2"/>
  <c r="Q54" i="2" s="1"/>
  <c r="Q74" i="2" s="1"/>
  <c r="O35" i="2"/>
  <c r="O55" i="2" s="1"/>
  <c r="O75" i="2" s="1"/>
  <c r="Q35" i="2"/>
  <c r="Q55" i="2" s="1"/>
  <c r="Q75" i="2" s="1"/>
  <c r="O36" i="2"/>
  <c r="O56" i="2" s="1"/>
  <c r="O76" i="2" s="1"/>
  <c r="Q36" i="2"/>
  <c r="Q56" i="2" s="1"/>
  <c r="Q76" i="2" s="1"/>
  <c r="O37" i="2"/>
  <c r="O57" i="2" s="1"/>
  <c r="O77" i="2" s="1"/>
  <c r="Q37" i="2"/>
  <c r="O38" i="2"/>
  <c r="O58" i="2" s="1"/>
  <c r="O78" i="2" s="1"/>
  <c r="Q38" i="2"/>
  <c r="Q58" i="2" s="1"/>
  <c r="O39" i="2"/>
  <c r="O59" i="2" s="1"/>
  <c r="O79" i="2" s="1"/>
  <c r="Q39" i="2"/>
  <c r="Q59" i="2" s="1"/>
  <c r="Q79" i="2" s="1"/>
  <c r="O40" i="2"/>
  <c r="O60" i="2" s="1"/>
  <c r="O80" i="2" s="1"/>
  <c r="Q40" i="2"/>
  <c r="Q60" i="2" s="1"/>
  <c r="Q80" i="2" s="1"/>
  <c r="O41" i="2"/>
  <c r="Q41" i="2"/>
  <c r="O42" i="2"/>
  <c r="O62" i="2" s="1"/>
  <c r="O82" i="2" s="1"/>
  <c r="Q42" i="2"/>
  <c r="Q62" i="2" s="1"/>
  <c r="Q82" i="2" s="1"/>
  <c r="Q43" i="2"/>
  <c r="Q63" i="2" s="1"/>
  <c r="O45" i="2"/>
  <c r="O65" i="2" s="1"/>
  <c r="Q52" i="2"/>
  <c r="Q72" i="2" s="1"/>
  <c r="Q57" i="2"/>
  <c r="Q77" i="2" s="1"/>
  <c r="O61" i="2"/>
  <c r="Q61" i="2"/>
  <c r="Q81" i="2" s="1"/>
  <c r="O71" i="2"/>
  <c r="Q78" i="2"/>
  <c r="O81" i="2"/>
  <c r="X3" i="2" l="1" a="1"/>
  <c r="X3" i="2" s="1"/>
  <c r="X10" i="2" a="1"/>
  <c r="X10" i="2" s="1"/>
  <c r="X4" i="2" a="1"/>
  <c r="X4" i="2" s="1"/>
  <c r="X6" i="2" a="1"/>
  <c r="X6" i="2" s="1"/>
  <c r="P28" i="2"/>
  <c r="X8" i="2" a="1"/>
  <c r="X8" i="2" s="1"/>
  <c r="P13" i="2"/>
  <c r="P33" i="2" s="1"/>
  <c r="P53" i="2" s="1"/>
  <c r="P73" i="2" s="1"/>
  <c r="X7" i="2" a="1"/>
  <c r="X7" i="2" s="1"/>
  <c r="G5" i="2"/>
  <c r="X12" i="2" s="1" a="1"/>
  <c r="X12" i="2" s="1"/>
  <c r="P29" i="2"/>
  <c r="P49" i="2" s="1"/>
  <c r="P69" i="2" s="1"/>
  <c r="P12" i="2"/>
  <c r="P65" i="2"/>
  <c r="W10" i="2" a="1"/>
  <c r="W10" i="2" s="1"/>
  <c r="P50" i="2"/>
  <c r="P14" i="2"/>
  <c r="Y14" i="2" s="1" a="1"/>
  <c r="Y14" i="2" s="1"/>
  <c r="P11" i="2"/>
  <c r="W11" i="2" s="1" a="1"/>
  <c r="W11" i="2" s="1"/>
  <c r="P63" i="2"/>
  <c r="Y10" i="2" a="1"/>
  <c r="Y10" i="2" s="1"/>
  <c r="P48" i="2"/>
  <c r="X9" i="2" a="1"/>
  <c r="X9" i="2" s="1"/>
  <c r="Y9" i="2" a="1"/>
  <c r="Y9" i="2" s="1"/>
  <c r="W8" i="2" a="1"/>
  <c r="W8" i="2" s="1"/>
  <c r="Y7" i="2" a="1"/>
  <c r="Y7" i="2" s="1"/>
  <c r="W7" i="2" a="1"/>
  <c r="W7" i="2" s="1"/>
  <c r="Y3" i="2" a="1"/>
  <c r="Y3" i="2" s="1"/>
  <c r="Y4" i="2" a="1"/>
  <c r="Y4" i="2" s="1"/>
  <c r="Y5" i="2" a="1"/>
  <c r="Y5" i="2" s="1"/>
  <c r="Z2" i="2"/>
  <c r="X11" i="2" l="1" a="1"/>
  <c r="X11" i="2" s="1"/>
  <c r="W13" i="2" a="1"/>
  <c r="W13" i="2" s="1"/>
  <c r="P17" i="2"/>
  <c r="X13" i="2" a="1"/>
  <c r="X13" i="2" s="1"/>
  <c r="Y13" i="2" a="1"/>
  <c r="Y13" i="2" s="1"/>
  <c r="G6" i="2"/>
  <c r="G11" i="2" s="1"/>
  <c r="G16" i="2" s="1"/>
  <c r="G21" i="2" s="1"/>
  <c r="Y11" i="2" a="1"/>
  <c r="Y11" i="2" s="1"/>
  <c r="Y12" i="2" a="1"/>
  <c r="Y12" i="2" s="1"/>
  <c r="P32" i="2"/>
  <c r="P52" i="2" s="1"/>
  <c r="P72" i="2" s="1"/>
  <c r="P16" i="2"/>
  <c r="P36" i="2" s="1"/>
  <c r="W12" i="2" a="1"/>
  <c r="W12" i="2" s="1"/>
  <c r="G10" i="2"/>
  <c r="G15" i="2" s="1"/>
  <c r="G20" i="2" s="1"/>
  <c r="P70" i="2"/>
  <c r="P18" i="2"/>
  <c r="P34" i="2"/>
  <c r="W14" i="2" a="1"/>
  <c r="W14" i="2" s="1"/>
  <c r="X14" i="2" a="1"/>
  <c r="X14" i="2" s="1"/>
  <c r="P31" i="2"/>
  <c r="P51" i="2" s="1"/>
  <c r="P15" i="2"/>
  <c r="Z3" i="2"/>
  <c r="P21" i="2"/>
  <c r="W17" i="2" a="1"/>
  <c r="W17" i="2" s="1"/>
  <c r="X17" i="2" a="1"/>
  <c r="X17" i="2" s="1"/>
  <c r="P68" i="2"/>
  <c r="Z4" i="2" a="1"/>
  <c r="Z4" i="2" s="1"/>
  <c r="Z5" i="2" a="1"/>
  <c r="Z5" i="2" s="1"/>
  <c r="AA2" i="2"/>
  <c r="Z7" i="2" a="1"/>
  <c r="Z7" i="2" s="1"/>
  <c r="Z8" i="2" a="1"/>
  <c r="Z8" i="2" s="1"/>
  <c r="Z6" i="2" a="1"/>
  <c r="Z6" i="2" s="1"/>
  <c r="Z12" i="2" a="1"/>
  <c r="Z12" i="2" s="1"/>
  <c r="Z13" i="2" a="1"/>
  <c r="Z13" i="2" s="1"/>
  <c r="Z14" i="2" a="1"/>
  <c r="Z14" i="2" s="1"/>
  <c r="Z10" i="2" a="1"/>
  <c r="Z10" i="2" s="1"/>
  <c r="Z17" i="2" a="1"/>
  <c r="Z17" i="2" s="1"/>
  <c r="Z18" i="2" a="1"/>
  <c r="Z18" i="2" s="1"/>
  <c r="Z11" i="2" a="1"/>
  <c r="Z11" i="2" s="1"/>
  <c r="Z9" i="2" a="1"/>
  <c r="Z9" i="2" s="1"/>
  <c r="Y15" i="2" l="1" a="1"/>
  <c r="Y15" i="2" s="1"/>
  <c r="G7" i="2"/>
  <c r="Y17" i="2" a="1"/>
  <c r="Y17" i="2" s="1"/>
  <c r="P37" i="2"/>
  <c r="P19" i="2"/>
  <c r="X19" i="2" s="1" a="1"/>
  <c r="X19" i="2" s="1"/>
  <c r="Z34" i="2" a="1"/>
  <c r="Z34" i="2" s="1"/>
  <c r="Z32" i="2" a="1"/>
  <c r="Z32" i="2" s="1"/>
  <c r="P20" i="2"/>
  <c r="Z20" i="2" s="1" a="1"/>
  <c r="Z20" i="2" s="1"/>
  <c r="Z15" i="2" a="1"/>
  <c r="Z15" i="2" s="1"/>
  <c r="Z16" i="2" a="1"/>
  <c r="Z16" i="2" s="1"/>
  <c r="Y16" i="2" a="1"/>
  <c r="Y16" i="2" s="1"/>
  <c r="X31" i="2" a="1"/>
  <c r="X31" i="2" s="1"/>
  <c r="X16" i="2" a="1"/>
  <c r="X16" i="2" s="1"/>
  <c r="W16" i="2" a="1"/>
  <c r="W16" i="2" s="1"/>
  <c r="AA15" i="2" a="1"/>
  <c r="AA15" i="2" s="1"/>
  <c r="AA31" i="2" a="1"/>
  <c r="AA31" i="2" s="1"/>
  <c r="Z29" i="2" a="1"/>
  <c r="Z29" i="2" s="1"/>
  <c r="X30" i="2" a="1"/>
  <c r="X30" i="2" s="1"/>
  <c r="W15" i="2" a="1"/>
  <c r="W15" i="2" s="1"/>
  <c r="Y31" i="2" a="1"/>
  <c r="Y31" i="2" s="1"/>
  <c r="Z24" i="2" a="1"/>
  <c r="Z24" i="2" s="1"/>
  <c r="Z28" i="2" a="1"/>
  <c r="Z28" i="2" s="1"/>
  <c r="Y28" i="2" a="1"/>
  <c r="Y28" i="2" s="1"/>
  <c r="Y30" i="2" a="1"/>
  <c r="Y30" i="2" s="1"/>
  <c r="Y27" i="2" a="1"/>
  <c r="Y27" i="2" s="1"/>
  <c r="X27" i="2" a="1"/>
  <c r="X27" i="2" s="1"/>
  <c r="X26" i="2" a="1"/>
  <c r="X26" i="2" s="1"/>
  <c r="X24" i="2" a="1"/>
  <c r="X24" i="2" s="1"/>
  <c r="W27" i="2" a="1"/>
  <c r="W27" i="2" s="1"/>
  <c r="W32" i="2" a="1"/>
  <c r="W32" i="2" s="1"/>
  <c r="W31" i="2" a="1"/>
  <c r="W31" i="2" s="1"/>
  <c r="Z26" i="2" a="1"/>
  <c r="Z26" i="2" s="1"/>
  <c r="X21" i="2" a="1"/>
  <c r="X21" i="2" s="1"/>
  <c r="Y21" i="2" a="1"/>
  <c r="Y21" i="2" s="1"/>
  <c r="P41" i="2"/>
  <c r="W21" i="2" a="1"/>
  <c r="W21" i="2" s="1"/>
  <c r="Y23" i="2" a="1"/>
  <c r="Y23" i="2" s="1"/>
  <c r="Z37" i="2" a="1"/>
  <c r="Z37" i="2" s="1"/>
  <c r="G12" i="2"/>
  <c r="Y48" i="2" s="1" a="1"/>
  <c r="Y48" i="2" s="1"/>
  <c r="X32" i="2" a="1"/>
  <c r="X32" i="2" s="1"/>
  <c r="X28" i="2" a="1"/>
  <c r="X28" i="2" s="1"/>
  <c r="W24" i="2" a="1"/>
  <c r="W24" i="2" s="1"/>
  <c r="X25" i="2" a="1"/>
  <c r="X25" i="2" s="1"/>
  <c r="W29" i="2" a="1"/>
  <c r="W29" i="2" s="1"/>
  <c r="W28" i="2" a="1"/>
  <c r="W28" i="2" s="1"/>
  <c r="X23" i="2" a="1"/>
  <c r="X23" i="2" s="1"/>
  <c r="W50" i="2" a="1"/>
  <c r="W50" i="2" s="1"/>
  <c r="P35" i="2"/>
  <c r="P55" i="2" s="1"/>
  <c r="Z27" i="2" a="1"/>
  <c r="Z27" i="2" s="1"/>
  <c r="Y24" i="2" a="1"/>
  <c r="Y24" i="2" s="1"/>
  <c r="Y25" i="2" a="1"/>
  <c r="Y25" i="2" s="1"/>
  <c r="P54" i="2"/>
  <c r="X34" i="2" a="1"/>
  <c r="X34" i="2" s="1"/>
  <c r="Y34" i="2" a="1"/>
  <c r="Y34" i="2" s="1"/>
  <c r="W34" i="2" a="1"/>
  <c r="W34" i="2" s="1"/>
  <c r="Y32" i="2" a="1"/>
  <c r="Y32" i="2" s="1"/>
  <c r="Y33" i="2" a="1"/>
  <c r="Y33" i="2" s="1"/>
  <c r="Z30" i="2" a="1"/>
  <c r="Z30" i="2" s="1"/>
  <c r="Z25" i="2" a="1"/>
  <c r="Z25" i="2" s="1"/>
  <c r="W33" i="2" a="1"/>
  <c r="W33" i="2" s="1"/>
  <c r="Y46" i="2" a="1"/>
  <c r="Y46" i="2" s="1"/>
  <c r="W23" i="2" a="1"/>
  <c r="W23" i="2" s="1"/>
  <c r="Y29" i="2" a="1"/>
  <c r="Y29" i="2" s="1"/>
  <c r="W30" i="2" a="1"/>
  <c r="W30" i="2" s="1"/>
  <c r="X33" i="2" a="1"/>
  <c r="X33" i="2" s="1"/>
  <c r="P56" i="2"/>
  <c r="Y36" i="2" a="1"/>
  <c r="Y36" i="2" s="1"/>
  <c r="X36" i="2" a="1"/>
  <c r="X36" i="2" s="1"/>
  <c r="W36" i="2" a="1"/>
  <c r="W36" i="2" s="1"/>
  <c r="Y18" i="2" a="1"/>
  <c r="Y18" i="2" s="1"/>
  <c r="P22" i="2"/>
  <c r="P38" i="2"/>
  <c r="X18" i="2" a="1"/>
  <c r="X18" i="2" s="1"/>
  <c r="W18" i="2" a="1"/>
  <c r="W18" i="2" s="1"/>
  <c r="W25" i="2" a="1"/>
  <c r="W25" i="2" s="1"/>
  <c r="X20" i="2" a="1"/>
  <c r="X20" i="2" s="1"/>
  <c r="Y43" i="2" a="1"/>
  <c r="Y43" i="2" s="1"/>
  <c r="X15" i="2" a="1"/>
  <c r="X15" i="2" s="1"/>
  <c r="Z31" i="2" a="1"/>
  <c r="Z31" i="2" s="1"/>
  <c r="Z36" i="2" a="1"/>
  <c r="Z36" i="2" s="1"/>
  <c r="Z33" i="2" a="1"/>
  <c r="Z33" i="2" s="1"/>
  <c r="P57" i="2"/>
  <c r="AA57" i="2" s="1" a="1"/>
  <c r="AA57" i="2" s="1"/>
  <c r="X37" i="2" a="1"/>
  <c r="X37" i="2" s="1"/>
  <c r="W37" i="2" a="1"/>
  <c r="W37" i="2" s="1"/>
  <c r="Y37" i="2" a="1"/>
  <c r="Y37" i="2" s="1"/>
  <c r="X29" i="2" a="1"/>
  <c r="X29" i="2" s="1"/>
  <c r="Y26" i="2" a="1"/>
  <c r="Y26" i="2" s="1"/>
  <c r="W26" i="2" a="1"/>
  <c r="W26" i="2" s="1"/>
  <c r="X51" i="2" a="1"/>
  <c r="X51" i="2" s="1"/>
  <c r="P71" i="2"/>
  <c r="AA3" i="2" a="1"/>
  <c r="AA3" i="2" s="1"/>
  <c r="AB2" i="2"/>
  <c r="AA4" i="2" a="1"/>
  <c r="AA4" i="2" s="1"/>
  <c r="AA8" i="2" a="1"/>
  <c r="AA8" i="2" s="1"/>
  <c r="AA6" i="2" a="1"/>
  <c r="AA6" i="2" s="1"/>
  <c r="AA10" i="2" a="1"/>
  <c r="AA10" i="2" s="1"/>
  <c r="AA12" i="2" a="1"/>
  <c r="AA12" i="2" s="1"/>
  <c r="AA5" i="2" a="1"/>
  <c r="AA5" i="2" s="1"/>
  <c r="AA9" i="2" a="1"/>
  <c r="AA9" i="2" s="1"/>
  <c r="AA17" i="2" a="1"/>
  <c r="AA17" i="2" s="1"/>
  <c r="AA18" i="2" a="1"/>
  <c r="AA18" i="2" s="1"/>
  <c r="AA14" i="2" a="1"/>
  <c r="AA14" i="2" s="1"/>
  <c r="AA22" i="2" a="1"/>
  <c r="AA22" i="2" s="1"/>
  <c r="AA13" i="2" a="1"/>
  <c r="AA13" i="2" s="1"/>
  <c r="AA23" i="2" a="1"/>
  <c r="AA23" i="2" s="1"/>
  <c r="AA26" i="2" a="1"/>
  <c r="AA26" i="2" s="1"/>
  <c r="AA32" i="2" a="1"/>
  <c r="AA32" i="2" s="1"/>
  <c r="AA33" i="2" a="1"/>
  <c r="AA33" i="2" s="1"/>
  <c r="AA34" i="2" a="1"/>
  <c r="AA34" i="2" s="1"/>
  <c r="AA29" i="2" a="1"/>
  <c r="AA29" i="2" s="1"/>
  <c r="AA49" i="2" a="1"/>
  <c r="AA49" i="2" s="1"/>
  <c r="AA28" i="2" a="1"/>
  <c r="AA28" i="2" s="1"/>
  <c r="AA7" i="2" a="1"/>
  <c r="AA7" i="2" s="1"/>
  <c r="AA11" i="2" a="1"/>
  <c r="AA11" i="2" s="1"/>
  <c r="AA25" i="2" a="1"/>
  <c r="AA25" i="2" s="1"/>
  <c r="AA38" i="2" a="1"/>
  <c r="AA38" i="2" s="1"/>
  <c r="AA45" i="2" a="1"/>
  <c r="AA45" i="2" s="1"/>
  <c r="AA24" i="2" a="1"/>
  <c r="AA24" i="2" s="1"/>
  <c r="AA21" i="2" a="1"/>
  <c r="AA21" i="2" s="1"/>
  <c r="AA52" i="2" a="1"/>
  <c r="AA52" i="2" s="1"/>
  <c r="AA36" i="2" a="1"/>
  <c r="AA36" i="2" s="1"/>
  <c r="AA37" i="2" a="1"/>
  <c r="AA37" i="2" s="1"/>
  <c r="AA27" i="2" a="1"/>
  <c r="AA27" i="2" s="1"/>
  <c r="AA47" i="2" a="1"/>
  <c r="AA47" i="2" s="1"/>
  <c r="AA16" i="2" a="1"/>
  <c r="AA16" i="2" s="1"/>
  <c r="AA30" i="2" a="1"/>
  <c r="AA30" i="2" s="1"/>
  <c r="Y19" i="2" a="1"/>
  <c r="Y19" i="2" s="1"/>
  <c r="AA19" i="2" a="1"/>
  <c r="AA19" i="2" s="1"/>
  <c r="Z19" i="2" a="1"/>
  <c r="Z19" i="2" s="1"/>
  <c r="X35" i="2" a="1"/>
  <c r="X35" i="2" s="1"/>
  <c r="P40" i="2" l="1"/>
  <c r="Z40" i="2" s="1" a="1"/>
  <c r="Z40" i="2" s="1"/>
  <c r="P39" i="2"/>
  <c r="AA20" i="2" a="1"/>
  <c r="AA20" i="2" s="1"/>
  <c r="AA53" i="2" a="1"/>
  <c r="AA53" i="2" s="1"/>
  <c r="W43" i="2" a="1"/>
  <c r="W43" i="2" s="1"/>
  <c r="AA35" i="2" a="1"/>
  <c r="AA35" i="2" s="1"/>
  <c r="W19" i="2" a="1"/>
  <c r="W19" i="2" s="1"/>
  <c r="Z53" i="2" a="1"/>
  <c r="Z53" i="2" s="1"/>
  <c r="Z35" i="2" a="1"/>
  <c r="Z35" i="2" s="1"/>
  <c r="AB35" i="2" a="1"/>
  <c r="AB35" i="2" s="1"/>
  <c r="Y35" i="2" a="1"/>
  <c r="Y35" i="2" s="1"/>
  <c r="AB19" i="2" a="1"/>
  <c r="AB19" i="2" s="1"/>
  <c r="W20" i="2" a="1"/>
  <c r="W20" i="2" s="1"/>
  <c r="X45" i="2" a="1"/>
  <c r="X45" i="2" s="1"/>
  <c r="Z23" i="2" a="1"/>
  <c r="Z23" i="2" s="1"/>
  <c r="Z21" i="2" a="1"/>
  <c r="Z21" i="2" s="1"/>
  <c r="W35" i="2" a="1"/>
  <c r="W35" i="2" s="1"/>
  <c r="AA41" i="2" a="1"/>
  <c r="AA41" i="2" s="1"/>
  <c r="AA50" i="2" a="1"/>
  <c r="AA50" i="2" s="1"/>
  <c r="AA51" i="2" a="1"/>
  <c r="AA51" i="2" s="1"/>
  <c r="Y20" i="2" a="1"/>
  <c r="Y20" i="2" s="1"/>
  <c r="AB51" i="2" a="1"/>
  <c r="AB51" i="2" s="1"/>
  <c r="W51" i="2" a="1"/>
  <c r="W51" i="2" s="1"/>
  <c r="Y45" i="2" a="1"/>
  <c r="Y45" i="2" s="1"/>
  <c r="X22" i="2" a="1"/>
  <c r="X22" i="2" s="1"/>
  <c r="Y22" i="2" a="1"/>
  <c r="Y22" i="2" s="1"/>
  <c r="P42" i="2"/>
  <c r="W22" i="2" a="1"/>
  <c r="W22" i="2" s="1"/>
  <c r="Z22" i="2" a="1"/>
  <c r="Z22" i="2" s="1"/>
  <c r="X54" i="2" a="1"/>
  <c r="X54" i="2" s="1"/>
  <c r="P74" i="2"/>
  <c r="Y54" i="2" a="1"/>
  <c r="Y54" i="2" s="1"/>
  <c r="W54" i="2" a="1"/>
  <c r="W54" i="2" s="1"/>
  <c r="Z54" i="2" a="1"/>
  <c r="Z54" i="2" s="1"/>
  <c r="Z44" i="2" a="1"/>
  <c r="Z44" i="2" s="1"/>
  <c r="Y49" i="2" a="1"/>
  <c r="Y49" i="2" s="1"/>
  <c r="W48" i="2" a="1"/>
  <c r="W48" i="2" s="1"/>
  <c r="AA48" i="2" a="1"/>
  <c r="AA48" i="2" s="1"/>
  <c r="G17" i="2"/>
  <c r="W65" i="2" s="1" a="1"/>
  <c r="W65" i="2" s="1"/>
  <c r="Z48" i="2" a="1"/>
  <c r="Z48" i="2" s="1"/>
  <c r="X70" i="2" a="1"/>
  <c r="X70" i="2" s="1"/>
  <c r="X48" i="2" a="1"/>
  <c r="X48" i="2" s="1"/>
  <c r="X52" i="2" a="1"/>
  <c r="X52" i="2" s="1"/>
  <c r="AA43" i="2" a="1"/>
  <c r="AA43" i="2" s="1"/>
  <c r="P58" i="2"/>
  <c r="AB58" i="2" s="1" a="1"/>
  <c r="AB58" i="2" s="1"/>
  <c r="W38" i="2" a="1"/>
  <c r="W38" i="2" s="1"/>
  <c r="X38" i="2" a="1"/>
  <c r="X38" i="2" s="1"/>
  <c r="Y38" i="2" a="1"/>
  <c r="Y38" i="2" s="1"/>
  <c r="Z38" i="2" a="1"/>
  <c r="Z38" i="2" s="1"/>
  <c r="X43" i="2" a="1"/>
  <c r="X43" i="2" s="1"/>
  <c r="Y52" i="2" a="1"/>
  <c r="Y52" i="2" s="1"/>
  <c r="W52" i="2" a="1"/>
  <c r="W52" i="2" s="1"/>
  <c r="W40" i="2" a="1"/>
  <c r="W40" i="2" s="1"/>
  <c r="Y40" i="2" a="1"/>
  <c r="Y40" i="2" s="1"/>
  <c r="X40" i="2" a="1"/>
  <c r="X40" i="2" s="1"/>
  <c r="X67" i="2" a="1"/>
  <c r="X67" i="2" s="1"/>
  <c r="Z43" i="2" a="1"/>
  <c r="Z43" i="2" s="1"/>
  <c r="X47" i="2" a="1"/>
  <c r="X47" i="2" s="1"/>
  <c r="X44" i="2" a="1"/>
  <c r="X44" i="2" s="1"/>
  <c r="Z46" i="2" a="1"/>
  <c r="Z46" i="2" s="1"/>
  <c r="W49" i="2" a="1"/>
  <c r="W49" i="2" s="1"/>
  <c r="Z45" i="2" a="1"/>
  <c r="Z45" i="2" s="1"/>
  <c r="X53" i="2" a="1"/>
  <c r="X53" i="2" s="1"/>
  <c r="AA44" i="2" a="1"/>
  <c r="AA44" i="2" s="1"/>
  <c r="AA54" i="2" a="1"/>
  <c r="AA54" i="2" s="1"/>
  <c r="Z52" i="2" a="1"/>
  <c r="Z52" i="2" s="1"/>
  <c r="W47" i="2" a="1"/>
  <c r="W47" i="2" s="1"/>
  <c r="Y44" i="2" a="1"/>
  <c r="Y44" i="2" s="1"/>
  <c r="Z47" i="2" a="1"/>
  <c r="Z47" i="2" s="1"/>
  <c r="P77" i="2"/>
  <c r="W57" i="2" a="1"/>
  <c r="W57" i="2" s="1"/>
  <c r="Y57" i="2" a="1"/>
  <c r="Y57" i="2" s="1"/>
  <c r="X57" i="2" a="1"/>
  <c r="X57" i="2" s="1"/>
  <c r="Z57" i="2" a="1"/>
  <c r="Z57" i="2" s="1"/>
  <c r="Z51" i="2" a="1"/>
  <c r="Z51" i="2" s="1"/>
  <c r="AA68" i="2" a="1"/>
  <c r="AA68" i="2" s="1"/>
  <c r="W44" i="2" a="1"/>
  <c r="W44" i="2" s="1"/>
  <c r="X49" i="2" a="1"/>
  <c r="X49" i="2" s="1"/>
  <c r="Z49" i="2" a="1"/>
  <c r="Z49" i="2" s="1"/>
  <c r="X46" i="2" a="1"/>
  <c r="X46" i="2" s="1"/>
  <c r="Y50" i="2" a="1"/>
  <c r="Y50" i="2" s="1"/>
  <c r="AA46" i="2" a="1"/>
  <c r="AA46" i="2" s="1"/>
  <c r="Y51" i="2" a="1"/>
  <c r="Y51" i="2" s="1"/>
  <c r="W46" i="2" a="1"/>
  <c r="W46" i="2" s="1"/>
  <c r="Z50" i="2" a="1"/>
  <c r="Z50" i="2" s="1"/>
  <c r="P76" i="2"/>
  <c r="X56" i="2" a="1"/>
  <c r="X56" i="2" s="1"/>
  <c r="Y56" i="2" a="1"/>
  <c r="Y56" i="2" s="1"/>
  <c r="W56" i="2" a="1"/>
  <c r="W56" i="2" s="1"/>
  <c r="Z56" i="2" a="1"/>
  <c r="Z56" i="2" s="1"/>
  <c r="AA56" i="2" a="1"/>
  <c r="AA56" i="2" s="1"/>
  <c r="W53" i="2" a="1"/>
  <c r="W53" i="2" s="1"/>
  <c r="Y53" i="2" a="1"/>
  <c r="Y53" i="2" s="1"/>
  <c r="P61" i="2"/>
  <c r="Y41" i="2" a="1"/>
  <c r="Y41" i="2" s="1"/>
  <c r="W41" i="2" a="1"/>
  <c r="W41" i="2" s="1"/>
  <c r="X41" i="2" a="1"/>
  <c r="X41" i="2" s="1"/>
  <c r="Z41" i="2" a="1"/>
  <c r="Z41" i="2" s="1"/>
  <c r="X50" i="2" a="1"/>
  <c r="X50" i="2" s="1"/>
  <c r="W45" i="2" a="1"/>
  <c r="W45" i="2" s="1"/>
  <c r="Y47" i="2" a="1"/>
  <c r="Y47" i="2" s="1"/>
  <c r="AB55" i="2" a="1"/>
  <c r="AB55" i="2" s="1"/>
  <c r="X55" i="2" a="1"/>
  <c r="X55" i="2" s="1"/>
  <c r="AA55" i="2" a="1"/>
  <c r="AA55" i="2" s="1"/>
  <c r="Z55" i="2" a="1"/>
  <c r="Z55" i="2" s="1"/>
  <c r="Y55" i="2" a="1"/>
  <c r="Y55" i="2" s="1"/>
  <c r="W55" i="2" a="1"/>
  <c r="W55" i="2" s="1"/>
  <c r="P75" i="2"/>
  <c r="Y39" i="2" a="1"/>
  <c r="Y39" i="2" s="1"/>
  <c r="AB39" i="2" a="1"/>
  <c r="AB39" i="2" s="1"/>
  <c r="P59" i="2"/>
  <c r="W39" i="2" a="1"/>
  <c r="W39" i="2" s="1"/>
  <c r="X39" i="2" a="1"/>
  <c r="X39" i="2" s="1"/>
  <c r="Z39" i="2" a="1"/>
  <c r="Z39" i="2" s="1"/>
  <c r="AA39" i="2" a="1"/>
  <c r="AA39" i="2" s="1"/>
  <c r="AC2" i="2"/>
  <c r="AC55" i="2" s="1" a="1"/>
  <c r="AC55" i="2" s="1"/>
  <c r="AB3" i="2" a="1"/>
  <c r="AB3" i="2" s="1"/>
  <c r="AB4" i="2" a="1"/>
  <c r="AB4" i="2" s="1"/>
  <c r="AB5" i="2" a="1"/>
  <c r="AB5" i="2" s="1"/>
  <c r="AB6" i="2" a="1"/>
  <c r="AB6" i="2" s="1"/>
  <c r="AB8" i="2" a="1"/>
  <c r="AB8" i="2" s="1"/>
  <c r="AB10" i="2" a="1"/>
  <c r="AB10" i="2" s="1"/>
  <c r="AB14" i="2" a="1"/>
  <c r="AB14" i="2" s="1"/>
  <c r="AB21" i="2" a="1"/>
  <c r="AB21" i="2" s="1"/>
  <c r="AB22" i="2" a="1"/>
  <c r="AB22" i="2" s="1"/>
  <c r="AB25" i="2" a="1"/>
  <c r="AB25" i="2" s="1"/>
  <c r="AB12" i="2" a="1"/>
  <c r="AB12" i="2" s="1"/>
  <c r="AB27" i="2" a="1"/>
  <c r="AB27" i="2" s="1"/>
  <c r="AB29" i="2" a="1"/>
  <c r="AB29" i="2" s="1"/>
  <c r="AB17" i="2" a="1"/>
  <c r="AB17" i="2" s="1"/>
  <c r="AB44" i="2" a="1"/>
  <c r="AB44" i="2" s="1"/>
  <c r="AB52" i="2" a="1"/>
  <c r="AB52" i="2" s="1"/>
  <c r="AB37" i="2" a="1"/>
  <c r="AB37" i="2" s="1"/>
  <c r="AB45" i="2" a="1"/>
  <c r="AB45" i="2" s="1"/>
  <c r="AB33" i="2" a="1"/>
  <c r="AB33" i="2" s="1"/>
  <c r="AB40" i="2" a="1"/>
  <c r="AB40" i="2" s="1"/>
  <c r="AB50" i="2" a="1"/>
  <c r="AB50" i="2" s="1"/>
  <c r="AB30" i="2" a="1"/>
  <c r="AB30" i="2" s="1"/>
  <c r="AB20" i="2" a="1"/>
  <c r="AB20" i="2" s="1"/>
  <c r="AB23" i="2" a="1"/>
  <c r="AB23" i="2" s="1"/>
  <c r="AB16" i="2" a="1"/>
  <c r="AB16" i="2" s="1"/>
  <c r="AB9" i="2" a="1"/>
  <c r="AB9" i="2" s="1"/>
  <c r="AB11" i="2" a="1"/>
  <c r="AB11" i="2" s="1"/>
  <c r="AB38" i="2" a="1"/>
  <c r="AB38" i="2" s="1"/>
  <c r="AB36" i="2" a="1"/>
  <c r="AB36" i="2" s="1"/>
  <c r="AB41" i="2" a="1"/>
  <c r="AB41" i="2" s="1"/>
  <c r="AB18" i="2" a="1"/>
  <c r="AB18" i="2" s="1"/>
  <c r="AB7" i="2" a="1"/>
  <c r="AB7" i="2" s="1"/>
  <c r="AB54" i="2" a="1"/>
  <c r="AB54" i="2" s="1"/>
  <c r="AB47" i="2" a="1"/>
  <c r="AB47" i="2" s="1"/>
  <c r="AB28" i="2" a="1"/>
  <c r="AB28" i="2" s="1"/>
  <c r="AB49" i="2" a="1"/>
  <c r="AB49" i="2" s="1"/>
  <c r="AB43" i="2" a="1"/>
  <c r="AB43" i="2" s="1"/>
  <c r="AB24" i="2" a="1"/>
  <c r="AB24" i="2" s="1"/>
  <c r="AB57" i="2" a="1"/>
  <c r="AB57" i="2" s="1"/>
  <c r="AB32" i="2" a="1"/>
  <c r="AB32" i="2" s="1"/>
  <c r="AB46" i="2" a="1"/>
  <c r="AB46" i="2" s="1"/>
  <c r="AB34" i="2" a="1"/>
  <c r="AB34" i="2" s="1"/>
  <c r="AB13" i="2" a="1"/>
  <c r="AB13" i="2" s="1"/>
  <c r="AB26" i="2" a="1"/>
  <c r="AB26" i="2" s="1"/>
  <c r="AB53" i="2" a="1"/>
  <c r="AB53" i="2" s="1"/>
  <c r="AB72" i="2" a="1"/>
  <c r="AB72" i="2" s="1"/>
  <c r="AB15" i="2" a="1"/>
  <c r="AB15" i="2" s="1"/>
  <c r="AB73" i="2" a="1"/>
  <c r="AB73" i="2" s="1"/>
  <c r="AB48" i="2" a="1"/>
  <c r="AB48" i="2" s="1"/>
  <c r="AB31" i="2" a="1"/>
  <c r="AB31" i="2" s="1"/>
  <c r="AB56" i="2" a="1"/>
  <c r="AB56" i="2" s="1"/>
  <c r="P60" i="2" l="1"/>
  <c r="Z67" i="2" a="1"/>
  <c r="Z67" i="2" s="1"/>
  <c r="AA69" i="2" a="1"/>
  <c r="AA69" i="2" s="1"/>
  <c r="AC39" i="2" a="1"/>
  <c r="AC39" i="2" s="1"/>
  <c r="AA40" i="2" a="1"/>
  <c r="AA40" i="2" s="1"/>
  <c r="AB71" i="2" a="1"/>
  <c r="AB71" i="2" s="1"/>
  <c r="AB77" i="2" a="1"/>
  <c r="AB77" i="2" s="1"/>
  <c r="X71" i="2" a="1"/>
  <c r="X71" i="2" s="1"/>
  <c r="Z68" i="2" a="1"/>
  <c r="Z68" i="2" s="1"/>
  <c r="Y70" i="2" a="1"/>
  <c r="Y70" i="2" s="1"/>
  <c r="X66" i="2" a="1"/>
  <c r="X66" i="2" s="1"/>
  <c r="Y69" i="2" a="1"/>
  <c r="Y69" i="2" s="1"/>
  <c r="X64" i="2" a="1"/>
  <c r="X64" i="2" s="1"/>
  <c r="P78" i="2"/>
  <c r="Y58" i="2" a="1"/>
  <c r="Y58" i="2" s="1"/>
  <c r="X58" i="2" a="1"/>
  <c r="X58" i="2" s="1"/>
  <c r="W58" i="2" a="1"/>
  <c r="W58" i="2" s="1"/>
  <c r="Z58" i="2" a="1"/>
  <c r="Z58" i="2" s="1"/>
  <c r="AA58" i="2" a="1"/>
  <c r="AA58" i="2" s="1"/>
  <c r="Z73" i="2" a="1"/>
  <c r="Z73" i="2" s="1"/>
  <c r="AB74" i="2" a="1"/>
  <c r="AB74" i="2" s="1"/>
  <c r="AA71" i="2" a="1"/>
  <c r="AA71" i="2" s="1"/>
  <c r="Z63" i="2" a="1"/>
  <c r="Z63" i="2" s="1"/>
  <c r="W68" i="2" a="1"/>
  <c r="W68" i="2" s="1"/>
  <c r="X68" i="2" a="1"/>
  <c r="X68" i="2" s="1"/>
  <c r="Z70" i="2" a="1"/>
  <c r="Z70" i="2" s="1"/>
  <c r="Z65" i="2" a="1"/>
  <c r="Z65" i="2" s="1"/>
  <c r="AB69" i="2" a="1"/>
  <c r="AB69" i="2" s="1"/>
  <c r="AB60" i="2" a="1"/>
  <c r="AB60" i="2" s="1"/>
  <c r="W71" i="2" a="1"/>
  <c r="W71" i="2" s="1"/>
  <c r="Y65" i="2" a="1"/>
  <c r="Y65" i="2" s="1"/>
  <c r="W63" i="2" a="1"/>
  <c r="W63" i="2" s="1"/>
  <c r="W66" i="2" a="1"/>
  <c r="W66" i="2" s="1"/>
  <c r="X74" i="2" a="1"/>
  <c r="X74" i="2" s="1"/>
  <c r="Z74" i="2" a="1"/>
  <c r="Z74" i="2" s="1"/>
  <c r="W74" i="2" a="1"/>
  <c r="W74" i="2" s="1"/>
  <c r="Y74" i="2" a="1"/>
  <c r="Y74" i="2" s="1"/>
  <c r="AA74" i="2" a="1"/>
  <c r="AA74" i="2" s="1"/>
  <c r="W70" i="2" a="1"/>
  <c r="W70" i="2" s="1"/>
  <c r="W42" i="2" a="1"/>
  <c r="W42" i="2" s="1"/>
  <c r="P62" i="2"/>
  <c r="Y42" i="2" a="1"/>
  <c r="Y42" i="2" s="1"/>
  <c r="X42" i="2" a="1"/>
  <c r="X42" i="2" s="1"/>
  <c r="Z42" i="2" a="1"/>
  <c r="Z42" i="2" s="1"/>
  <c r="AA42" i="2" a="1"/>
  <c r="AA42" i="2" s="1"/>
  <c r="AB61" i="2" a="1"/>
  <c r="AB61" i="2" s="1"/>
  <c r="AB66" i="2" a="1"/>
  <c r="AB66" i="2" s="1"/>
  <c r="AB76" i="2" a="1"/>
  <c r="AB76" i="2" s="1"/>
  <c r="AA66" i="2" a="1"/>
  <c r="AA66" i="2" s="1"/>
  <c r="P81" i="2"/>
  <c r="Y61" i="2" a="1"/>
  <c r="Y61" i="2" s="1"/>
  <c r="X61" i="2" a="1"/>
  <c r="X61" i="2" s="1"/>
  <c r="W61" i="2" a="1"/>
  <c r="W61" i="2" s="1"/>
  <c r="Z61" i="2" a="1"/>
  <c r="Z61" i="2" s="1"/>
  <c r="AA61" i="2" a="1"/>
  <c r="AA61" i="2" s="1"/>
  <c r="AA67" i="2" a="1"/>
  <c r="AA67" i="2" s="1"/>
  <c r="Y63" i="2" a="1"/>
  <c r="Y63" i="2" s="1"/>
  <c r="Y64" i="2" a="1"/>
  <c r="Y64" i="2" s="1"/>
  <c r="Z69" i="2" a="1"/>
  <c r="Z69" i="2" s="1"/>
  <c r="Z71" i="2" a="1"/>
  <c r="Z71" i="2" s="1"/>
  <c r="X76" i="2" a="1"/>
  <c r="X76" i="2" s="1"/>
  <c r="AA76" i="2" a="1"/>
  <c r="AA76" i="2" s="1"/>
  <c r="Y76" i="2" a="1"/>
  <c r="Y76" i="2" s="1"/>
  <c r="W76" i="2" a="1"/>
  <c r="W76" i="2" s="1"/>
  <c r="Z76" i="2" a="1"/>
  <c r="Z76" i="2" s="1"/>
  <c r="Y66" i="2" a="1"/>
  <c r="Y66" i="2" s="1"/>
  <c r="X63" i="2" a="1"/>
  <c r="X63" i="2" s="1"/>
  <c r="X72" i="2" a="1"/>
  <c r="X72" i="2" s="1"/>
  <c r="P80" i="2"/>
  <c r="AC80" i="2" s="1" a="1"/>
  <c r="AC80" i="2" s="1"/>
  <c r="W60" i="2" a="1"/>
  <c r="W60" i="2" s="1"/>
  <c r="X60" i="2" a="1"/>
  <c r="X60" i="2" s="1"/>
  <c r="Z60" i="2" a="1"/>
  <c r="Z60" i="2" s="1"/>
  <c r="AA60" i="2" a="1"/>
  <c r="AA60" i="2" s="1"/>
  <c r="Y60" i="2" a="1"/>
  <c r="Y60" i="2" s="1"/>
  <c r="Z72" i="2" a="1"/>
  <c r="Z72" i="2" s="1"/>
  <c r="X73" i="2" a="1"/>
  <c r="X73" i="2" s="1"/>
  <c r="W67" i="2" a="1"/>
  <c r="W67" i="2" s="1"/>
  <c r="AB70" i="2" a="1"/>
  <c r="AB70" i="2" s="1"/>
  <c r="Y73" i="2" a="1"/>
  <c r="Y73" i="2" s="1"/>
  <c r="AA70" i="2" a="1"/>
  <c r="AA70" i="2" s="1"/>
  <c r="Y77" i="2" a="1"/>
  <c r="Y77" i="2" s="1"/>
  <c r="W77" i="2" a="1"/>
  <c r="W77" i="2" s="1"/>
  <c r="X77" i="2" a="1"/>
  <c r="X77" i="2" s="1"/>
  <c r="AA77" i="2" a="1"/>
  <c r="AA77" i="2" s="1"/>
  <c r="Z77" i="2" a="1"/>
  <c r="Z77" i="2" s="1"/>
  <c r="Y72" i="2" a="1"/>
  <c r="Y72" i="2" s="1"/>
  <c r="W73" i="2" a="1"/>
  <c r="W73" i="2" s="1"/>
  <c r="AA72" i="2" a="1"/>
  <c r="AA72" i="2" s="1"/>
  <c r="W69" i="2" a="1"/>
  <c r="W69" i="2" s="1"/>
  <c r="AB65" i="2" a="1"/>
  <c r="AB65" i="2" s="1"/>
  <c r="AB63" i="2" a="1"/>
  <c r="AB63" i="2" s="1"/>
  <c r="AC71" i="2" a="1"/>
  <c r="AC71" i="2" s="1"/>
  <c r="Z64" i="2" a="1"/>
  <c r="Z64" i="2" s="1"/>
  <c r="Y67" i="2" a="1"/>
  <c r="Y67" i="2" s="1"/>
  <c r="AB67" i="2" a="1"/>
  <c r="AB67" i="2" s="1"/>
  <c r="AB64" i="2" a="1"/>
  <c r="AB64" i="2" s="1"/>
  <c r="AB42" i="2" a="1"/>
  <c r="AB42" i="2" s="1"/>
  <c r="Y71" i="2" a="1"/>
  <c r="Y71" i="2" s="1"/>
  <c r="AA65" i="2" a="1"/>
  <c r="AA65" i="2" s="1"/>
  <c r="W64" i="2" a="1"/>
  <c r="W64" i="2" s="1"/>
  <c r="Z66" i="2" a="1"/>
  <c r="Z66" i="2" s="1"/>
  <c r="X69" i="2" a="1"/>
  <c r="X69" i="2" s="1"/>
  <c r="X65" i="2" a="1"/>
  <c r="X65" i="2" s="1"/>
  <c r="AB68" i="2" a="1"/>
  <c r="AB68" i="2" s="1"/>
  <c r="G22" i="2"/>
  <c r="AC81" i="2" s="1" a="1"/>
  <c r="AC81" i="2" s="1"/>
  <c r="AA63" i="2" a="1"/>
  <c r="AA63" i="2" s="1"/>
  <c r="Y68" i="2" a="1"/>
  <c r="Y68" i="2" s="1"/>
  <c r="AA73" i="2" a="1"/>
  <c r="AA73" i="2" s="1"/>
  <c r="AA64" i="2" a="1"/>
  <c r="AA64" i="2" s="1"/>
  <c r="W72" i="2" a="1"/>
  <c r="W72" i="2" s="1"/>
  <c r="W75" i="2" a="1"/>
  <c r="W75" i="2" s="1"/>
  <c r="AA75" i="2" a="1"/>
  <c r="AA75" i="2" s="1"/>
  <c r="X75" i="2" a="1"/>
  <c r="X75" i="2" s="1"/>
  <c r="AB75" i="2" a="1"/>
  <c r="AB75" i="2" s="1"/>
  <c r="Y75" i="2" a="1"/>
  <c r="Y75" i="2" s="1"/>
  <c r="AC75" i="2" a="1"/>
  <c r="AC75" i="2" s="1"/>
  <c r="Z75" i="2" a="1"/>
  <c r="Z75" i="2" s="1"/>
  <c r="Z59" i="2" a="1"/>
  <c r="Z59" i="2" s="1"/>
  <c r="Y59" i="2" a="1"/>
  <c r="Y59" i="2" s="1"/>
  <c r="AA59" i="2" a="1"/>
  <c r="AA59" i="2" s="1"/>
  <c r="X59" i="2" a="1"/>
  <c r="X59" i="2" s="1"/>
  <c r="W59" i="2" a="1"/>
  <c r="W59" i="2" s="1"/>
  <c r="AB59" i="2" a="1"/>
  <c r="AB59" i="2" s="1"/>
  <c r="AC59" i="2" a="1"/>
  <c r="AC59" i="2" s="1"/>
  <c r="P79" i="2"/>
  <c r="AC3" i="2" a="1"/>
  <c r="AC3" i="2" s="1"/>
  <c r="AC4" i="2" a="1"/>
  <c r="AC4" i="2" s="1"/>
  <c r="AC5" i="2" a="1"/>
  <c r="AC5" i="2" s="1"/>
  <c r="AD2" i="2"/>
  <c r="AD75" i="2" s="1" a="1"/>
  <c r="AD75" i="2" s="1"/>
  <c r="AC12" i="2" a="1"/>
  <c r="AC12" i="2" s="1"/>
  <c r="AC6" i="2" a="1"/>
  <c r="AC6" i="2" s="1"/>
  <c r="AC8" i="2" a="1"/>
  <c r="AC8" i="2" s="1"/>
  <c r="AC13" i="2" a="1"/>
  <c r="AC13" i="2" s="1"/>
  <c r="AC22" i="2" a="1"/>
  <c r="AC22" i="2" s="1"/>
  <c r="AC18" i="2" a="1"/>
  <c r="AC18" i="2" s="1"/>
  <c r="AC25" i="2" a="1"/>
  <c r="AC25" i="2" s="1"/>
  <c r="AC21" i="2" a="1"/>
  <c r="AC21" i="2" s="1"/>
  <c r="AC27" i="2" a="1"/>
  <c r="AC27" i="2" s="1"/>
  <c r="AC29" i="2" a="1"/>
  <c r="AC29" i="2" s="1"/>
  <c r="AC32" i="2" a="1"/>
  <c r="AC32" i="2" s="1"/>
  <c r="AC33" i="2" a="1"/>
  <c r="AC33" i="2" s="1"/>
  <c r="AC34" i="2" a="1"/>
  <c r="AC34" i="2" s="1"/>
  <c r="AC49" i="2" a="1"/>
  <c r="AC49" i="2" s="1"/>
  <c r="AC52" i="2" a="1"/>
  <c r="AC52" i="2" s="1"/>
  <c r="AC46" i="2" a="1"/>
  <c r="AC46" i="2" s="1"/>
  <c r="AC47" i="2" a="1"/>
  <c r="AC47" i="2" s="1"/>
  <c r="AC57" i="2" a="1"/>
  <c r="AC57" i="2" s="1"/>
  <c r="AC56" i="2" a="1"/>
  <c r="AC56" i="2" s="1"/>
  <c r="AC23" i="2" a="1"/>
  <c r="AC23" i="2" s="1"/>
  <c r="AC17" i="2" a="1"/>
  <c r="AC17" i="2" s="1"/>
  <c r="AC36" i="2" a="1"/>
  <c r="AC36" i="2" s="1"/>
  <c r="AC28" i="2" a="1"/>
  <c r="AC28" i="2" s="1"/>
  <c r="AC9" i="2" a="1"/>
  <c r="AC9" i="2" s="1"/>
  <c r="AC41" i="2" a="1"/>
  <c r="AC41" i="2" s="1"/>
  <c r="AC43" i="2" a="1"/>
  <c r="AC43" i="2" s="1"/>
  <c r="AC54" i="2" a="1"/>
  <c r="AC54" i="2" s="1"/>
  <c r="AC66" i="2" a="1"/>
  <c r="AC66" i="2" s="1"/>
  <c r="AC37" i="2" a="1"/>
  <c r="AC37" i="2" s="1"/>
  <c r="AC44" i="2" a="1"/>
  <c r="AC44" i="2" s="1"/>
  <c r="AC45" i="2" a="1"/>
  <c r="AC45" i="2" s="1"/>
  <c r="AC11" i="2" a="1"/>
  <c r="AC11" i="2" s="1"/>
  <c r="AC38" i="2" a="1"/>
  <c r="AC38" i="2" s="1"/>
  <c r="AC20" i="2" a="1"/>
  <c r="AC20" i="2" s="1"/>
  <c r="AC16" i="2" a="1"/>
  <c r="AC16" i="2" s="1"/>
  <c r="AC70" i="2" a="1"/>
  <c r="AC70" i="2" s="1"/>
  <c r="AC50" i="2" a="1"/>
  <c r="AC50" i="2" s="1"/>
  <c r="AC7" i="2" a="1"/>
  <c r="AC7" i="2" s="1"/>
  <c r="AC40" i="2" a="1"/>
  <c r="AC40" i="2" s="1"/>
  <c r="AC30" i="2" a="1"/>
  <c r="AC30" i="2" s="1"/>
  <c r="AC14" i="2" a="1"/>
  <c r="AC14" i="2" s="1"/>
  <c r="AC53" i="2" a="1"/>
  <c r="AC53" i="2" s="1"/>
  <c r="AC42" i="2" a="1"/>
  <c r="AC42" i="2" s="1"/>
  <c r="AC10" i="2" a="1"/>
  <c r="AC10" i="2" s="1"/>
  <c r="AC26" i="2" a="1"/>
  <c r="AC26" i="2" s="1"/>
  <c r="AC60" i="2" a="1"/>
  <c r="AC60" i="2" s="1"/>
  <c r="AC24" i="2" a="1"/>
  <c r="AC24" i="2" s="1"/>
  <c r="AC48" i="2" a="1"/>
  <c r="AC48" i="2" s="1"/>
  <c r="AC31" i="2" a="1"/>
  <c r="AC31" i="2" s="1"/>
  <c r="AC64" i="2" a="1"/>
  <c r="AC64" i="2" s="1"/>
  <c r="AC58" i="2" a="1"/>
  <c r="AC58" i="2" s="1"/>
  <c r="AC62" i="2" a="1"/>
  <c r="AC62" i="2" s="1"/>
  <c r="AC74" i="2" a="1"/>
  <c r="AC74" i="2" s="1"/>
  <c r="AC63" i="2" a="1"/>
  <c r="AC63" i="2" s="1"/>
  <c r="AC65" i="2" a="1"/>
  <c r="AC65" i="2" s="1"/>
  <c r="AC73" i="2" a="1"/>
  <c r="AC73" i="2" s="1"/>
  <c r="AC61" i="2" a="1"/>
  <c r="AC61" i="2" s="1"/>
  <c r="AC72" i="2" a="1"/>
  <c r="AC72" i="2" s="1"/>
  <c r="AC69" i="2" a="1"/>
  <c r="AC69" i="2" s="1"/>
  <c r="AC67" i="2" a="1"/>
  <c r="AC67" i="2" s="1"/>
  <c r="AC15" i="2" a="1"/>
  <c r="AC15" i="2" s="1"/>
  <c r="AC77" i="2" a="1"/>
  <c r="AC77" i="2" s="1"/>
  <c r="AC35" i="2" a="1"/>
  <c r="AC35" i="2" s="1"/>
  <c r="AC68" i="2" a="1"/>
  <c r="AC68" i="2" s="1"/>
  <c r="AC51" i="2" a="1"/>
  <c r="AC51" i="2" s="1"/>
  <c r="AC19" i="2" a="1"/>
  <c r="AC19" i="2" s="1"/>
  <c r="AC76" i="2" a="1"/>
  <c r="AC76" i="2" s="1"/>
  <c r="Z78" i="2" l="1" a="1"/>
  <c r="Z78" i="2" s="1"/>
  <c r="Y78" i="2" a="1"/>
  <c r="Y78" i="2" s="1"/>
  <c r="X78" i="2" a="1"/>
  <c r="X78" i="2" s="1"/>
  <c r="W78" i="2" a="1"/>
  <c r="W78" i="2" s="1"/>
  <c r="AA78" i="2" a="1"/>
  <c r="AA78" i="2" s="1"/>
  <c r="AB78" i="2" a="1"/>
  <c r="AB78" i="2" s="1"/>
  <c r="Z80" i="2" a="1"/>
  <c r="Z80" i="2" s="1"/>
  <c r="X80" i="2" a="1"/>
  <c r="X80" i="2" s="1"/>
  <c r="W80" i="2" a="1"/>
  <c r="W80" i="2" s="1"/>
  <c r="AA80" i="2" a="1"/>
  <c r="AA80" i="2" s="1"/>
  <c r="Y80" i="2" a="1"/>
  <c r="Y80" i="2" s="1"/>
  <c r="AB80" i="2" a="1"/>
  <c r="AB80" i="2" s="1"/>
  <c r="Y81" i="2" a="1"/>
  <c r="Y81" i="2" s="1"/>
  <c r="W81" i="2" a="1"/>
  <c r="W81" i="2" s="1"/>
  <c r="Z81" i="2" a="1"/>
  <c r="Z81" i="2" s="1"/>
  <c r="X81" i="2" a="1"/>
  <c r="X81" i="2" s="1"/>
  <c r="AA81" i="2" a="1"/>
  <c r="AA81" i="2" s="1"/>
  <c r="AB81" i="2" a="1"/>
  <c r="AB81" i="2" s="1"/>
  <c r="P82" i="2"/>
  <c r="Y62" i="2" a="1"/>
  <c r="Y62" i="2" s="1"/>
  <c r="Z62" i="2" a="1"/>
  <c r="Z62" i="2" s="1"/>
  <c r="X62" i="2" a="1"/>
  <c r="X62" i="2" s="1"/>
  <c r="W62" i="2" a="1"/>
  <c r="W62" i="2" s="1"/>
  <c r="AA62" i="2" a="1"/>
  <c r="AA62" i="2" s="1"/>
  <c r="AB62" i="2" a="1"/>
  <c r="AB62" i="2" s="1"/>
  <c r="AC78" i="2" a="1"/>
  <c r="AC78" i="2" s="1"/>
  <c r="AD59" i="2" a="1"/>
  <c r="AD59" i="2" s="1"/>
  <c r="W79" i="2" a="1"/>
  <c r="W79" i="2" s="1"/>
  <c r="AC79" i="2" a="1"/>
  <c r="AC79" i="2" s="1"/>
  <c r="X79" i="2" a="1"/>
  <c r="X79" i="2" s="1"/>
  <c r="Y79" i="2" a="1"/>
  <c r="Y79" i="2" s="1"/>
  <c r="AD79" i="2" a="1"/>
  <c r="AD79" i="2" s="1"/>
  <c r="AA79" i="2" a="1"/>
  <c r="AA79" i="2" s="1"/>
  <c r="AB79" i="2" a="1"/>
  <c r="AB79" i="2" s="1"/>
  <c r="Z79" i="2" a="1"/>
  <c r="Z79" i="2" s="1"/>
  <c r="AD3" i="2" a="1"/>
  <c r="AD3" i="2" s="1"/>
  <c r="AD4" i="2" a="1"/>
  <c r="AD4" i="2" s="1"/>
  <c r="AD5" i="2" a="1"/>
  <c r="AD5" i="2" s="1"/>
  <c r="AD6" i="2" a="1"/>
  <c r="AD6" i="2" s="1"/>
  <c r="AE2" i="2"/>
  <c r="AD8" i="2" a="1"/>
  <c r="AD8" i="2" s="1"/>
  <c r="AD12" i="2" a="1"/>
  <c r="AD12" i="2" s="1"/>
  <c r="AD10" i="2" a="1"/>
  <c r="AD10" i="2" s="1"/>
  <c r="AD7" i="2" a="1"/>
  <c r="AD7" i="2" s="1"/>
  <c r="AD17" i="2" a="1"/>
  <c r="AD17" i="2" s="1"/>
  <c r="AD13" i="2" a="1"/>
  <c r="AD13" i="2" s="1"/>
  <c r="AD21" i="2" a="1"/>
  <c r="AD21" i="2" s="1"/>
  <c r="AD22" i="2" a="1"/>
  <c r="AD22" i="2" s="1"/>
  <c r="AD16" i="2" a="1"/>
  <c r="AD16" i="2" s="1"/>
  <c r="AD27" i="2" a="1"/>
  <c r="AD27" i="2" s="1"/>
  <c r="AD25" i="2" a="1"/>
  <c r="AD25" i="2" s="1"/>
  <c r="AD29" i="2" a="1"/>
  <c r="AD29" i="2" s="1"/>
  <c r="AD32" i="2" a="1"/>
  <c r="AD32" i="2" s="1"/>
  <c r="AD33" i="2" a="1"/>
  <c r="AD33" i="2" s="1"/>
  <c r="AD14" i="2" a="1"/>
  <c r="AD14" i="2" s="1"/>
  <c r="AD49" i="2" a="1"/>
  <c r="AD49" i="2" s="1"/>
  <c r="AD34" i="2" a="1"/>
  <c r="AD34" i="2" s="1"/>
  <c r="AD47" i="2" a="1"/>
  <c r="AD47" i="2" s="1"/>
  <c r="AD67" i="2" a="1"/>
  <c r="AD67" i="2" s="1"/>
  <c r="AD46" i="2" a="1"/>
  <c r="AD46" i="2" s="1"/>
  <c r="AD70" i="2" a="1"/>
  <c r="AD70" i="2" s="1"/>
  <c r="AD54" i="2" a="1"/>
  <c r="AD54" i="2" s="1"/>
  <c r="AD57" i="2" a="1"/>
  <c r="AD57" i="2" s="1"/>
  <c r="AD18" i="2" a="1"/>
  <c r="AD18" i="2" s="1"/>
  <c r="AD37" i="2" a="1"/>
  <c r="AD37" i="2" s="1"/>
  <c r="AD41" i="2" a="1"/>
  <c r="AD41" i="2" s="1"/>
  <c r="AD50" i="2" a="1"/>
  <c r="AD50" i="2" s="1"/>
  <c r="AD45" i="2" a="1"/>
  <c r="AD45" i="2" s="1"/>
  <c r="AD28" i="2" a="1"/>
  <c r="AD28" i="2" s="1"/>
  <c r="AD44" i="2" a="1"/>
  <c r="AD44" i="2" s="1"/>
  <c r="AD40" i="2" a="1"/>
  <c r="AD40" i="2" s="1"/>
  <c r="AD11" i="2" a="1"/>
  <c r="AD11" i="2" s="1"/>
  <c r="AD42" i="2" a="1"/>
  <c r="AD42" i="2" s="1"/>
  <c r="AD52" i="2" a="1"/>
  <c r="AD52" i="2" s="1"/>
  <c r="AD53" i="2" a="1"/>
  <c r="AD53" i="2" s="1"/>
  <c r="AD56" i="2" a="1"/>
  <c r="AD56" i="2" s="1"/>
  <c r="AD23" i="2" a="1"/>
  <c r="AD23" i="2" s="1"/>
  <c r="AD26" i="2" a="1"/>
  <c r="AD26" i="2" s="1"/>
  <c r="AD60" i="2" a="1"/>
  <c r="AD60" i="2" s="1"/>
  <c r="AD38" i="2" a="1"/>
  <c r="AD38" i="2" s="1"/>
  <c r="AD58" i="2" a="1"/>
  <c r="AD58" i="2" s="1"/>
  <c r="AD61" i="2" a="1"/>
  <c r="AD61" i="2" s="1"/>
  <c r="AD24" i="2" a="1"/>
  <c r="AD24" i="2" s="1"/>
  <c r="AD43" i="2" a="1"/>
  <c r="AD43" i="2" s="1"/>
  <c r="AD36" i="2" a="1"/>
  <c r="AD36" i="2" s="1"/>
  <c r="AD20" i="2" a="1"/>
  <c r="AD20" i="2" s="1"/>
  <c r="AD9" i="2" a="1"/>
  <c r="AD9" i="2" s="1"/>
  <c r="AD64" i="2" a="1"/>
  <c r="AD64" i="2" s="1"/>
  <c r="AD65" i="2" a="1"/>
  <c r="AD65" i="2" s="1"/>
  <c r="AD30" i="2" a="1"/>
  <c r="AD30" i="2" s="1"/>
  <c r="AD72" i="2" a="1"/>
  <c r="AD72" i="2" s="1"/>
  <c r="AD80" i="2" a="1"/>
  <c r="AD80" i="2" s="1"/>
  <c r="AD82" i="2" a="1"/>
  <c r="AD82" i="2" s="1"/>
  <c r="AD66" i="2" a="1"/>
  <c r="AD66" i="2" s="1"/>
  <c r="AD15" i="2" a="1"/>
  <c r="AD15" i="2" s="1"/>
  <c r="AD69" i="2" a="1"/>
  <c r="AD69" i="2" s="1"/>
  <c r="AD74" i="2" a="1"/>
  <c r="AD74" i="2" s="1"/>
  <c r="AD63" i="2" a="1"/>
  <c r="AD63" i="2" s="1"/>
  <c r="AD77" i="2" a="1"/>
  <c r="AD77" i="2" s="1"/>
  <c r="AD62" i="2" a="1"/>
  <c r="AD62" i="2" s="1"/>
  <c r="AD76" i="2" a="1"/>
  <c r="AD76" i="2" s="1"/>
  <c r="AD73" i="2" a="1"/>
  <c r="AD73" i="2" s="1"/>
  <c r="AD48" i="2" a="1"/>
  <c r="AD48" i="2" s="1"/>
  <c r="AD31" i="2" a="1"/>
  <c r="AD31" i="2" s="1"/>
  <c r="AD51" i="2" a="1"/>
  <c r="AD51" i="2" s="1"/>
  <c r="AD68" i="2" a="1"/>
  <c r="AD68" i="2" s="1"/>
  <c r="AD78" i="2" a="1"/>
  <c r="AD78" i="2" s="1"/>
  <c r="AD19" i="2" a="1"/>
  <c r="AD19" i="2" s="1"/>
  <c r="AD35" i="2" a="1"/>
  <c r="AD35" i="2" s="1"/>
  <c r="AD81" i="2" a="1"/>
  <c r="AD81" i="2" s="1"/>
  <c r="AD71" i="2" a="1"/>
  <c r="AD71" i="2" s="1"/>
  <c r="AD55" i="2" a="1"/>
  <c r="AD55" i="2" s="1"/>
  <c r="AD39" i="2" a="1"/>
  <c r="AD39" i="2" s="1"/>
  <c r="Y82" i="2" l="1" a="1"/>
  <c r="Y82" i="2" s="1"/>
  <c r="Z82" i="2" a="1"/>
  <c r="Z82" i="2" s="1"/>
  <c r="AA82" i="2" a="1"/>
  <c r="AA82" i="2" s="1"/>
  <c r="W82" i="2" a="1"/>
  <c r="W82" i="2" s="1"/>
  <c r="X82" i="2" a="1"/>
  <c r="X82" i="2" s="1"/>
  <c r="AB82" i="2" a="1"/>
  <c r="AB82" i="2" s="1"/>
  <c r="AC82" i="2" a="1"/>
  <c r="AC82" i="2" s="1"/>
  <c r="AF2" i="2"/>
  <c r="AE5" i="2" a="1"/>
  <c r="AE5" i="2" s="1"/>
  <c r="AE6" i="2" a="1"/>
  <c r="AE6" i="2" s="1"/>
  <c r="AE3" i="2" a="1"/>
  <c r="AE3" i="2" s="1"/>
  <c r="AE4" i="2" a="1"/>
  <c r="AE4" i="2" s="1"/>
  <c r="AE13" i="2" a="1"/>
  <c r="AE13" i="2" s="1"/>
  <c r="AE14" i="2" a="1"/>
  <c r="AE14" i="2" s="1"/>
  <c r="AE12" i="2" a="1"/>
  <c r="AE12" i="2" s="1"/>
  <c r="AE17" i="2" a="1"/>
  <c r="AE17" i="2" s="1"/>
  <c r="AE10" i="2" a="1"/>
  <c r="AE10" i="2" s="1"/>
  <c r="AE22" i="2" a="1"/>
  <c r="AE22" i="2" s="1"/>
  <c r="AE16" i="2" a="1"/>
  <c r="AE16" i="2" s="1"/>
  <c r="AE18" i="2" a="1"/>
  <c r="AE18" i="2" s="1"/>
  <c r="AE26" i="2" a="1"/>
  <c r="AE26" i="2" s="1"/>
  <c r="AE25" i="2" a="1"/>
  <c r="AE25" i="2" s="1"/>
  <c r="AE20" i="2" a="1"/>
  <c r="AE20" i="2" s="1"/>
  <c r="AE32" i="2" a="1"/>
  <c r="AE32" i="2" s="1"/>
  <c r="AE33" i="2" a="1"/>
  <c r="AE33" i="2" s="1"/>
  <c r="AE34" i="2" a="1"/>
  <c r="AE34" i="2" s="1"/>
  <c r="AE29" i="2" a="1"/>
  <c r="AE29" i="2" s="1"/>
  <c r="AE44" i="2" a="1"/>
  <c r="AE44" i="2" s="1"/>
  <c r="AE46" i="2" a="1"/>
  <c r="AE46" i="2" s="1"/>
  <c r="AE40" i="2" a="1"/>
  <c r="AE40" i="2" s="1"/>
  <c r="AE50" i="2" a="1"/>
  <c r="AE50" i="2" s="1"/>
  <c r="AE70" i="2" a="1"/>
  <c r="AE70" i="2" s="1"/>
  <c r="AE28" i="2" a="1"/>
  <c r="AE28" i="2" s="1"/>
  <c r="AE52" i="2" a="1"/>
  <c r="AE52" i="2" s="1"/>
  <c r="AE61" i="2" a="1"/>
  <c r="AE61" i="2" s="1"/>
  <c r="AE62" i="2" a="1"/>
  <c r="AE62" i="2" s="1"/>
  <c r="AE7" i="2" a="1"/>
  <c r="AE7" i="2" s="1"/>
  <c r="AE47" i="2" a="1"/>
  <c r="AE47" i="2" s="1"/>
  <c r="AE56" i="2" a="1"/>
  <c r="AE56" i="2" s="1"/>
  <c r="AE57" i="2" a="1"/>
  <c r="AE57" i="2" s="1"/>
  <c r="AE37" i="2" a="1"/>
  <c r="AE37" i="2" s="1"/>
  <c r="AE41" i="2" a="1"/>
  <c r="AE41" i="2" s="1"/>
  <c r="AE60" i="2" a="1"/>
  <c r="AE60" i="2" s="1"/>
  <c r="AE69" i="2" a="1"/>
  <c r="AE69" i="2" s="1"/>
  <c r="AE73" i="2" a="1"/>
  <c r="AE73" i="2" s="1"/>
  <c r="AE42" i="2" a="1"/>
  <c r="AE42" i="2" s="1"/>
  <c r="AE11" i="2" a="1"/>
  <c r="AE11" i="2" s="1"/>
  <c r="AE45" i="2" a="1"/>
  <c r="AE45" i="2" s="1"/>
  <c r="AE43" i="2" a="1"/>
  <c r="AE43" i="2" s="1"/>
  <c r="AE67" i="2" a="1"/>
  <c r="AE67" i="2" s="1"/>
  <c r="AE23" i="2" a="1"/>
  <c r="AE23" i="2" s="1"/>
  <c r="AE24" i="2" a="1"/>
  <c r="AE24" i="2" s="1"/>
  <c r="AE74" i="2" a="1"/>
  <c r="AE74" i="2" s="1"/>
  <c r="AE49" i="2" a="1"/>
  <c r="AE49" i="2" s="1"/>
  <c r="AE36" i="2" a="1"/>
  <c r="AE36" i="2" s="1"/>
  <c r="AE38" i="2" a="1"/>
  <c r="AE38" i="2" s="1"/>
  <c r="AE54" i="2" a="1"/>
  <c r="AE54" i="2" s="1"/>
  <c r="AE64" i="2" a="1"/>
  <c r="AE64" i="2" s="1"/>
  <c r="AE27" i="2" a="1"/>
  <c r="AE27" i="2" s="1"/>
  <c r="AE21" i="2" a="1"/>
  <c r="AE21" i="2" s="1"/>
  <c r="AE53" i="2" a="1"/>
  <c r="AE53" i="2" s="1"/>
  <c r="AE30" i="2" a="1"/>
  <c r="AE30" i="2" s="1"/>
  <c r="AE9" i="2" a="1"/>
  <c r="AE9" i="2" s="1"/>
  <c r="AE8" i="2" a="1"/>
  <c r="AE8" i="2" s="1"/>
  <c r="AE31" i="2" a="1"/>
  <c r="AE31" i="2" s="1"/>
  <c r="AE58" i="2" a="1"/>
  <c r="AE58" i="2" s="1"/>
  <c r="AE72" i="2" a="1"/>
  <c r="AE72" i="2" s="1"/>
  <c r="AE65" i="2" a="1"/>
  <c r="AE65" i="2" s="1"/>
  <c r="AE63" i="2" a="1"/>
  <c r="AE63" i="2" s="1"/>
  <c r="AE15" i="2" a="1"/>
  <c r="AE15" i="2" s="1"/>
  <c r="AE78" i="2" a="1"/>
  <c r="AE78" i="2" s="1"/>
  <c r="AE66" i="2" a="1"/>
  <c r="AE66" i="2" s="1"/>
  <c r="AE82" i="2" a="1"/>
  <c r="AE82" i="2" s="1"/>
  <c r="AE48" i="2" a="1"/>
  <c r="AE48" i="2" s="1"/>
  <c r="AE19" i="2" a="1"/>
  <c r="AE19" i="2" s="1"/>
  <c r="AE76" i="2" a="1"/>
  <c r="AE76" i="2" s="1"/>
  <c r="AE35" i="2" a="1"/>
  <c r="AE35" i="2" s="1"/>
  <c r="AE68" i="2" a="1"/>
  <c r="AE68" i="2" s="1"/>
  <c r="AE81" i="2" a="1"/>
  <c r="AE81" i="2" s="1"/>
  <c r="AE77" i="2" a="1"/>
  <c r="AE77" i="2" s="1"/>
  <c r="AE51" i="2" a="1"/>
  <c r="AE51" i="2" s="1"/>
  <c r="AE80" i="2" a="1"/>
  <c r="AE80" i="2" s="1"/>
  <c r="AE71" i="2" a="1"/>
  <c r="AE71" i="2" s="1"/>
  <c r="AE55" i="2" a="1"/>
  <c r="AE55" i="2" s="1"/>
  <c r="AE39" i="2" a="1"/>
  <c r="AE39" i="2" s="1"/>
  <c r="AE75" i="2" a="1"/>
  <c r="AE75" i="2" s="1"/>
  <c r="AE59" i="2" a="1"/>
  <c r="AE59" i="2" s="1"/>
  <c r="AE79" i="2" a="1"/>
  <c r="AE79" i="2" s="1"/>
  <c r="AG2" i="2" l="1"/>
  <c r="AF3" i="2" a="1"/>
  <c r="AF3" i="2" s="1"/>
  <c r="AF4" i="2" a="1"/>
  <c r="AF4" i="2" s="1"/>
  <c r="AF5" i="2" a="1"/>
  <c r="AF5" i="2" s="1"/>
  <c r="AF6" i="2" a="1"/>
  <c r="AF6" i="2" s="1"/>
  <c r="AF10" i="2" a="1"/>
  <c r="AF10" i="2" s="1"/>
  <c r="AF14" i="2" a="1"/>
  <c r="AF14" i="2" s="1"/>
  <c r="AF12" i="2" a="1"/>
  <c r="AF12" i="2" s="1"/>
  <c r="AF17" i="2" a="1"/>
  <c r="AF17" i="2" s="1"/>
  <c r="AF18" i="2" a="1"/>
  <c r="AF18" i="2" s="1"/>
  <c r="AF25" i="2" a="1"/>
  <c r="AF25" i="2" s="1"/>
  <c r="AF21" i="2" a="1"/>
  <c r="AF21" i="2" s="1"/>
  <c r="AF33" i="2" a="1"/>
  <c r="AF33" i="2" s="1"/>
  <c r="AF22" i="2" a="1"/>
  <c r="AF22" i="2" s="1"/>
  <c r="AF26" i="2" a="1"/>
  <c r="AF26" i="2" s="1"/>
  <c r="AF27" i="2" a="1"/>
  <c r="AF27" i="2" s="1"/>
  <c r="AF16" i="2" a="1"/>
  <c r="AF16" i="2" s="1"/>
  <c r="AF29" i="2" a="1"/>
  <c r="AF29" i="2" s="1"/>
  <c r="AF32" i="2" a="1"/>
  <c r="AF32" i="2" s="1"/>
  <c r="AF34" i="2" a="1"/>
  <c r="AF34" i="2" s="1"/>
  <c r="AF42" i="2" a="1"/>
  <c r="AF42" i="2" s="1"/>
  <c r="AF44" i="2" a="1"/>
  <c r="AF44" i="2" s="1"/>
  <c r="AF47" i="2" a="1"/>
  <c r="AF47" i="2" s="1"/>
  <c r="AF24" i="2" a="1"/>
  <c r="AF24" i="2" s="1"/>
  <c r="AF58" i="2" a="1"/>
  <c r="AF58" i="2" s="1"/>
  <c r="AF20" i="2" a="1"/>
  <c r="AF20" i="2" s="1"/>
  <c r="AF64" i="2" a="1"/>
  <c r="AF64" i="2" s="1"/>
  <c r="AF46" i="2" a="1"/>
  <c r="AF46" i="2" s="1"/>
  <c r="AF23" i="2" a="1"/>
  <c r="AF23" i="2" s="1"/>
  <c r="AF11" i="2" a="1"/>
  <c r="AF11" i="2" s="1"/>
  <c r="AF38" i="2" a="1"/>
  <c r="AF38" i="2" s="1"/>
  <c r="AF45" i="2" a="1"/>
  <c r="AF45" i="2" s="1"/>
  <c r="AF41" i="2" a="1"/>
  <c r="AF41" i="2" s="1"/>
  <c r="AF60" i="2" a="1"/>
  <c r="AF60" i="2" s="1"/>
  <c r="AF43" i="2" a="1"/>
  <c r="AF43" i="2" s="1"/>
  <c r="AF74" i="2" a="1"/>
  <c r="AF74" i="2" s="1"/>
  <c r="AF36" i="2" a="1"/>
  <c r="AF36" i="2" s="1"/>
  <c r="AF53" i="2" a="1"/>
  <c r="AF53" i="2" s="1"/>
  <c r="AF62" i="2" a="1"/>
  <c r="AF62" i="2" s="1"/>
  <c r="AF49" i="2" a="1"/>
  <c r="AF49" i="2" s="1"/>
  <c r="AF61" i="2" a="1"/>
  <c r="AF61" i="2" s="1"/>
  <c r="AF63" i="2" a="1"/>
  <c r="AF63" i="2" s="1"/>
  <c r="AF50" i="2" a="1"/>
  <c r="AF50" i="2" s="1"/>
  <c r="AF72" i="2" a="1"/>
  <c r="AF72" i="2" s="1"/>
  <c r="AF40" i="2" a="1"/>
  <c r="AF40" i="2" s="1"/>
  <c r="AF69" i="2" a="1"/>
  <c r="AF69" i="2" s="1"/>
  <c r="AF7" i="2" a="1"/>
  <c r="AF7" i="2" s="1"/>
  <c r="AF28" i="2" a="1"/>
  <c r="AF28" i="2" s="1"/>
  <c r="AF9" i="2" a="1"/>
  <c r="AF9" i="2" s="1"/>
  <c r="AF30" i="2" a="1"/>
  <c r="AF30" i="2" s="1"/>
  <c r="AF52" i="2" a="1"/>
  <c r="AF52" i="2" s="1"/>
  <c r="AF13" i="2" a="1"/>
  <c r="AF13" i="2" s="1"/>
  <c r="AF37" i="2" a="1"/>
  <c r="AF37" i="2" s="1"/>
  <c r="AF56" i="2" a="1"/>
  <c r="AF56" i="2" s="1"/>
  <c r="AF8" i="2" a="1"/>
  <c r="AF8" i="2" s="1"/>
  <c r="AF54" i="2" a="1"/>
  <c r="AF54" i="2" s="1"/>
  <c r="AF67" i="2" a="1"/>
  <c r="AF67" i="2" s="1"/>
  <c r="AF65" i="2" a="1"/>
  <c r="AF65" i="2" s="1"/>
  <c r="AF66" i="2" a="1"/>
  <c r="AF66" i="2" s="1"/>
  <c r="AF70" i="2" a="1"/>
  <c r="AF70" i="2" s="1"/>
  <c r="AF57" i="2" a="1"/>
  <c r="AF57" i="2" s="1"/>
  <c r="AF15" i="2" a="1"/>
  <c r="AF15" i="2" s="1"/>
  <c r="AF48" i="2" a="1"/>
  <c r="AF48" i="2" s="1"/>
  <c r="AF31" i="2" a="1"/>
  <c r="AF31" i="2" s="1"/>
  <c r="AF73" i="2" a="1"/>
  <c r="AF73" i="2" s="1"/>
  <c r="AF81" i="2" a="1"/>
  <c r="AF81" i="2" s="1"/>
  <c r="AF19" i="2" a="1"/>
  <c r="AF19" i="2" s="1"/>
  <c r="AF76" i="2" a="1"/>
  <c r="AF76" i="2" s="1"/>
  <c r="AF35" i="2" a="1"/>
  <c r="AF35" i="2" s="1"/>
  <c r="AF80" i="2" a="1"/>
  <c r="AF80" i="2" s="1"/>
  <c r="AF78" i="2" a="1"/>
  <c r="AF78" i="2" s="1"/>
  <c r="AF82" i="2" a="1"/>
  <c r="AF82" i="2" s="1"/>
  <c r="AF77" i="2" a="1"/>
  <c r="AF77" i="2" s="1"/>
  <c r="AF51" i="2" a="1"/>
  <c r="AF51" i="2" s="1"/>
  <c r="AF68" i="2" a="1"/>
  <c r="AF68" i="2" s="1"/>
  <c r="AF39" i="2" a="1"/>
  <c r="AF39" i="2" s="1"/>
  <c r="AF55" i="2" a="1"/>
  <c r="AF55" i="2" s="1"/>
  <c r="AF71" i="2" a="1"/>
  <c r="AF71" i="2" s="1"/>
  <c r="AF75" i="2" a="1"/>
  <c r="AF75" i="2" s="1"/>
  <c r="AF59" i="2" a="1"/>
  <c r="AF59" i="2" s="1"/>
  <c r="AF79" i="2" a="1"/>
  <c r="AF79" i="2" s="1"/>
  <c r="AG3" i="2" l="1" a="1"/>
  <c r="AG3" i="2" s="1"/>
  <c r="AG4" i="2" a="1"/>
  <c r="AG4" i="2" s="1"/>
  <c r="AG5" i="2" a="1"/>
  <c r="AG5" i="2" s="1"/>
  <c r="AH2" i="2"/>
  <c r="AG12" i="2" a="1"/>
  <c r="AG12" i="2" s="1"/>
  <c r="AG6" i="2" a="1"/>
  <c r="AG6" i="2" s="1"/>
  <c r="AG13" i="2" a="1"/>
  <c r="AG13" i="2" s="1"/>
  <c r="AG8" i="2" a="1"/>
  <c r="AG8" i="2" s="1"/>
  <c r="AG22" i="2" a="1"/>
  <c r="AG22" i="2" s="1"/>
  <c r="AG21" i="2" a="1"/>
  <c r="AG21" i="2" s="1"/>
  <c r="AG29" i="2" a="1"/>
  <c r="AG29" i="2" s="1"/>
  <c r="AG27" i="2" a="1"/>
  <c r="AG27" i="2" s="1"/>
  <c r="AG54" i="2" a="1"/>
  <c r="AG54" i="2" s="1"/>
  <c r="AG47" i="2" a="1"/>
  <c r="AG47" i="2" s="1"/>
  <c r="AG50" i="2" a="1"/>
  <c r="AG50" i="2" s="1"/>
  <c r="AG40" i="2" a="1"/>
  <c r="AG40" i="2" s="1"/>
  <c r="AG42" i="2" a="1"/>
  <c r="AG42" i="2" s="1"/>
  <c r="AG53" i="2" a="1"/>
  <c r="AG53" i="2" s="1"/>
  <c r="AG20" i="2" a="1"/>
  <c r="AG20" i="2" s="1"/>
  <c r="AG10" i="2" a="1"/>
  <c r="AG10" i="2" s="1"/>
  <c r="AG17" i="2" a="1"/>
  <c r="AG17" i="2" s="1"/>
  <c r="AG63" i="2" a="1"/>
  <c r="AG63" i="2" s="1"/>
  <c r="AG23" i="2" a="1"/>
  <c r="AG23" i="2" s="1"/>
  <c r="AG36" i="2" a="1"/>
  <c r="AG36" i="2" s="1"/>
  <c r="AG49" i="2" a="1"/>
  <c r="AG49" i="2" s="1"/>
  <c r="AG37" i="2" a="1"/>
  <c r="AG37" i="2" s="1"/>
  <c r="AG41" i="2" a="1"/>
  <c r="AG41" i="2" s="1"/>
  <c r="AG43" i="2" a="1"/>
  <c r="AG43" i="2" s="1"/>
  <c r="AG46" i="2" a="1"/>
  <c r="AG46" i="2" s="1"/>
  <c r="AG52" i="2" a="1"/>
  <c r="AG52" i="2" s="1"/>
  <c r="AG56" i="2" a="1"/>
  <c r="AG56" i="2" s="1"/>
  <c r="AG58" i="2" a="1"/>
  <c r="AG58" i="2" s="1"/>
  <c r="AG62" i="2" a="1"/>
  <c r="AG62" i="2" s="1"/>
  <c r="AG45" i="2" a="1"/>
  <c r="AG45" i="2" s="1"/>
  <c r="AG25" i="2" a="1"/>
  <c r="AG25" i="2" s="1"/>
  <c r="AG24" i="2" a="1"/>
  <c r="AG24" i="2" s="1"/>
  <c r="AG7" i="2" a="1"/>
  <c r="AG7" i="2" s="1"/>
  <c r="AG11" i="2" a="1"/>
  <c r="AG11" i="2" s="1"/>
  <c r="AG26" i="2" a="1"/>
  <c r="AG26" i="2" s="1"/>
  <c r="AG33" i="2" a="1"/>
  <c r="AG33" i="2" s="1"/>
  <c r="AG30" i="2" a="1"/>
  <c r="AG30" i="2" s="1"/>
  <c r="AG14" i="2" a="1"/>
  <c r="AG14" i="2" s="1"/>
  <c r="AG44" i="2" a="1"/>
  <c r="AG44" i="2" s="1"/>
  <c r="AG28" i="2" a="1"/>
  <c r="AG28" i="2" s="1"/>
  <c r="AG32" i="2" a="1"/>
  <c r="AG32" i="2" s="1"/>
  <c r="AG18" i="2" a="1"/>
  <c r="AG18" i="2" s="1"/>
  <c r="AG38" i="2" a="1"/>
  <c r="AG38" i="2" s="1"/>
  <c r="AG34" i="2" a="1"/>
  <c r="AG34" i="2" s="1"/>
  <c r="AG16" i="2" a="1"/>
  <c r="AG16" i="2" s="1"/>
  <c r="AG9" i="2" a="1"/>
  <c r="AG9" i="2" s="1"/>
  <c r="AG48" i="2" a="1"/>
  <c r="AG48" i="2" s="1"/>
  <c r="AG64" i="2" a="1"/>
  <c r="AG64" i="2" s="1"/>
  <c r="AG72" i="2" a="1"/>
  <c r="AG72" i="2" s="1"/>
  <c r="AG77" i="2" a="1"/>
  <c r="AG77" i="2" s="1"/>
  <c r="AG66" i="2" a="1"/>
  <c r="AG66" i="2" s="1"/>
  <c r="AG57" i="2" a="1"/>
  <c r="AG57" i="2" s="1"/>
  <c r="AG67" i="2" a="1"/>
  <c r="AG67" i="2" s="1"/>
  <c r="AG69" i="2" a="1"/>
  <c r="AG69" i="2" s="1"/>
  <c r="AG73" i="2" a="1"/>
  <c r="AG73" i="2" s="1"/>
  <c r="AG61" i="2" a="1"/>
  <c r="AG61" i="2" s="1"/>
  <c r="AG81" i="2" a="1"/>
  <c r="AG81" i="2" s="1"/>
  <c r="AG31" i="2" a="1"/>
  <c r="AG31" i="2" s="1"/>
  <c r="AG65" i="2" a="1"/>
  <c r="AG65" i="2" s="1"/>
  <c r="AG60" i="2" a="1"/>
  <c r="AG60" i="2" s="1"/>
  <c r="AG74" i="2" a="1"/>
  <c r="AG74" i="2" s="1"/>
  <c r="AG70" i="2" a="1"/>
  <c r="AG70" i="2" s="1"/>
  <c r="AG15" i="2" a="1"/>
  <c r="AG15" i="2" s="1"/>
  <c r="AG80" i="2" a="1"/>
  <c r="AG80" i="2" s="1"/>
  <c r="AG76" i="2" a="1"/>
  <c r="AG76" i="2" s="1"/>
  <c r="AG68" i="2" a="1"/>
  <c r="AG68" i="2" s="1"/>
  <c r="AG51" i="2" a="1"/>
  <c r="AG51" i="2" s="1"/>
  <c r="AG82" i="2" a="1"/>
  <c r="AG82" i="2" s="1"/>
  <c r="AG35" i="2" a="1"/>
  <c r="AG35" i="2" s="1"/>
  <c r="AG78" i="2" a="1"/>
  <c r="AG78" i="2" s="1"/>
  <c r="AG19" i="2" a="1"/>
  <c r="AG19" i="2" s="1"/>
  <c r="AG71" i="2" a="1"/>
  <c r="AG71" i="2" s="1"/>
  <c r="AG55" i="2" a="1"/>
  <c r="AG55" i="2" s="1"/>
  <c r="AG39" i="2" a="1"/>
  <c r="AG39" i="2" s="1"/>
  <c r="AG75" i="2" a="1"/>
  <c r="AG75" i="2" s="1"/>
  <c r="AG59" i="2" a="1"/>
  <c r="AG59" i="2" s="1"/>
  <c r="AG79" i="2" a="1"/>
  <c r="AG79" i="2" s="1"/>
  <c r="AH3" i="2" l="1" a="1"/>
  <c r="AH3" i="2" s="1"/>
  <c r="AH4" i="2" a="1"/>
  <c r="AH4" i="2" s="1"/>
  <c r="AH5" i="2" a="1"/>
  <c r="AH5" i="2" s="1"/>
  <c r="AI2" i="2"/>
  <c r="AH12" i="2" a="1"/>
  <c r="AH12" i="2" s="1"/>
  <c r="AH8" i="2" a="1"/>
  <c r="AH8" i="2" s="1"/>
  <c r="AH10" i="2" a="1"/>
  <c r="AH10" i="2" s="1"/>
  <c r="AH6" i="2" a="1"/>
  <c r="AH6" i="2" s="1"/>
  <c r="AH17" i="2" a="1"/>
  <c r="AH17" i="2" s="1"/>
  <c r="AH7" i="2" a="1"/>
  <c r="AH7" i="2" s="1"/>
  <c r="AH13" i="2" a="1"/>
  <c r="AH13" i="2" s="1"/>
  <c r="AH16" i="2" a="1"/>
  <c r="AH16" i="2" s="1"/>
  <c r="AH22" i="2" a="1"/>
  <c r="AH22" i="2" s="1"/>
  <c r="AH21" i="2" a="1"/>
  <c r="AH21" i="2" s="1"/>
  <c r="AH14" i="2" a="1"/>
  <c r="AH14" i="2" s="1"/>
  <c r="AH25" i="2" a="1"/>
  <c r="AH25" i="2" s="1"/>
  <c r="AH29" i="2" a="1"/>
  <c r="AH29" i="2" s="1"/>
  <c r="AH32" i="2" a="1"/>
  <c r="AH32" i="2" s="1"/>
  <c r="AH27" i="2" a="1"/>
  <c r="AH27" i="2" s="1"/>
  <c r="AH45" i="2" a="1"/>
  <c r="AH45" i="2" s="1"/>
  <c r="AH47" i="2" a="1"/>
  <c r="AH47" i="2" s="1"/>
  <c r="AH41" i="2" a="1"/>
  <c r="AH41" i="2" s="1"/>
  <c r="AH43" i="2" a="1"/>
  <c r="AH43" i="2" s="1"/>
  <c r="AH30" i="2" a="1"/>
  <c r="AH30" i="2" s="1"/>
  <c r="AH33" i="2" a="1"/>
  <c r="AH33" i="2" s="1"/>
  <c r="AH63" i="2" a="1"/>
  <c r="AH63" i="2" s="1"/>
  <c r="AH11" i="2" a="1"/>
  <c r="AH11" i="2" s="1"/>
  <c r="AH46" i="2" a="1"/>
  <c r="AH46" i="2" s="1"/>
  <c r="AH52" i="2" a="1"/>
  <c r="AH52" i="2" s="1"/>
  <c r="AH28" i="2" a="1"/>
  <c r="AH28" i="2" s="1"/>
  <c r="AH57" i="2" a="1"/>
  <c r="AH57" i="2" s="1"/>
  <c r="AH18" i="2" a="1"/>
  <c r="AH18" i="2" s="1"/>
  <c r="AH37" i="2" a="1"/>
  <c r="AH37" i="2" s="1"/>
  <c r="AH67" i="2" a="1"/>
  <c r="AH67" i="2" s="1"/>
  <c r="AH34" i="2" a="1"/>
  <c r="AH34" i="2" s="1"/>
  <c r="AH60" i="2" a="1"/>
  <c r="AH60" i="2" s="1"/>
  <c r="AH38" i="2" a="1"/>
  <c r="AH38" i="2" s="1"/>
  <c r="AH40" i="2" a="1"/>
  <c r="AH40" i="2" s="1"/>
  <c r="AH49" i="2" a="1"/>
  <c r="AH49" i="2" s="1"/>
  <c r="AH53" i="2" a="1"/>
  <c r="AH53" i="2" s="1"/>
  <c r="AH70" i="2" a="1"/>
  <c r="AH70" i="2" s="1"/>
  <c r="AH42" i="2" a="1"/>
  <c r="AH42" i="2" s="1"/>
  <c r="AH54" i="2" a="1"/>
  <c r="AH54" i="2" s="1"/>
  <c r="AH44" i="2" a="1"/>
  <c r="AH44" i="2" s="1"/>
  <c r="AH36" i="2" a="1"/>
  <c r="AH36" i="2" s="1"/>
  <c r="AH26" i="2" a="1"/>
  <c r="AH26" i="2" s="1"/>
  <c r="AH56" i="2" a="1"/>
  <c r="AH56" i="2" s="1"/>
  <c r="AH23" i="2" a="1"/>
  <c r="AH23" i="2" s="1"/>
  <c r="AH58" i="2" a="1"/>
  <c r="AH58" i="2" s="1"/>
  <c r="AH9" i="2" a="1"/>
  <c r="AH9" i="2" s="1"/>
  <c r="AH50" i="2" a="1"/>
  <c r="AH50" i="2" s="1"/>
  <c r="AH20" i="2" a="1"/>
  <c r="AH20" i="2" s="1"/>
  <c r="AH24" i="2" a="1"/>
  <c r="AH24" i="2" s="1"/>
  <c r="AH66" i="2" a="1"/>
  <c r="AH66" i="2" s="1"/>
  <c r="AH62" i="2" a="1"/>
  <c r="AH62" i="2" s="1"/>
  <c r="AH74" i="2" a="1"/>
  <c r="AH74" i="2" s="1"/>
  <c r="AH48" i="2" a="1"/>
  <c r="AH48" i="2" s="1"/>
  <c r="AH31" i="2" a="1"/>
  <c r="AH31" i="2" s="1"/>
  <c r="AH73" i="2" a="1"/>
  <c r="AH73" i="2" s="1"/>
  <c r="AH61" i="2" a="1"/>
  <c r="AH61" i="2" s="1"/>
  <c r="AH82" i="2" a="1"/>
  <c r="AH82" i="2" s="1"/>
  <c r="AH81" i="2" a="1"/>
  <c r="AH81" i="2" s="1"/>
  <c r="AH69" i="2" a="1"/>
  <c r="AH69" i="2" s="1"/>
  <c r="AH80" i="2" a="1"/>
  <c r="AH80" i="2" s="1"/>
  <c r="AH64" i="2" a="1"/>
  <c r="AH64" i="2" s="1"/>
  <c r="AH72" i="2" a="1"/>
  <c r="AH72" i="2" s="1"/>
  <c r="AH76" i="2" a="1"/>
  <c r="AH76" i="2" s="1"/>
  <c r="AH15" i="2" a="1"/>
  <c r="AH15" i="2" s="1"/>
  <c r="AH65" i="2" a="1"/>
  <c r="AH65" i="2" s="1"/>
  <c r="AH78" i="2" a="1"/>
  <c r="AH78" i="2" s="1"/>
  <c r="AH77" i="2" a="1"/>
  <c r="AH77" i="2" s="1"/>
  <c r="AH68" i="2" a="1"/>
  <c r="AH68" i="2" s="1"/>
  <c r="AH51" i="2" a="1"/>
  <c r="AH51" i="2" s="1"/>
  <c r="AH19" i="2" a="1"/>
  <c r="AH19" i="2" s="1"/>
  <c r="AH35" i="2" a="1"/>
  <c r="AH35" i="2" s="1"/>
  <c r="AH39" i="2" a="1"/>
  <c r="AH39" i="2" s="1"/>
  <c r="AH71" i="2" a="1"/>
  <c r="AH71" i="2" s="1"/>
  <c r="AH55" i="2" a="1"/>
  <c r="AH55" i="2" s="1"/>
  <c r="AH59" i="2" a="1"/>
  <c r="AH59" i="2" s="1"/>
  <c r="AH75" i="2" a="1"/>
  <c r="AH75" i="2" s="1"/>
  <c r="AH79" i="2" a="1"/>
  <c r="AH79" i="2" s="1"/>
  <c r="AI6" i="2" l="1" a="1"/>
  <c r="AI6" i="2" s="1"/>
  <c r="AI4" i="2" a="1"/>
  <c r="AI4" i="2" s="1"/>
  <c r="AI8" i="2" a="1"/>
  <c r="AI8" i="2" s="1"/>
  <c r="AJ2" i="2"/>
  <c r="AI10" i="2" a="1"/>
  <c r="AI10" i="2" s="1"/>
  <c r="AI3" i="2" a="1"/>
  <c r="AI3" i="2" s="1"/>
  <c r="AI9" i="2" a="1"/>
  <c r="AI9" i="2" s="1"/>
  <c r="AI12" i="2" a="1"/>
  <c r="AI12" i="2" s="1"/>
  <c r="AI14" i="2" a="1"/>
  <c r="AI14" i="2" s="1"/>
  <c r="AI5" i="2" a="1"/>
  <c r="AI5" i="2" s="1"/>
  <c r="AI17" i="2" a="1"/>
  <c r="AI17" i="2" s="1"/>
  <c r="AI16" i="2" a="1"/>
  <c r="AI16" i="2" s="1"/>
  <c r="AI13" i="2" a="1"/>
  <c r="AI13" i="2" s="1"/>
  <c r="AI22" i="2" a="1"/>
  <c r="AI22" i="2" s="1"/>
  <c r="AI27" i="2" a="1"/>
  <c r="AI27" i="2" s="1"/>
  <c r="AI25" i="2" a="1"/>
  <c r="AI25" i="2" s="1"/>
  <c r="AI29" i="2" a="1"/>
  <c r="AI29" i="2" s="1"/>
  <c r="AI23" i="2" a="1"/>
  <c r="AI23" i="2" s="1"/>
  <c r="AI26" i="2" a="1"/>
  <c r="AI26" i="2" s="1"/>
  <c r="AI34" i="2" a="1"/>
  <c r="AI34" i="2" s="1"/>
  <c r="AI32" i="2" a="1"/>
  <c r="AI32" i="2" s="1"/>
  <c r="AI30" i="2" a="1"/>
  <c r="AI30" i="2" s="1"/>
  <c r="AI24" i="2" a="1"/>
  <c r="AI24" i="2" s="1"/>
  <c r="AI53" i="2" a="1"/>
  <c r="AI53" i="2" s="1"/>
  <c r="AI45" i="2" a="1"/>
  <c r="AI45" i="2" s="1"/>
  <c r="AI33" i="2" a="1"/>
  <c r="AI33" i="2" s="1"/>
  <c r="AI43" i="2" a="1"/>
  <c r="AI43" i="2" s="1"/>
  <c r="AI38" i="2" a="1"/>
  <c r="AI38" i="2" s="1"/>
  <c r="AI70" i="2" a="1"/>
  <c r="AI70" i="2" s="1"/>
  <c r="AI47" i="2" a="1"/>
  <c r="AI47" i="2" s="1"/>
  <c r="AI20" i="2" a="1"/>
  <c r="AI20" i="2" s="1"/>
  <c r="AI18" i="2" a="1"/>
  <c r="AI18" i="2" s="1"/>
  <c r="AI52" i="2" a="1"/>
  <c r="AI52" i="2" s="1"/>
  <c r="AI40" i="2" a="1"/>
  <c r="AI40" i="2" s="1"/>
  <c r="AI7" i="2" a="1"/>
  <c r="AI7" i="2" s="1"/>
  <c r="AI36" i="2" a="1"/>
  <c r="AI36" i="2" s="1"/>
  <c r="AI44" i="2" a="1"/>
  <c r="AI44" i="2" s="1"/>
  <c r="AI41" i="2" a="1"/>
  <c r="AI41" i="2" s="1"/>
  <c r="AI50" i="2" a="1"/>
  <c r="AI50" i="2" s="1"/>
  <c r="AI49" i="2" a="1"/>
  <c r="AI49" i="2" s="1"/>
  <c r="AI37" i="2" a="1"/>
  <c r="AI37" i="2" s="1"/>
  <c r="AI28" i="2" a="1"/>
  <c r="AI28" i="2" s="1"/>
  <c r="AI11" i="2" a="1"/>
  <c r="AI11" i="2" s="1"/>
  <c r="AI42" i="2" a="1"/>
  <c r="AI42" i="2" s="1"/>
  <c r="AI46" i="2" a="1"/>
  <c r="AI46" i="2" s="1"/>
  <c r="AI57" i="2" a="1"/>
  <c r="AI57" i="2" s="1"/>
  <c r="AI67" i="2" a="1"/>
  <c r="AI67" i="2" s="1"/>
  <c r="AI58" i="2" a="1"/>
  <c r="AI58" i="2" s="1"/>
  <c r="AI21" i="2" a="1"/>
  <c r="AI21" i="2" s="1"/>
  <c r="AI66" i="2" a="1"/>
  <c r="AI66" i="2" s="1"/>
  <c r="AI64" i="2" a="1"/>
  <c r="AI64" i="2" s="1"/>
  <c r="AI54" i="2" a="1"/>
  <c r="AI54" i="2" s="1"/>
  <c r="AI31" i="2" a="1"/>
  <c r="AI31" i="2" s="1"/>
  <c r="AI69" i="2" a="1"/>
  <c r="AI69" i="2" s="1"/>
  <c r="AI63" i="2" a="1"/>
  <c r="AI63" i="2" s="1"/>
  <c r="AI72" i="2" a="1"/>
  <c r="AI72" i="2" s="1"/>
  <c r="AI77" i="2" a="1"/>
  <c r="AI77" i="2" s="1"/>
  <c r="AI56" i="2" a="1"/>
  <c r="AI56" i="2" s="1"/>
  <c r="AI48" i="2" a="1"/>
  <c r="AI48" i="2" s="1"/>
  <c r="AI60" i="2" a="1"/>
  <c r="AI60" i="2" s="1"/>
  <c r="AI61" i="2" a="1"/>
  <c r="AI61" i="2" s="1"/>
  <c r="AI74" i="2" a="1"/>
  <c r="AI74" i="2" s="1"/>
  <c r="AI62" i="2" a="1"/>
  <c r="AI62" i="2" s="1"/>
  <c r="AI15" i="2" a="1"/>
  <c r="AI15" i="2" s="1"/>
  <c r="AI78" i="2" a="1"/>
  <c r="AI78" i="2" s="1"/>
  <c r="AI65" i="2" a="1"/>
  <c r="AI65" i="2" s="1"/>
  <c r="AI73" i="2" a="1"/>
  <c r="AI73" i="2" s="1"/>
  <c r="AI82" i="2" a="1"/>
  <c r="AI82" i="2" s="1"/>
  <c r="AI76" i="2" a="1"/>
  <c r="AI76" i="2" s="1"/>
  <c r="AI80" i="2" a="1"/>
  <c r="AI80" i="2" s="1"/>
  <c r="AI19" i="2" a="1"/>
  <c r="AI19" i="2" s="1"/>
  <c r="AI68" i="2" a="1"/>
  <c r="AI68" i="2" s="1"/>
  <c r="AI81" i="2" a="1"/>
  <c r="AI81" i="2" s="1"/>
  <c r="AI51" i="2" a="1"/>
  <c r="AI51" i="2" s="1"/>
  <c r="AI35" i="2" a="1"/>
  <c r="AI35" i="2" s="1"/>
  <c r="AI39" i="2" a="1"/>
  <c r="AI39" i="2" s="1"/>
  <c r="AI71" i="2" a="1"/>
  <c r="AI71" i="2" s="1"/>
  <c r="AI55" i="2" a="1"/>
  <c r="AI55" i="2" s="1"/>
  <c r="AI75" i="2" a="1"/>
  <c r="AI75" i="2" s="1"/>
  <c r="AI59" i="2" a="1"/>
  <c r="AI59" i="2" s="1"/>
  <c r="AI79" i="2" a="1"/>
  <c r="AI79" i="2" s="1"/>
  <c r="AK2" i="2" l="1"/>
  <c r="AJ3" i="2" a="1"/>
  <c r="AJ3" i="2" s="1"/>
  <c r="AJ4" i="2" a="1"/>
  <c r="AJ4" i="2" s="1"/>
  <c r="AJ6" i="2" a="1"/>
  <c r="AJ6" i="2" s="1"/>
  <c r="AJ8" i="2" a="1"/>
  <c r="AJ8" i="2" s="1"/>
  <c r="AJ9" i="2" a="1"/>
  <c r="AJ9" i="2" s="1"/>
  <c r="AJ5" i="2" a="1"/>
  <c r="AJ5" i="2" s="1"/>
  <c r="AJ7" i="2" a="1"/>
  <c r="AJ7" i="2" s="1"/>
  <c r="AJ14" i="2" a="1"/>
  <c r="AJ14" i="2" s="1"/>
  <c r="AJ12" i="2" a="1"/>
  <c r="AJ12" i="2" s="1"/>
  <c r="AJ10" i="2" a="1"/>
  <c r="AJ10" i="2" s="1"/>
  <c r="AJ21" i="2" a="1"/>
  <c r="AJ21" i="2" s="1"/>
  <c r="AJ17" i="2" a="1"/>
  <c r="AJ17" i="2" s="1"/>
  <c r="AJ22" i="2" a="1"/>
  <c r="AJ22" i="2" s="1"/>
  <c r="AJ25" i="2" a="1"/>
  <c r="AJ25" i="2" s="1"/>
  <c r="AJ29" i="2" a="1"/>
  <c r="AJ29" i="2" s="1"/>
  <c r="AJ33" i="2" a="1"/>
  <c r="AJ33" i="2" s="1"/>
  <c r="AJ18" i="2" a="1"/>
  <c r="AJ18" i="2" s="1"/>
  <c r="AJ34" i="2" a="1"/>
  <c r="AJ34" i="2" s="1"/>
  <c r="AJ32" i="2" a="1"/>
  <c r="AJ32" i="2" s="1"/>
  <c r="AJ53" i="2" a="1"/>
  <c r="AJ53" i="2" s="1"/>
  <c r="AJ26" i="2" a="1"/>
  <c r="AJ26" i="2" s="1"/>
  <c r="AJ46" i="2" a="1"/>
  <c r="AJ46" i="2" s="1"/>
  <c r="AJ38" i="2" a="1"/>
  <c r="AJ38" i="2" s="1"/>
  <c r="AJ36" i="2" a="1"/>
  <c r="AJ36" i="2" s="1"/>
  <c r="AJ60" i="2" a="1"/>
  <c r="AJ60" i="2" s="1"/>
  <c r="AJ62" i="2" a="1"/>
  <c r="AJ62" i="2" s="1"/>
  <c r="AJ16" i="2" a="1"/>
  <c r="AJ16" i="2" s="1"/>
  <c r="AJ49" i="2" a="1"/>
  <c r="AJ49" i="2" s="1"/>
  <c r="AJ40" i="2" a="1"/>
  <c r="AJ40" i="2" s="1"/>
  <c r="AJ69" i="2" a="1"/>
  <c r="AJ69" i="2" s="1"/>
  <c r="AJ30" i="2" a="1"/>
  <c r="AJ30" i="2" s="1"/>
  <c r="AJ24" i="2" a="1"/>
  <c r="AJ24" i="2" s="1"/>
  <c r="AJ50" i="2" a="1"/>
  <c r="AJ50" i="2" s="1"/>
  <c r="AJ66" i="2" a="1"/>
  <c r="AJ66" i="2" s="1"/>
  <c r="AJ45" i="2" a="1"/>
  <c r="AJ45" i="2" s="1"/>
  <c r="AJ58" i="2" a="1"/>
  <c r="AJ58" i="2" s="1"/>
  <c r="AJ64" i="2" a="1"/>
  <c r="AJ64" i="2" s="1"/>
  <c r="AJ11" i="2" a="1"/>
  <c r="AJ11" i="2" s="1"/>
  <c r="AJ37" i="2" a="1"/>
  <c r="AJ37" i="2" s="1"/>
  <c r="AJ41" i="2" a="1"/>
  <c r="AJ41" i="2" s="1"/>
  <c r="AJ54" i="2" a="1"/>
  <c r="AJ54" i="2" s="1"/>
  <c r="AJ67" i="2" a="1"/>
  <c r="AJ67" i="2" s="1"/>
  <c r="AJ52" i="2" a="1"/>
  <c r="AJ52" i="2" s="1"/>
  <c r="AJ28" i="2" a="1"/>
  <c r="AJ28" i="2" s="1"/>
  <c r="AJ42" i="2" a="1"/>
  <c r="AJ42" i="2" s="1"/>
  <c r="AJ13" i="2" a="1"/>
  <c r="AJ13" i="2" s="1"/>
  <c r="AJ44" i="2" a="1"/>
  <c r="AJ44" i="2" s="1"/>
  <c r="AJ57" i="2" a="1"/>
  <c r="AJ57" i="2" s="1"/>
  <c r="AJ72" i="2" a="1"/>
  <c r="AJ72" i="2" s="1"/>
  <c r="AJ61" i="2" a="1"/>
  <c r="AJ61" i="2" s="1"/>
  <c r="AJ20" i="2" a="1"/>
  <c r="AJ20" i="2" s="1"/>
  <c r="AJ47" i="2" a="1"/>
  <c r="AJ47" i="2" s="1"/>
  <c r="AJ43" i="2" a="1"/>
  <c r="AJ43" i="2" s="1"/>
  <c r="AJ23" i="2" a="1"/>
  <c r="AJ23" i="2" s="1"/>
  <c r="AJ27" i="2" a="1"/>
  <c r="AJ27" i="2" s="1"/>
  <c r="AJ74" i="2" a="1"/>
  <c r="AJ74" i="2" s="1"/>
  <c r="AJ48" i="2" a="1"/>
  <c r="AJ48" i="2" s="1"/>
  <c r="AJ73" i="2" a="1"/>
  <c r="AJ73" i="2" s="1"/>
  <c r="AJ63" i="2" a="1"/>
  <c r="AJ63" i="2" s="1"/>
  <c r="AJ77" i="2" a="1"/>
  <c r="AJ77" i="2" s="1"/>
  <c r="AJ76" i="2" a="1"/>
  <c r="AJ76" i="2" s="1"/>
  <c r="AJ56" i="2" a="1"/>
  <c r="AJ56" i="2" s="1"/>
  <c r="AJ31" i="2" a="1"/>
  <c r="AJ31" i="2" s="1"/>
  <c r="AJ15" i="2" a="1"/>
  <c r="AJ15" i="2" s="1"/>
  <c r="AJ65" i="2" a="1"/>
  <c r="AJ65" i="2" s="1"/>
  <c r="AJ70" i="2" a="1"/>
  <c r="AJ70" i="2" s="1"/>
  <c r="AJ82" i="2" a="1"/>
  <c r="AJ82" i="2" s="1"/>
  <c r="AJ51" i="2" a="1"/>
  <c r="AJ51" i="2" s="1"/>
  <c r="AJ80" i="2" a="1"/>
  <c r="AJ80" i="2" s="1"/>
  <c r="AJ35" i="2" a="1"/>
  <c r="AJ35" i="2" s="1"/>
  <c r="AJ19" i="2" a="1"/>
  <c r="AJ19" i="2" s="1"/>
  <c r="AJ68" i="2" a="1"/>
  <c r="AJ68" i="2" s="1"/>
  <c r="AJ81" i="2" a="1"/>
  <c r="AJ81" i="2" s="1"/>
  <c r="AJ78" i="2" a="1"/>
  <c r="AJ78" i="2" s="1"/>
  <c r="AJ39" i="2" a="1"/>
  <c r="AJ39" i="2" s="1"/>
  <c r="AJ55" i="2" a="1"/>
  <c r="AJ55" i="2" s="1"/>
  <c r="AJ71" i="2" a="1"/>
  <c r="AJ71" i="2" s="1"/>
  <c r="AJ75" i="2" a="1"/>
  <c r="AJ75" i="2" s="1"/>
  <c r="AJ59" i="2" a="1"/>
  <c r="AJ59" i="2" s="1"/>
  <c r="AJ79" i="2" a="1"/>
  <c r="AJ79" i="2" s="1"/>
  <c r="AK3" i="2" l="1" a="1"/>
  <c r="AK3" i="2" s="1"/>
  <c r="AK4" i="2" a="1"/>
  <c r="AK4" i="2" s="1"/>
  <c r="AK5" i="2" a="1"/>
  <c r="AK5" i="2" s="1"/>
  <c r="AL2" i="2"/>
  <c r="AK6" i="2" a="1"/>
  <c r="AK6" i="2" s="1"/>
  <c r="AK12" i="2" a="1"/>
  <c r="AK12" i="2" s="1"/>
  <c r="AK13" i="2" a="1"/>
  <c r="AK13" i="2" s="1"/>
  <c r="AK10" i="2" a="1"/>
  <c r="AK10" i="2" s="1"/>
  <c r="AK22" i="2" a="1"/>
  <c r="AK22" i="2" s="1"/>
  <c r="AK21" i="2" a="1"/>
  <c r="AK21" i="2" s="1"/>
  <c r="AK18" i="2" a="1"/>
  <c r="AK18" i="2" s="1"/>
  <c r="AK25" i="2" a="1"/>
  <c r="AK25" i="2" s="1"/>
  <c r="AK33" i="2" a="1"/>
  <c r="AK33" i="2" s="1"/>
  <c r="AK29" i="2" a="1"/>
  <c r="AK29" i="2" s="1"/>
  <c r="AK27" i="2" a="1"/>
  <c r="AK27" i="2" s="1"/>
  <c r="AK34" i="2" a="1"/>
  <c r="AK34" i="2" s="1"/>
  <c r="AK32" i="2" a="1"/>
  <c r="AK32" i="2" s="1"/>
  <c r="AK52" i="2" a="1"/>
  <c r="AK52" i="2" s="1"/>
  <c r="AK54" i="2" a="1"/>
  <c r="AK54" i="2" s="1"/>
  <c r="AK36" i="2" a="1"/>
  <c r="AK36" i="2" s="1"/>
  <c r="AK53" i="2" a="1"/>
  <c r="AK53" i="2" s="1"/>
  <c r="AK44" i="2" a="1"/>
  <c r="AK44" i="2" s="1"/>
  <c r="AK61" i="2" a="1"/>
  <c r="AK61" i="2" s="1"/>
  <c r="AK30" i="2" a="1"/>
  <c r="AK30" i="2" s="1"/>
  <c r="AK26" i="2" a="1"/>
  <c r="AK26" i="2" s="1"/>
  <c r="AK40" i="2" a="1"/>
  <c r="AK40" i="2" s="1"/>
  <c r="AK42" i="2" a="1"/>
  <c r="AK42" i="2" s="1"/>
  <c r="AK45" i="2" a="1"/>
  <c r="AK45" i="2" s="1"/>
  <c r="AK50" i="2" a="1"/>
  <c r="AK50" i="2" s="1"/>
  <c r="AK20" i="2" a="1"/>
  <c r="AK20" i="2" s="1"/>
  <c r="AK37" i="2" a="1"/>
  <c r="AK37" i="2" s="1"/>
  <c r="AK62" i="2" a="1"/>
  <c r="AK62" i="2" s="1"/>
  <c r="AK38" i="2" a="1"/>
  <c r="AK38" i="2" s="1"/>
  <c r="AK63" i="2" a="1"/>
  <c r="AK63" i="2" s="1"/>
  <c r="AK41" i="2" a="1"/>
  <c r="AK41" i="2" s="1"/>
  <c r="AK43" i="2" a="1"/>
  <c r="AK43" i="2" s="1"/>
  <c r="AK47" i="2" a="1"/>
  <c r="AK47" i="2" s="1"/>
  <c r="AK56" i="2" a="1"/>
  <c r="AK56" i="2" s="1"/>
  <c r="AK28" i="2" a="1"/>
  <c r="AK28" i="2" s="1"/>
  <c r="AK14" i="2" a="1"/>
  <c r="AK14" i="2" s="1"/>
  <c r="AK24" i="2" a="1"/>
  <c r="AK24" i="2" s="1"/>
  <c r="AK66" i="2" a="1"/>
  <c r="AK66" i="2" s="1"/>
  <c r="AK17" i="2" a="1"/>
  <c r="AK17" i="2" s="1"/>
  <c r="AK7" i="2" a="1"/>
  <c r="AK7" i="2" s="1"/>
  <c r="AK23" i="2" a="1"/>
  <c r="AK23" i="2" s="1"/>
  <c r="AK49" i="2" a="1"/>
  <c r="AK49" i="2" s="1"/>
  <c r="AK46" i="2" a="1"/>
  <c r="AK46" i="2" s="1"/>
  <c r="AK11" i="2" a="1"/>
  <c r="AK11" i="2" s="1"/>
  <c r="AK69" i="2" a="1"/>
  <c r="AK69" i="2" s="1"/>
  <c r="AK9" i="2" a="1"/>
  <c r="AK9" i="2" s="1"/>
  <c r="AK57" i="2" a="1"/>
  <c r="AK57" i="2" s="1"/>
  <c r="AK8" i="2" a="1"/>
  <c r="AK8" i="2" s="1"/>
  <c r="AK16" i="2" a="1"/>
  <c r="AK16" i="2" s="1"/>
  <c r="AK31" i="2" a="1"/>
  <c r="AK31" i="2" s="1"/>
  <c r="AK67" i="2" a="1"/>
  <c r="AK67" i="2" s="1"/>
  <c r="AK64" i="2" a="1"/>
  <c r="AK64" i="2" s="1"/>
  <c r="AK60" i="2" a="1"/>
  <c r="AK60" i="2" s="1"/>
  <c r="AK48" i="2" a="1"/>
  <c r="AK48" i="2" s="1"/>
  <c r="AK72" i="2" a="1"/>
  <c r="AK72" i="2" s="1"/>
  <c r="AK65" i="2" a="1"/>
  <c r="AK65" i="2" s="1"/>
  <c r="AK70" i="2" a="1"/>
  <c r="AK70" i="2" s="1"/>
  <c r="AK76" i="2" a="1"/>
  <c r="AK76" i="2" s="1"/>
  <c r="AK78" i="2" a="1"/>
  <c r="AK78" i="2" s="1"/>
  <c r="AK74" i="2" a="1"/>
  <c r="AK74" i="2" s="1"/>
  <c r="AK73" i="2" a="1"/>
  <c r="AK73" i="2" s="1"/>
  <c r="AK58" i="2" a="1"/>
  <c r="AK58" i="2" s="1"/>
  <c r="AK82" i="2" a="1"/>
  <c r="AK82" i="2" s="1"/>
  <c r="AK15" i="2" a="1"/>
  <c r="AK15" i="2" s="1"/>
  <c r="AK81" i="2" a="1"/>
  <c r="AK81" i="2" s="1"/>
  <c r="AK19" i="2" a="1"/>
  <c r="AK19" i="2" s="1"/>
  <c r="AK80" i="2" a="1"/>
  <c r="AK80" i="2" s="1"/>
  <c r="AK68" i="2" a="1"/>
  <c r="AK68" i="2" s="1"/>
  <c r="AK51" i="2" a="1"/>
  <c r="AK51" i="2" s="1"/>
  <c r="AK35" i="2" a="1"/>
  <c r="AK35" i="2" s="1"/>
  <c r="AK77" i="2" a="1"/>
  <c r="AK77" i="2" s="1"/>
  <c r="AK71" i="2" a="1"/>
  <c r="AK71" i="2" s="1"/>
  <c r="AK39" i="2" a="1"/>
  <c r="AK39" i="2" s="1"/>
  <c r="AK55" i="2" a="1"/>
  <c r="AK55" i="2" s="1"/>
  <c r="AK59" i="2" a="1"/>
  <c r="AK59" i="2" s="1"/>
  <c r="AK75" i="2" a="1"/>
  <c r="AK75" i="2" s="1"/>
  <c r="AK79" i="2" a="1"/>
  <c r="AK79" i="2" s="1"/>
  <c r="AL3" i="2" l="1" a="1"/>
  <c r="AL3" i="2" s="1"/>
  <c r="AL4" i="2" a="1"/>
  <c r="AL4" i="2" s="1"/>
  <c r="AL5" i="2" a="1"/>
  <c r="AL5" i="2" s="1"/>
  <c r="AL7" i="2" a="1"/>
  <c r="AL7" i="2" s="1"/>
  <c r="AL6" i="2" a="1"/>
  <c r="AL6" i="2" s="1"/>
  <c r="AL10" i="2" a="1"/>
  <c r="AL10" i="2" s="1"/>
  <c r="AL12" i="2" a="1"/>
  <c r="AL12" i="2" s="1"/>
  <c r="AL8" i="2" a="1"/>
  <c r="AL8" i="2" s="1"/>
  <c r="AM2" i="2"/>
  <c r="AL17" i="2" a="1"/>
  <c r="AL17" i="2" s="1"/>
  <c r="AL14" i="2" a="1"/>
  <c r="AL14" i="2" s="1"/>
  <c r="AL18" i="2" a="1"/>
  <c r="AL18" i="2" s="1"/>
  <c r="AL22" i="2" a="1"/>
  <c r="AL22" i="2" s="1"/>
  <c r="AL13" i="2" a="1"/>
  <c r="AL13" i="2" s="1"/>
  <c r="AL16" i="2" a="1"/>
  <c r="AL16" i="2" s="1"/>
  <c r="AL27" i="2" a="1"/>
  <c r="AL27" i="2" s="1"/>
  <c r="AL29" i="2" a="1"/>
  <c r="AL29" i="2" s="1"/>
  <c r="AL34" i="2" a="1"/>
  <c r="AL34" i="2" s="1"/>
  <c r="AL21" i="2" a="1"/>
  <c r="AL21" i="2" s="1"/>
  <c r="AL33" i="2" a="1"/>
  <c r="AL33" i="2" s="1"/>
  <c r="AL25" i="2" a="1"/>
  <c r="AL25" i="2" s="1"/>
  <c r="AL40" i="2" a="1"/>
  <c r="AL40" i="2" s="1"/>
  <c r="AL52" i="2" a="1"/>
  <c r="AL52" i="2" s="1"/>
  <c r="AL49" i="2" a="1"/>
  <c r="AL49" i="2" s="1"/>
  <c r="AL54" i="2" a="1"/>
  <c r="AL54" i="2" s="1"/>
  <c r="AL41" i="2" a="1"/>
  <c r="AL41" i="2" s="1"/>
  <c r="AL44" i="2" a="1"/>
  <c r="AL44" i="2" s="1"/>
  <c r="AL63" i="2" a="1"/>
  <c r="AL63" i="2" s="1"/>
  <c r="AL57" i="2" a="1"/>
  <c r="AL57" i="2" s="1"/>
  <c r="AL9" i="2" a="1"/>
  <c r="AL9" i="2" s="1"/>
  <c r="AL53" i="2" a="1"/>
  <c r="AL53" i="2" s="1"/>
  <c r="AL45" i="2" a="1"/>
  <c r="AL45" i="2" s="1"/>
  <c r="AL11" i="2" a="1"/>
  <c r="AL11" i="2" s="1"/>
  <c r="AL60" i="2" a="1"/>
  <c r="AL60" i="2" s="1"/>
  <c r="AL65" i="2" a="1"/>
  <c r="AL65" i="2" s="1"/>
  <c r="AL28" i="2" a="1"/>
  <c r="AL28" i="2" s="1"/>
  <c r="AL38" i="2" a="1"/>
  <c r="AL38" i="2" s="1"/>
  <c r="AL62" i="2" a="1"/>
  <c r="AL62" i="2" s="1"/>
  <c r="AL61" i="2" a="1"/>
  <c r="AL61" i="2" s="1"/>
  <c r="AL42" i="2" a="1"/>
  <c r="AL42" i="2" s="1"/>
  <c r="AL46" i="2" a="1"/>
  <c r="AL46" i="2" s="1"/>
  <c r="AL43" i="2" a="1"/>
  <c r="AL43" i="2" s="1"/>
  <c r="AL70" i="2" a="1"/>
  <c r="AL70" i="2" s="1"/>
  <c r="AL36" i="2" a="1"/>
  <c r="AL36" i="2" s="1"/>
  <c r="AL58" i="2" a="1"/>
  <c r="AL58" i="2" s="1"/>
  <c r="AL50" i="2" a="1"/>
  <c r="AL50" i="2" s="1"/>
  <c r="AL56" i="2" a="1"/>
  <c r="AL56" i="2" s="1"/>
  <c r="AL30" i="2" a="1"/>
  <c r="AL30" i="2" s="1"/>
  <c r="AL32" i="2" a="1"/>
  <c r="AL32" i="2" s="1"/>
  <c r="AL26" i="2" a="1"/>
  <c r="AL26" i="2" s="1"/>
  <c r="AL23" i="2" a="1"/>
  <c r="AL23" i="2" s="1"/>
  <c r="AL20" i="2" a="1"/>
  <c r="AL20" i="2" s="1"/>
  <c r="AL47" i="2" a="1"/>
  <c r="AL47" i="2" s="1"/>
  <c r="AL24" i="2" a="1"/>
  <c r="AL24" i="2" s="1"/>
  <c r="AL37" i="2" a="1"/>
  <c r="AL37" i="2" s="1"/>
  <c r="AL80" i="2" a="1"/>
  <c r="AL80" i="2" s="1"/>
  <c r="AL73" i="2" a="1"/>
  <c r="AL73" i="2" s="1"/>
  <c r="AL72" i="2" a="1"/>
  <c r="AL72" i="2" s="1"/>
  <c r="AL82" i="2" a="1"/>
  <c r="AL82" i="2" s="1"/>
  <c r="AL48" i="2" a="1"/>
  <c r="AL48" i="2" s="1"/>
  <c r="AL64" i="2" a="1"/>
  <c r="AL64" i="2" s="1"/>
  <c r="AL69" i="2" a="1"/>
  <c r="AL69" i="2" s="1"/>
  <c r="AL81" i="2" a="1"/>
  <c r="AL81" i="2" s="1"/>
  <c r="AL31" i="2" a="1"/>
  <c r="AL31" i="2" s="1"/>
  <c r="AL67" i="2" a="1"/>
  <c r="AL67" i="2" s="1"/>
  <c r="AL74" i="2" a="1"/>
  <c r="AL74" i="2" s="1"/>
  <c r="AL15" i="2" a="1"/>
  <c r="AL15" i="2" s="1"/>
  <c r="AL66" i="2" a="1"/>
  <c r="AL66" i="2" s="1"/>
  <c r="AL35" i="2" a="1"/>
  <c r="AL35" i="2" s="1"/>
  <c r="AL19" i="2" a="1"/>
  <c r="AL19" i="2" s="1"/>
  <c r="AL51" i="2" a="1"/>
  <c r="AL51" i="2" s="1"/>
  <c r="AL77" i="2" a="1"/>
  <c r="AL77" i="2" s="1"/>
  <c r="AL76" i="2" a="1"/>
  <c r="AL76" i="2" s="1"/>
  <c r="AL78" i="2" a="1"/>
  <c r="AL78" i="2" s="1"/>
  <c r="AL68" i="2" a="1"/>
  <c r="AL68" i="2" s="1"/>
  <c r="AL39" i="2" a="1"/>
  <c r="AL39" i="2" s="1"/>
  <c r="AL71" i="2" a="1"/>
  <c r="AL71" i="2" s="1"/>
  <c r="AL55" i="2" a="1"/>
  <c r="AL55" i="2" s="1"/>
  <c r="AL59" i="2" a="1"/>
  <c r="AL59" i="2" s="1"/>
  <c r="AL75" i="2" a="1"/>
  <c r="AL75" i="2" s="1"/>
  <c r="AL79" i="2" a="1"/>
  <c r="AL79" i="2" s="1"/>
  <c r="AN2" i="2" l="1"/>
  <c r="AM5" i="2" a="1"/>
  <c r="AM5" i="2" s="1"/>
  <c r="AM3" i="2" a="1"/>
  <c r="AM3" i="2" s="1"/>
  <c r="AM4" i="2" a="1"/>
  <c r="AM4" i="2" s="1"/>
  <c r="AM6" i="2" a="1"/>
  <c r="AM6" i="2" s="1"/>
  <c r="AM8" i="2" a="1"/>
  <c r="AM8" i="2" s="1"/>
  <c r="AM10" i="2" a="1"/>
  <c r="AM10" i="2" s="1"/>
  <c r="AM12" i="2" a="1"/>
  <c r="AM12" i="2" s="1"/>
  <c r="AM13" i="2" a="1"/>
  <c r="AM13" i="2" s="1"/>
  <c r="AM17" i="2" a="1"/>
  <c r="AM17" i="2" s="1"/>
  <c r="AM14" i="2" a="1"/>
  <c r="AM14" i="2" s="1"/>
  <c r="AM22" i="2" a="1"/>
  <c r="AM22" i="2" s="1"/>
  <c r="AM27" i="2" a="1"/>
  <c r="AM27" i="2" s="1"/>
  <c r="AM25" i="2" a="1"/>
  <c r="AM25" i="2" s="1"/>
  <c r="AM16" i="2" a="1"/>
  <c r="AM16" i="2" s="1"/>
  <c r="AM24" i="2" a="1"/>
  <c r="AM24" i="2" s="1"/>
  <c r="AM29" i="2" a="1"/>
  <c r="AM29" i="2" s="1"/>
  <c r="AM45" i="2" a="1"/>
  <c r="AM45" i="2" s="1"/>
  <c r="AM43" i="2" a="1"/>
  <c r="AM43" i="2" s="1"/>
  <c r="AM49" i="2" a="1"/>
  <c r="AM49" i="2" s="1"/>
  <c r="AM53" i="2" a="1"/>
  <c r="AM53" i="2" s="1"/>
  <c r="AM38" i="2" a="1"/>
  <c r="AM38" i="2" s="1"/>
  <c r="AM42" i="2" a="1"/>
  <c r="AM42" i="2" s="1"/>
  <c r="AM30" i="2" a="1"/>
  <c r="AM30" i="2" s="1"/>
  <c r="AM18" i="2" a="1"/>
  <c r="AM18" i="2" s="1"/>
  <c r="AM47" i="2" a="1"/>
  <c r="AM47" i="2" s="1"/>
  <c r="AM57" i="2" a="1"/>
  <c r="AM57" i="2" s="1"/>
  <c r="AM67" i="2" a="1"/>
  <c r="AM67" i="2" s="1"/>
  <c r="AM11" i="2" a="1"/>
  <c r="AM11" i="2" s="1"/>
  <c r="AM46" i="2" a="1"/>
  <c r="AM46" i="2" s="1"/>
  <c r="AM61" i="2" a="1"/>
  <c r="AM61" i="2" s="1"/>
  <c r="AM70" i="2" a="1"/>
  <c r="AM70" i="2" s="1"/>
  <c r="AM72" i="2" a="1"/>
  <c r="AM72" i="2" s="1"/>
  <c r="AM54" i="2" a="1"/>
  <c r="AM54" i="2" s="1"/>
  <c r="AM50" i="2" a="1"/>
  <c r="AM50" i="2" s="1"/>
  <c r="AM36" i="2" a="1"/>
  <c r="AM36" i="2" s="1"/>
  <c r="AM60" i="2" a="1"/>
  <c r="AM60" i="2" s="1"/>
  <c r="AM37" i="2" a="1"/>
  <c r="AM37" i="2" s="1"/>
  <c r="AM44" i="2" a="1"/>
  <c r="AM44" i="2" s="1"/>
  <c r="AM28" i="2" a="1"/>
  <c r="AM28" i="2" s="1"/>
  <c r="AM34" i="2" a="1"/>
  <c r="AM34" i="2" s="1"/>
  <c r="AM21" i="2" a="1"/>
  <c r="AM21" i="2" s="1"/>
  <c r="AM66" i="2" a="1"/>
  <c r="AM66" i="2" s="1"/>
  <c r="AM73" i="2" a="1"/>
  <c r="AM73" i="2" s="1"/>
  <c r="AM52" i="2" a="1"/>
  <c r="AM52" i="2" s="1"/>
  <c r="AM41" i="2" a="1"/>
  <c r="AM41" i="2" s="1"/>
  <c r="AM32" i="2" a="1"/>
  <c r="AM32" i="2" s="1"/>
  <c r="AM7" i="2" a="1"/>
  <c r="AM7" i="2" s="1"/>
  <c r="AM26" i="2" a="1"/>
  <c r="AM26" i="2" s="1"/>
  <c r="AM23" i="2" a="1"/>
  <c r="AM23" i="2" s="1"/>
  <c r="AM9" i="2" a="1"/>
  <c r="AM9" i="2" s="1"/>
  <c r="AM33" i="2" a="1"/>
  <c r="AM33" i="2" s="1"/>
  <c r="AM40" i="2" a="1"/>
  <c r="AM40" i="2" s="1"/>
  <c r="AM20" i="2" a="1"/>
  <c r="AM20" i="2" s="1"/>
  <c r="AM48" i="2" a="1"/>
  <c r="AM48" i="2" s="1"/>
  <c r="AM15" i="2" a="1"/>
  <c r="AM15" i="2" s="1"/>
  <c r="AM58" i="2" a="1"/>
  <c r="AM58" i="2" s="1"/>
  <c r="AM31" i="2" a="1"/>
  <c r="AM31" i="2" s="1"/>
  <c r="AM56" i="2" a="1"/>
  <c r="AM56" i="2" s="1"/>
  <c r="AM69" i="2" a="1"/>
  <c r="AM69" i="2" s="1"/>
  <c r="AM74" i="2" a="1"/>
  <c r="AM74" i="2" s="1"/>
  <c r="AM63" i="2" a="1"/>
  <c r="AM63" i="2" s="1"/>
  <c r="AM64" i="2" a="1"/>
  <c r="AM64" i="2" s="1"/>
  <c r="AM62" i="2" a="1"/>
  <c r="AM62" i="2" s="1"/>
  <c r="AM65" i="2" a="1"/>
  <c r="AM65" i="2" s="1"/>
  <c r="AM80" i="2" a="1"/>
  <c r="AM80" i="2" s="1"/>
  <c r="AM76" i="2" a="1"/>
  <c r="AM76" i="2" s="1"/>
  <c r="AM78" i="2" a="1"/>
  <c r="AM78" i="2" s="1"/>
  <c r="AM35" i="2" a="1"/>
  <c r="AM35" i="2" s="1"/>
  <c r="AM77" i="2" a="1"/>
  <c r="AM77" i="2" s="1"/>
  <c r="AM82" i="2" a="1"/>
  <c r="AM82" i="2" s="1"/>
  <c r="AM68" i="2" a="1"/>
  <c r="AM68" i="2" s="1"/>
  <c r="AM51" i="2" a="1"/>
  <c r="AM51" i="2" s="1"/>
  <c r="AM81" i="2" a="1"/>
  <c r="AM81" i="2" s="1"/>
  <c r="AM19" i="2" a="1"/>
  <c r="AM19" i="2" s="1"/>
  <c r="AM55" i="2" a="1"/>
  <c r="AM55" i="2" s="1"/>
  <c r="AM71" i="2" a="1"/>
  <c r="AM71" i="2" s="1"/>
  <c r="AM39" i="2" a="1"/>
  <c r="AM39" i="2" s="1"/>
  <c r="AM59" i="2" a="1"/>
  <c r="AM59" i="2" s="1"/>
  <c r="AM75" i="2" a="1"/>
  <c r="AM75" i="2" s="1"/>
  <c r="AM79" i="2" a="1"/>
  <c r="AM79" i="2" s="1"/>
  <c r="AO2" i="2" l="1"/>
  <c r="AN3" i="2" a="1"/>
  <c r="AN3" i="2" s="1"/>
  <c r="AN4" i="2" a="1"/>
  <c r="AN4" i="2" s="1"/>
  <c r="AN5" i="2" a="1"/>
  <c r="AN5" i="2" s="1"/>
  <c r="AN7" i="2" a="1"/>
  <c r="AN7" i="2" s="1"/>
  <c r="AN10" i="2" a="1"/>
  <c r="AN10" i="2" s="1"/>
  <c r="AN14" i="2" a="1"/>
  <c r="AN14" i="2" s="1"/>
  <c r="AN6" i="2" a="1"/>
  <c r="AN6" i="2" s="1"/>
  <c r="AN9" i="2" a="1"/>
  <c r="AN9" i="2" s="1"/>
  <c r="AN21" i="2" a="1"/>
  <c r="AN21" i="2" s="1"/>
  <c r="AN12" i="2" a="1"/>
  <c r="AN12" i="2" s="1"/>
  <c r="AN17" i="2" a="1"/>
  <c r="AN17" i="2" s="1"/>
  <c r="AN25" i="2" a="1"/>
  <c r="AN25" i="2" s="1"/>
  <c r="AN16" i="2" a="1"/>
  <c r="AN16" i="2" s="1"/>
  <c r="AN26" i="2" a="1"/>
  <c r="AN26" i="2" s="1"/>
  <c r="AN29" i="2" a="1"/>
  <c r="AN29" i="2" s="1"/>
  <c r="AN32" i="2" a="1"/>
  <c r="AN32" i="2" s="1"/>
  <c r="AN33" i="2" a="1"/>
  <c r="AN33" i="2" s="1"/>
  <c r="AN22" i="2" a="1"/>
  <c r="AN22" i="2" s="1"/>
  <c r="AN34" i="2" a="1"/>
  <c r="AN34" i="2" s="1"/>
  <c r="AN46" i="2" a="1"/>
  <c r="AN46" i="2" s="1"/>
  <c r="AN38" i="2" a="1"/>
  <c r="AN38" i="2" s="1"/>
  <c r="AN37" i="2" a="1"/>
  <c r="AN37" i="2" s="1"/>
  <c r="AN50" i="2" a="1"/>
  <c r="AN50" i="2" s="1"/>
  <c r="AN18" i="2" a="1"/>
  <c r="AN18" i="2" s="1"/>
  <c r="AN8" i="2" a="1"/>
  <c r="AN8" i="2" s="1"/>
  <c r="AN43" i="2" a="1"/>
  <c r="AN43" i="2" s="1"/>
  <c r="AN28" i="2" a="1"/>
  <c r="AN28" i="2" s="1"/>
  <c r="AN27" i="2" a="1"/>
  <c r="AN27" i="2" s="1"/>
  <c r="AN52" i="2" a="1"/>
  <c r="AN52" i="2" s="1"/>
  <c r="AN60" i="2" a="1"/>
  <c r="AN60" i="2" s="1"/>
  <c r="AN69" i="2" a="1"/>
  <c r="AN69" i="2" s="1"/>
  <c r="AN20" i="2" a="1"/>
  <c r="AN20" i="2" s="1"/>
  <c r="AN24" i="2" a="1"/>
  <c r="AN24" i="2" s="1"/>
  <c r="AN66" i="2" a="1"/>
  <c r="AN66" i="2" s="1"/>
  <c r="AN73" i="2" a="1"/>
  <c r="AN73" i="2" s="1"/>
  <c r="AN47" i="2" a="1"/>
  <c r="AN47" i="2" s="1"/>
  <c r="AN36" i="2" a="1"/>
  <c r="AN36" i="2" s="1"/>
  <c r="AN49" i="2" a="1"/>
  <c r="AN49" i="2" s="1"/>
  <c r="AN67" i="2" a="1"/>
  <c r="AN67" i="2" s="1"/>
  <c r="AN53" i="2" a="1"/>
  <c r="AN53" i="2" s="1"/>
  <c r="AN11" i="2" a="1"/>
  <c r="AN11" i="2" s="1"/>
  <c r="AN41" i="2" a="1"/>
  <c r="AN41" i="2" s="1"/>
  <c r="AN64" i="2" a="1"/>
  <c r="AN64" i="2" s="1"/>
  <c r="AN56" i="2" a="1"/>
  <c r="AN56" i="2" s="1"/>
  <c r="AN74" i="2" a="1"/>
  <c r="AN74" i="2" s="1"/>
  <c r="AN45" i="2" a="1"/>
  <c r="AN45" i="2" s="1"/>
  <c r="AN58" i="2" a="1"/>
  <c r="AN58" i="2" s="1"/>
  <c r="AN42" i="2" a="1"/>
  <c r="AN42" i="2" s="1"/>
  <c r="AN13" i="2" a="1"/>
  <c r="AN13" i="2" s="1"/>
  <c r="AN70" i="2" a="1"/>
  <c r="AN70" i="2" s="1"/>
  <c r="AN44" i="2" a="1"/>
  <c r="AN44" i="2" s="1"/>
  <c r="AN40" i="2" a="1"/>
  <c r="AN40" i="2" s="1"/>
  <c r="AN54" i="2" a="1"/>
  <c r="AN54" i="2" s="1"/>
  <c r="AN30" i="2" a="1"/>
  <c r="AN30" i="2" s="1"/>
  <c r="AN23" i="2" a="1"/>
  <c r="AN23" i="2" s="1"/>
  <c r="AN61" i="2" a="1"/>
  <c r="AN61" i="2" s="1"/>
  <c r="AN57" i="2" a="1"/>
  <c r="AN57" i="2" s="1"/>
  <c r="AN72" i="2" a="1"/>
  <c r="AN72" i="2" s="1"/>
  <c r="AN62" i="2" a="1"/>
  <c r="AN62" i="2" s="1"/>
  <c r="AN48" i="2" a="1"/>
  <c r="AN48" i="2" s="1"/>
  <c r="AN31" i="2" a="1"/>
  <c r="AN31" i="2" s="1"/>
  <c r="AN76" i="2" a="1"/>
  <c r="AN76" i="2" s="1"/>
  <c r="AN65" i="2" a="1"/>
  <c r="AN65" i="2" s="1"/>
  <c r="AN82" i="2" a="1"/>
  <c r="AN82" i="2" s="1"/>
  <c r="AN81" i="2" a="1"/>
  <c r="AN81" i="2" s="1"/>
  <c r="AN77" i="2" a="1"/>
  <c r="AN77" i="2" s="1"/>
  <c r="AN15" i="2" a="1"/>
  <c r="AN15" i="2" s="1"/>
  <c r="AN80" i="2" a="1"/>
  <c r="AN80" i="2" s="1"/>
  <c r="AN63" i="2" a="1"/>
  <c r="AN63" i="2" s="1"/>
  <c r="AN35" i="2" a="1"/>
  <c r="AN35" i="2" s="1"/>
  <c r="AN78" i="2" a="1"/>
  <c r="AN78" i="2" s="1"/>
  <c r="AN68" i="2" a="1"/>
  <c r="AN68" i="2" s="1"/>
  <c r="AN19" i="2" a="1"/>
  <c r="AN19" i="2" s="1"/>
  <c r="AN51" i="2" a="1"/>
  <c r="AN51" i="2" s="1"/>
  <c r="AN55" i="2" a="1"/>
  <c r="AN55" i="2" s="1"/>
  <c r="AN39" i="2" a="1"/>
  <c r="AN39" i="2" s="1"/>
  <c r="AN71" i="2" a="1"/>
  <c r="AN71" i="2" s="1"/>
  <c r="AN75" i="2" a="1"/>
  <c r="AN75" i="2" s="1"/>
  <c r="AN59" i="2" a="1"/>
  <c r="AN59" i="2" s="1"/>
  <c r="AN79" i="2" a="1"/>
  <c r="AN79" i="2" s="1"/>
  <c r="AO3" i="2" l="1" a="1"/>
  <c r="AO3" i="2" s="1"/>
  <c r="AO4" i="2" a="1"/>
  <c r="AO4" i="2" s="1"/>
  <c r="AO5" i="2" a="1"/>
  <c r="AO5" i="2" s="1"/>
  <c r="AP2" i="2"/>
  <c r="AO6" i="2" a="1"/>
  <c r="AO6" i="2" s="1"/>
  <c r="AO8" i="2" a="1"/>
  <c r="AO8" i="2" s="1"/>
  <c r="AO12" i="2" a="1"/>
  <c r="AO12" i="2" s="1"/>
  <c r="AO10" i="2" a="1"/>
  <c r="AO10" i="2" s="1"/>
  <c r="AO22" i="2" a="1"/>
  <c r="AO22" i="2" s="1"/>
  <c r="AO25" i="2" a="1"/>
  <c r="AO25" i="2" s="1"/>
  <c r="AO18" i="2" a="1"/>
  <c r="AO18" i="2" s="1"/>
  <c r="AO13" i="2" a="1"/>
  <c r="AO13" i="2" s="1"/>
  <c r="AO21" i="2" a="1"/>
  <c r="AO21" i="2" s="1"/>
  <c r="AO29" i="2" a="1"/>
  <c r="AO29" i="2" s="1"/>
  <c r="AO26" i="2" a="1"/>
  <c r="AO26" i="2" s="1"/>
  <c r="AO32" i="2" a="1"/>
  <c r="AO32" i="2" s="1"/>
  <c r="AO33" i="2" a="1"/>
  <c r="AO33" i="2" s="1"/>
  <c r="AO34" i="2" a="1"/>
  <c r="AO34" i="2" s="1"/>
  <c r="AO50" i="2" a="1"/>
  <c r="AO50" i="2" s="1"/>
  <c r="AO46" i="2" a="1"/>
  <c r="AO46" i="2" s="1"/>
  <c r="AO11" i="2" a="1"/>
  <c r="AO11" i="2" s="1"/>
  <c r="AO58" i="2" a="1"/>
  <c r="AO58" i="2" s="1"/>
  <c r="AO16" i="2" a="1"/>
  <c r="AO16" i="2" s="1"/>
  <c r="AO38" i="2" a="1"/>
  <c r="AO38" i="2" s="1"/>
  <c r="AO36" i="2" a="1"/>
  <c r="AO36" i="2" s="1"/>
  <c r="AO47" i="2" a="1"/>
  <c r="AO47" i="2" s="1"/>
  <c r="AO64" i="2" a="1"/>
  <c r="AO64" i="2" s="1"/>
  <c r="AO30" i="2" a="1"/>
  <c r="AO30" i="2" s="1"/>
  <c r="AO40" i="2" a="1"/>
  <c r="AO40" i="2" s="1"/>
  <c r="AO42" i="2" a="1"/>
  <c r="AO42" i="2" s="1"/>
  <c r="AO57" i="2" a="1"/>
  <c r="AO57" i="2" s="1"/>
  <c r="AO20" i="2" a="1"/>
  <c r="AO20" i="2" s="1"/>
  <c r="AO56" i="2" a="1"/>
  <c r="AO56" i="2" s="1"/>
  <c r="AO63" i="2" a="1"/>
  <c r="AO63" i="2" s="1"/>
  <c r="AO45" i="2" a="1"/>
  <c r="AO45" i="2" s="1"/>
  <c r="AO37" i="2" a="1"/>
  <c r="AO37" i="2" s="1"/>
  <c r="AO53" i="2" a="1"/>
  <c r="AO53" i="2" s="1"/>
  <c r="AO52" i="2" a="1"/>
  <c r="AO52" i="2" s="1"/>
  <c r="AO69" i="2" a="1"/>
  <c r="AO69" i="2" s="1"/>
  <c r="AO54" i="2" a="1"/>
  <c r="AO54" i="2" s="1"/>
  <c r="AO9" i="2" a="1"/>
  <c r="AO9" i="2" s="1"/>
  <c r="AO44" i="2" a="1"/>
  <c r="AO44" i="2" s="1"/>
  <c r="AO41" i="2" a="1"/>
  <c r="AO41" i="2" s="1"/>
  <c r="AO49" i="2" a="1"/>
  <c r="AO49" i="2" s="1"/>
  <c r="AO14" i="2" a="1"/>
  <c r="AO14" i="2" s="1"/>
  <c r="AO7" i="2" a="1"/>
  <c r="AO7" i="2" s="1"/>
  <c r="AO24" i="2" a="1"/>
  <c r="AO24" i="2" s="1"/>
  <c r="AO43" i="2" a="1"/>
  <c r="AO43" i="2" s="1"/>
  <c r="AO28" i="2" a="1"/>
  <c r="AO28" i="2" s="1"/>
  <c r="AO27" i="2" a="1"/>
  <c r="AO27" i="2" s="1"/>
  <c r="AO23" i="2" a="1"/>
  <c r="AO23" i="2" s="1"/>
  <c r="AO17" i="2" a="1"/>
  <c r="AO17" i="2" s="1"/>
  <c r="AO62" i="2" a="1"/>
  <c r="AO62" i="2" s="1"/>
  <c r="AO77" i="2" a="1"/>
  <c r="AO77" i="2" s="1"/>
  <c r="AO67" i="2" a="1"/>
  <c r="AO67" i="2" s="1"/>
  <c r="AO65" i="2" a="1"/>
  <c r="AO65" i="2" s="1"/>
  <c r="AO48" i="2" a="1"/>
  <c r="AO48" i="2" s="1"/>
  <c r="AO60" i="2" a="1"/>
  <c r="AO60" i="2" s="1"/>
  <c r="AO66" i="2" a="1"/>
  <c r="AO66" i="2" s="1"/>
  <c r="AO73" i="2" a="1"/>
  <c r="AO73" i="2" s="1"/>
  <c r="AO74" i="2" a="1"/>
  <c r="AO74" i="2" s="1"/>
  <c r="AO70" i="2" a="1"/>
  <c r="AO70" i="2" s="1"/>
  <c r="AO31" i="2" a="1"/>
  <c r="AO31" i="2" s="1"/>
  <c r="AO15" i="2" a="1"/>
  <c r="AO15" i="2" s="1"/>
  <c r="AO72" i="2" a="1"/>
  <c r="AO72" i="2" s="1"/>
  <c r="AO61" i="2" a="1"/>
  <c r="AO61" i="2" s="1"/>
  <c r="AO68" i="2" a="1"/>
  <c r="AO68" i="2" s="1"/>
  <c r="AO81" i="2" a="1"/>
  <c r="AO81" i="2" s="1"/>
  <c r="AO80" i="2" a="1"/>
  <c r="AO80" i="2" s="1"/>
  <c r="AO19" i="2" a="1"/>
  <c r="AO19" i="2" s="1"/>
  <c r="AO35" i="2" a="1"/>
  <c r="AO35" i="2" s="1"/>
  <c r="AO82" i="2" a="1"/>
  <c r="AO82" i="2" s="1"/>
  <c r="AO76" i="2" a="1"/>
  <c r="AO76" i="2" s="1"/>
  <c r="AO51" i="2" a="1"/>
  <c r="AO51" i="2" s="1"/>
  <c r="AO78" i="2" a="1"/>
  <c r="AO78" i="2" s="1"/>
  <c r="AO71" i="2" a="1"/>
  <c r="AO71" i="2" s="1"/>
  <c r="AO39" i="2" a="1"/>
  <c r="AO39" i="2" s="1"/>
  <c r="AO55" i="2" a="1"/>
  <c r="AO55" i="2" s="1"/>
  <c r="AO75" i="2" a="1"/>
  <c r="AO75" i="2" s="1"/>
  <c r="AO59" i="2" a="1"/>
  <c r="AO59" i="2" s="1"/>
  <c r="AO79" i="2" a="1"/>
  <c r="AO79" i="2" s="1"/>
  <c r="AP3" i="2" l="1" a="1"/>
  <c r="AP3" i="2" s="1"/>
  <c r="AP4" i="2" a="1"/>
  <c r="AP4" i="2" s="1"/>
  <c r="AP5" i="2" a="1"/>
  <c r="AP5" i="2" s="1"/>
  <c r="AP7" i="2" a="1"/>
  <c r="AP7" i="2" s="1"/>
  <c r="AP6" i="2" a="1"/>
  <c r="AP6" i="2" s="1"/>
  <c r="AQ2" i="2"/>
  <c r="AP12" i="2" a="1"/>
  <c r="AP12" i="2" s="1"/>
  <c r="AP13" i="2" a="1"/>
  <c r="AP13" i="2" s="1"/>
  <c r="AP8" i="2" a="1"/>
  <c r="AP8" i="2" s="1"/>
  <c r="AP17" i="2" a="1"/>
  <c r="AP17" i="2" s="1"/>
  <c r="AP14" i="2" a="1"/>
  <c r="AP14" i="2" s="1"/>
  <c r="AP16" i="2" a="1"/>
  <c r="AP16" i="2" s="1"/>
  <c r="AP22" i="2" a="1"/>
  <c r="AP22" i="2" s="1"/>
  <c r="AP10" i="2" a="1"/>
  <c r="AP10" i="2" s="1"/>
  <c r="AP18" i="2" a="1"/>
  <c r="AP18" i="2" s="1"/>
  <c r="AP29" i="2" a="1"/>
  <c r="AP29" i="2" s="1"/>
  <c r="AP24" i="2" a="1"/>
  <c r="AP24" i="2" s="1"/>
  <c r="AP27" i="2" a="1"/>
  <c r="AP27" i="2" s="1"/>
  <c r="AP21" i="2" a="1"/>
  <c r="AP21" i="2" s="1"/>
  <c r="AP34" i="2" a="1"/>
  <c r="AP34" i="2" s="1"/>
  <c r="AP32" i="2" a="1"/>
  <c r="AP32" i="2" s="1"/>
  <c r="AP33" i="2" a="1"/>
  <c r="AP33" i="2" s="1"/>
  <c r="AP52" i="2" a="1"/>
  <c r="AP52" i="2" s="1"/>
  <c r="AP37" i="2" a="1"/>
  <c r="AP37" i="2" s="1"/>
  <c r="AP36" i="2" a="1"/>
  <c r="AP36" i="2" s="1"/>
  <c r="AP63" i="2" a="1"/>
  <c r="AP63" i="2" s="1"/>
  <c r="AP46" i="2" a="1"/>
  <c r="AP46" i="2" s="1"/>
  <c r="AP28" i="2" a="1"/>
  <c r="AP28" i="2" s="1"/>
  <c r="AP23" i="2" a="1"/>
  <c r="AP23" i="2" s="1"/>
  <c r="AP53" i="2" a="1"/>
  <c r="AP53" i="2" s="1"/>
  <c r="AP20" i="2" a="1"/>
  <c r="AP20" i="2" s="1"/>
  <c r="AP26" i="2" a="1"/>
  <c r="AP26" i="2" s="1"/>
  <c r="AP9" i="2" a="1"/>
  <c r="AP9" i="2" s="1"/>
  <c r="AP45" i="2" a="1"/>
  <c r="AP45" i="2" s="1"/>
  <c r="AP62" i="2" a="1"/>
  <c r="AP62" i="2" s="1"/>
  <c r="AP30" i="2" a="1"/>
  <c r="AP30" i="2" s="1"/>
  <c r="AP56" i="2" a="1"/>
  <c r="AP56" i="2" s="1"/>
  <c r="AP44" i="2" a="1"/>
  <c r="AP44" i="2" s="1"/>
  <c r="AP60" i="2" a="1"/>
  <c r="AP60" i="2" s="1"/>
  <c r="AP40" i="2" a="1"/>
  <c r="AP40" i="2" s="1"/>
  <c r="AP73" i="2" a="1"/>
  <c r="AP73" i="2" s="1"/>
  <c r="AP38" i="2" a="1"/>
  <c r="AP38" i="2" s="1"/>
  <c r="AP50" i="2" a="1"/>
  <c r="AP50" i="2" s="1"/>
  <c r="AP41" i="2" a="1"/>
  <c r="AP41" i="2" s="1"/>
  <c r="AP54" i="2" a="1"/>
  <c r="AP54" i="2" s="1"/>
  <c r="AP61" i="2" a="1"/>
  <c r="AP61" i="2" s="1"/>
  <c r="AP66" i="2" a="1"/>
  <c r="AP66" i="2" s="1"/>
  <c r="AP11" i="2" a="1"/>
  <c r="AP11" i="2" s="1"/>
  <c r="AP65" i="2" a="1"/>
  <c r="AP65" i="2" s="1"/>
  <c r="AP47" i="2" a="1"/>
  <c r="AP47" i="2" s="1"/>
  <c r="AP42" i="2" a="1"/>
  <c r="AP42" i="2" s="1"/>
  <c r="AP49" i="2" a="1"/>
  <c r="AP49" i="2" s="1"/>
  <c r="AP43" i="2" a="1"/>
  <c r="AP43" i="2" s="1"/>
  <c r="AP57" i="2" a="1"/>
  <c r="AP57" i="2" s="1"/>
  <c r="AP58" i="2" a="1"/>
  <c r="AP58" i="2" s="1"/>
  <c r="AP25" i="2" a="1"/>
  <c r="AP25" i="2" s="1"/>
  <c r="AP48" i="2" a="1"/>
  <c r="AP48" i="2" s="1"/>
  <c r="AP69" i="2" a="1"/>
  <c r="AP69" i="2" s="1"/>
  <c r="AP70" i="2" a="1"/>
  <c r="AP70" i="2" s="1"/>
  <c r="AP31" i="2" a="1"/>
  <c r="AP31" i="2" s="1"/>
  <c r="AP67" i="2" a="1"/>
  <c r="AP67" i="2" s="1"/>
  <c r="AP82" i="2" a="1"/>
  <c r="AP82" i="2" s="1"/>
  <c r="AP72" i="2" a="1"/>
  <c r="AP72" i="2" s="1"/>
  <c r="AP81" i="2" a="1"/>
  <c r="AP81" i="2" s="1"/>
  <c r="AP74" i="2" a="1"/>
  <c r="AP74" i="2" s="1"/>
  <c r="AP15" i="2" a="1"/>
  <c r="AP15" i="2" s="1"/>
  <c r="AP64" i="2" a="1"/>
  <c r="AP64" i="2" s="1"/>
  <c r="AP80" i="2" a="1"/>
  <c r="AP80" i="2" s="1"/>
  <c r="AP78" i="2" a="1"/>
  <c r="AP78" i="2" s="1"/>
  <c r="AP35" i="2" a="1"/>
  <c r="AP35" i="2" s="1"/>
  <c r="AP19" i="2" a="1"/>
  <c r="AP19" i="2" s="1"/>
  <c r="AP68" i="2" a="1"/>
  <c r="AP68" i="2" s="1"/>
  <c r="AP76" i="2" a="1"/>
  <c r="AP76" i="2" s="1"/>
  <c r="AP51" i="2" a="1"/>
  <c r="AP51" i="2" s="1"/>
  <c r="AP77" i="2" a="1"/>
  <c r="AP77" i="2" s="1"/>
  <c r="AP55" i="2" a="1"/>
  <c r="AP55" i="2" s="1"/>
  <c r="AP39" i="2" a="1"/>
  <c r="AP39" i="2" s="1"/>
  <c r="AP71" i="2" a="1"/>
  <c r="AP71" i="2" s="1"/>
  <c r="AP75" i="2" a="1"/>
  <c r="AP75" i="2" s="1"/>
  <c r="AP59" i="2" a="1"/>
  <c r="AP59" i="2" s="1"/>
  <c r="AP79" i="2" a="1"/>
  <c r="AP79" i="2" s="1"/>
  <c r="AR2" i="2" l="1"/>
  <c r="AQ6" i="2" a="1"/>
  <c r="AQ6" i="2" s="1"/>
  <c r="AQ9" i="2" a="1"/>
  <c r="AQ9" i="2" s="1"/>
  <c r="AQ10" i="2" a="1"/>
  <c r="AQ10" i="2" s="1"/>
  <c r="AQ8" i="2" a="1"/>
  <c r="AQ8" i="2" s="1"/>
  <c r="AQ5" i="2" a="1"/>
  <c r="AQ5" i="2" s="1"/>
  <c r="AQ12" i="2" a="1"/>
  <c r="AQ12" i="2" s="1"/>
  <c r="AQ4" i="2" a="1"/>
  <c r="AQ4" i="2" s="1"/>
  <c r="AQ17" i="2" a="1"/>
  <c r="AQ17" i="2" s="1"/>
  <c r="AQ13" i="2" a="1"/>
  <c r="AQ13" i="2" s="1"/>
  <c r="AQ18" i="2" a="1"/>
  <c r="AQ18" i="2" s="1"/>
  <c r="AQ16" i="2" a="1"/>
  <c r="AQ16" i="2" s="1"/>
  <c r="AQ3" i="2" a="1"/>
  <c r="AQ3" i="2" s="1"/>
  <c r="AQ22" i="2" a="1"/>
  <c r="AQ22" i="2" s="1"/>
  <c r="AQ25" i="2" a="1"/>
  <c r="AQ25" i="2" s="1"/>
  <c r="AQ32" i="2" a="1"/>
  <c r="AQ32" i="2" s="1"/>
  <c r="AQ33" i="2" a="1"/>
  <c r="AQ33" i="2" s="1"/>
  <c r="AQ14" i="2" a="1"/>
  <c r="AQ14" i="2" s="1"/>
  <c r="AQ27" i="2" a="1"/>
  <c r="AQ27" i="2" s="1"/>
  <c r="AQ29" i="2" a="1"/>
  <c r="AQ29" i="2" s="1"/>
  <c r="AQ34" i="2" a="1"/>
  <c r="AQ34" i="2" s="1"/>
  <c r="AQ47" i="2" a="1"/>
  <c r="AQ47" i="2" s="1"/>
  <c r="AQ23" i="2" a="1"/>
  <c r="AQ23" i="2" s="1"/>
  <c r="AQ42" i="2" a="1"/>
  <c r="AQ42" i="2" s="1"/>
  <c r="AQ50" i="2" a="1"/>
  <c r="AQ50" i="2" s="1"/>
  <c r="AQ54" i="2" a="1"/>
  <c r="AQ54" i="2" s="1"/>
  <c r="AQ52" i="2" a="1"/>
  <c r="AQ52" i="2" s="1"/>
  <c r="AQ43" i="2" a="1"/>
  <c r="AQ43" i="2" s="1"/>
  <c r="AQ11" i="2" a="1"/>
  <c r="AQ11" i="2" s="1"/>
  <c r="AQ60" i="2" a="1"/>
  <c r="AQ60" i="2" s="1"/>
  <c r="AQ28" i="2" a="1"/>
  <c r="AQ28" i="2" s="1"/>
  <c r="AQ46" i="2" a="1"/>
  <c r="AQ46" i="2" s="1"/>
  <c r="AQ53" i="2" a="1"/>
  <c r="AQ53" i="2" s="1"/>
  <c r="AQ30" i="2" a="1"/>
  <c r="AQ30" i="2" s="1"/>
  <c r="AQ72" i="2" a="1"/>
  <c r="AQ72" i="2" s="1"/>
  <c r="AQ65" i="2" a="1"/>
  <c r="AQ65" i="2" s="1"/>
  <c r="AQ36" i="2" a="1"/>
  <c r="AQ36" i="2" s="1"/>
  <c r="AQ41" i="2" a="1"/>
  <c r="AQ41" i="2" s="1"/>
  <c r="AQ70" i="2" a="1"/>
  <c r="AQ70" i="2" s="1"/>
  <c r="AQ38" i="2" a="1"/>
  <c r="AQ38" i="2" s="1"/>
  <c r="AQ45" i="2" a="1"/>
  <c r="AQ45" i="2" s="1"/>
  <c r="AQ61" i="2" a="1"/>
  <c r="AQ61" i="2" s="1"/>
  <c r="AQ44" i="2" a="1"/>
  <c r="AQ44" i="2" s="1"/>
  <c r="AQ49" i="2" a="1"/>
  <c r="AQ49" i="2" s="1"/>
  <c r="AQ24" i="2" a="1"/>
  <c r="AQ24" i="2" s="1"/>
  <c r="AQ7" i="2" a="1"/>
  <c r="AQ7" i="2" s="1"/>
  <c r="AQ62" i="2" a="1"/>
  <c r="AQ62" i="2" s="1"/>
  <c r="AQ73" i="2" a="1"/>
  <c r="AQ73" i="2" s="1"/>
  <c r="AQ63" i="2" a="1"/>
  <c r="AQ63" i="2" s="1"/>
  <c r="AQ58" i="2" a="1"/>
  <c r="AQ58" i="2" s="1"/>
  <c r="AQ21" i="2" a="1"/>
  <c r="AQ21" i="2" s="1"/>
  <c r="AQ37" i="2" a="1"/>
  <c r="AQ37" i="2" s="1"/>
  <c r="AQ40" i="2" a="1"/>
  <c r="AQ40" i="2" s="1"/>
  <c r="AQ20" i="2" a="1"/>
  <c r="AQ20" i="2" s="1"/>
  <c r="AQ26" i="2" a="1"/>
  <c r="AQ26" i="2" s="1"/>
  <c r="AQ67" i="2" a="1"/>
  <c r="AQ67" i="2" s="1"/>
  <c r="AQ69" i="2" a="1"/>
  <c r="AQ69" i="2" s="1"/>
  <c r="AQ15" i="2" a="1"/>
  <c r="AQ15" i="2" s="1"/>
  <c r="AQ48" i="2" a="1"/>
  <c r="AQ48" i="2" s="1"/>
  <c r="AQ31" i="2" a="1"/>
  <c r="AQ31" i="2" s="1"/>
  <c r="AQ74" i="2" a="1"/>
  <c r="AQ74" i="2" s="1"/>
  <c r="AQ57" i="2" a="1"/>
  <c r="AQ57" i="2" s="1"/>
  <c r="AQ80" i="2" a="1"/>
  <c r="AQ80" i="2" s="1"/>
  <c r="AQ66" i="2" a="1"/>
  <c r="AQ66" i="2" s="1"/>
  <c r="AQ64" i="2" a="1"/>
  <c r="AQ64" i="2" s="1"/>
  <c r="AQ56" i="2" a="1"/>
  <c r="AQ56" i="2" s="1"/>
  <c r="AQ78" i="2" a="1"/>
  <c r="AQ78" i="2" s="1"/>
  <c r="AQ68" i="2" a="1"/>
  <c r="AQ68" i="2" s="1"/>
  <c r="AQ76" i="2" a="1"/>
  <c r="AQ76" i="2" s="1"/>
  <c r="AQ77" i="2" a="1"/>
  <c r="AQ77" i="2" s="1"/>
  <c r="AQ82" i="2" a="1"/>
  <c r="AQ82" i="2" s="1"/>
  <c r="AQ81" i="2" a="1"/>
  <c r="AQ81" i="2" s="1"/>
  <c r="AQ51" i="2" a="1"/>
  <c r="AQ51" i="2" s="1"/>
  <c r="AQ19" i="2" a="1"/>
  <c r="AQ19" i="2" s="1"/>
  <c r="AQ35" i="2" a="1"/>
  <c r="AQ35" i="2" s="1"/>
  <c r="AQ71" i="2" a="1"/>
  <c r="AQ71" i="2" s="1"/>
  <c r="AQ39" i="2" a="1"/>
  <c r="AQ39" i="2" s="1"/>
  <c r="AQ55" i="2" a="1"/>
  <c r="AQ55" i="2" s="1"/>
  <c r="AQ75" i="2" a="1"/>
  <c r="AQ75" i="2" s="1"/>
  <c r="AQ59" i="2" a="1"/>
  <c r="AQ59" i="2" s="1"/>
  <c r="AQ79" i="2" a="1"/>
  <c r="AQ79" i="2" s="1"/>
  <c r="AS2" i="2" l="1"/>
  <c r="AR3" i="2" a="1"/>
  <c r="AR3" i="2" s="1"/>
  <c r="AR4" i="2" a="1"/>
  <c r="AR4" i="2" s="1"/>
  <c r="AR8" i="2" a="1"/>
  <c r="AR8" i="2" s="1"/>
  <c r="AR6" i="2" a="1"/>
  <c r="AR6" i="2" s="1"/>
  <c r="AR10" i="2" a="1"/>
  <c r="AR10" i="2" s="1"/>
  <c r="AR14" i="2" a="1"/>
  <c r="AR14" i="2" s="1"/>
  <c r="AR5" i="2" a="1"/>
  <c r="AR5" i="2" s="1"/>
  <c r="AR17" i="2" a="1"/>
  <c r="AR17" i="2" s="1"/>
  <c r="AR21" i="2" a="1"/>
  <c r="AR21" i="2" s="1"/>
  <c r="AR12" i="2" a="1"/>
  <c r="AR12" i="2" s="1"/>
  <c r="AR22" i="2" a="1"/>
  <c r="AR22" i="2" s="1"/>
  <c r="AR27" i="2" a="1"/>
  <c r="AR27" i="2" s="1"/>
  <c r="AR25" i="2" a="1"/>
  <c r="AR25" i="2" s="1"/>
  <c r="AR26" i="2" a="1"/>
  <c r="AR26" i="2" s="1"/>
  <c r="AR29" i="2" a="1"/>
  <c r="AR29" i="2" s="1"/>
  <c r="AR42" i="2" a="1"/>
  <c r="AR42" i="2" s="1"/>
  <c r="AR53" i="2" a="1"/>
  <c r="AR53" i="2" s="1"/>
  <c r="AR9" i="2" a="1"/>
  <c r="AR9" i="2" s="1"/>
  <c r="AR45" i="2" a="1"/>
  <c r="AR45" i="2" s="1"/>
  <c r="AR47" i="2" a="1"/>
  <c r="AR47" i="2" s="1"/>
  <c r="AR46" i="2" a="1"/>
  <c r="AR46" i="2" s="1"/>
  <c r="AR40" i="2" a="1"/>
  <c r="AR40" i="2" s="1"/>
  <c r="AR38" i="2" a="1"/>
  <c r="AR38" i="2" s="1"/>
  <c r="AR58" i="2" a="1"/>
  <c r="AR58" i="2" s="1"/>
  <c r="AR7" i="2" a="1"/>
  <c r="AR7" i="2" s="1"/>
  <c r="AR52" i="2" a="1"/>
  <c r="AR52" i="2" s="1"/>
  <c r="AR61" i="2" a="1"/>
  <c r="AR61" i="2" s="1"/>
  <c r="AR28" i="2" a="1"/>
  <c r="AR28" i="2" s="1"/>
  <c r="AR73" i="2" a="1"/>
  <c r="AR73" i="2" s="1"/>
  <c r="AR44" i="2" a="1"/>
  <c r="AR44" i="2" s="1"/>
  <c r="AR43" i="2" a="1"/>
  <c r="AR43" i="2" s="1"/>
  <c r="AR49" i="2" a="1"/>
  <c r="AR49" i="2" s="1"/>
  <c r="AR50" i="2" a="1"/>
  <c r="AR50" i="2" s="1"/>
  <c r="AR33" i="2" a="1"/>
  <c r="AR33" i="2" s="1"/>
  <c r="AR32" i="2" a="1"/>
  <c r="AR32" i="2" s="1"/>
  <c r="AR20" i="2" a="1"/>
  <c r="AR20" i="2" s="1"/>
  <c r="AR23" i="2" a="1"/>
  <c r="AR23" i="2" s="1"/>
  <c r="AR11" i="2" a="1"/>
  <c r="AR11" i="2" s="1"/>
  <c r="AR54" i="2" a="1"/>
  <c r="AR54" i="2" s="1"/>
  <c r="AR41" i="2" a="1"/>
  <c r="AR41" i="2" s="1"/>
  <c r="AR57" i="2" a="1"/>
  <c r="AR57" i="2" s="1"/>
  <c r="AR30" i="2" a="1"/>
  <c r="AR30" i="2" s="1"/>
  <c r="AR24" i="2" a="1"/>
  <c r="AR24" i="2" s="1"/>
  <c r="AR37" i="2" a="1"/>
  <c r="AR37" i="2" s="1"/>
  <c r="AR13" i="2" a="1"/>
  <c r="AR13" i="2" s="1"/>
  <c r="AR74" i="2" a="1"/>
  <c r="AR74" i="2" s="1"/>
  <c r="AR67" i="2" a="1"/>
  <c r="AR67" i="2" s="1"/>
  <c r="AR36" i="2" a="1"/>
  <c r="AR36" i="2" s="1"/>
  <c r="AR18" i="2" a="1"/>
  <c r="AR18" i="2" s="1"/>
  <c r="AR70" i="2" a="1"/>
  <c r="AR70" i="2" s="1"/>
  <c r="AR56" i="2" a="1"/>
  <c r="AR56" i="2" s="1"/>
  <c r="AR64" i="2" a="1"/>
  <c r="AR64" i="2" s="1"/>
  <c r="AR34" i="2" a="1"/>
  <c r="AR34" i="2" s="1"/>
  <c r="AR16" i="2" a="1"/>
  <c r="AR16" i="2" s="1"/>
  <c r="AR72" i="2" a="1"/>
  <c r="AR72" i="2" s="1"/>
  <c r="AR69" i="2" a="1"/>
  <c r="AR69" i="2" s="1"/>
  <c r="AR60" i="2" a="1"/>
  <c r="AR60" i="2" s="1"/>
  <c r="AR63" i="2" a="1"/>
  <c r="AR63" i="2" s="1"/>
  <c r="AR31" i="2" a="1"/>
  <c r="AR31" i="2" s="1"/>
  <c r="AR77" i="2" a="1"/>
  <c r="AR77" i="2" s="1"/>
  <c r="AR66" i="2" a="1"/>
  <c r="AR66" i="2" s="1"/>
  <c r="AR62" i="2" a="1"/>
  <c r="AR62" i="2" s="1"/>
  <c r="AR76" i="2" a="1"/>
  <c r="AR76" i="2" s="1"/>
  <c r="AR15" i="2" a="1"/>
  <c r="AR15" i="2" s="1"/>
  <c r="AR48" i="2" a="1"/>
  <c r="AR48" i="2" s="1"/>
  <c r="AR65" i="2" a="1"/>
  <c r="AR65" i="2" s="1"/>
  <c r="AR80" i="2" a="1"/>
  <c r="AR80" i="2" s="1"/>
  <c r="AR51" i="2" a="1"/>
  <c r="AR51" i="2" s="1"/>
  <c r="AR78" i="2" a="1"/>
  <c r="AR78" i="2" s="1"/>
  <c r="AR19" i="2" a="1"/>
  <c r="AR19" i="2" s="1"/>
  <c r="AR35" i="2" a="1"/>
  <c r="AR35" i="2" s="1"/>
  <c r="AR68" i="2" a="1"/>
  <c r="AR68" i="2" s="1"/>
  <c r="AR82" i="2" a="1"/>
  <c r="AR82" i="2" s="1"/>
  <c r="AR81" i="2" a="1"/>
  <c r="AR81" i="2" s="1"/>
  <c r="AR71" i="2" a="1"/>
  <c r="AR71" i="2" s="1"/>
  <c r="AR39" i="2" a="1"/>
  <c r="AR39" i="2" s="1"/>
  <c r="AR55" i="2" a="1"/>
  <c r="AR55" i="2" s="1"/>
  <c r="AR75" i="2" a="1"/>
  <c r="AR75" i="2" s="1"/>
  <c r="AR59" i="2" a="1"/>
  <c r="AR59" i="2" s="1"/>
  <c r="AR79" i="2" a="1"/>
  <c r="AR79" i="2" s="1"/>
  <c r="AS3" i="2" l="1" a="1"/>
  <c r="AS3" i="2" s="1"/>
  <c r="AS4" i="2" a="1"/>
  <c r="AS4" i="2" s="1"/>
  <c r="AS5" i="2" a="1"/>
  <c r="AS5" i="2" s="1"/>
  <c r="AT2" i="2"/>
  <c r="AS12" i="2" a="1"/>
  <c r="AS12" i="2" s="1"/>
  <c r="AS6" i="2" a="1"/>
  <c r="AS6" i="2" s="1"/>
  <c r="AS13" i="2" a="1"/>
  <c r="AS13" i="2" s="1"/>
  <c r="AS22" i="2" a="1"/>
  <c r="AS22" i="2" s="1"/>
  <c r="AS21" i="2" a="1"/>
  <c r="AS21" i="2" s="1"/>
  <c r="AS25" i="2" a="1"/>
  <c r="AS25" i="2" s="1"/>
  <c r="AS18" i="2" a="1"/>
  <c r="AS18" i="2" s="1"/>
  <c r="AS26" i="2" a="1"/>
  <c r="AS26" i="2" s="1"/>
  <c r="AS33" i="2" a="1"/>
  <c r="AS33" i="2" s="1"/>
  <c r="AS29" i="2" a="1"/>
  <c r="AS29" i="2" s="1"/>
  <c r="AS34" i="2" a="1"/>
  <c r="AS34" i="2" s="1"/>
  <c r="AS32" i="2" a="1"/>
  <c r="AS32" i="2" s="1"/>
  <c r="AS28" i="2" a="1"/>
  <c r="AS28" i="2" s="1"/>
  <c r="AS54" i="2" a="1"/>
  <c r="AS54" i="2" s="1"/>
  <c r="AS37" i="2" a="1"/>
  <c r="AS37" i="2" s="1"/>
  <c r="AS43" i="2" a="1"/>
  <c r="AS43" i="2" s="1"/>
  <c r="AS47" i="2" a="1"/>
  <c r="AS47" i="2" s="1"/>
  <c r="AS44" i="2" a="1"/>
  <c r="AS44" i="2" s="1"/>
  <c r="AS69" i="2" a="1"/>
  <c r="AS69" i="2" s="1"/>
  <c r="AS24" i="2" a="1"/>
  <c r="AS24" i="2" s="1"/>
  <c r="AS27" i="2" a="1"/>
  <c r="AS27" i="2" s="1"/>
  <c r="AS7" i="2" a="1"/>
  <c r="AS7" i="2" s="1"/>
  <c r="AS11" i="2" a="1"/>
  <c r="AS11" i="2" s="1"/>
  <c r="AS53" i="2" a="1"/>
  <c r="AS53" i="2" s="1"/>
  <c r="AS62" i="2" a="1"/>
  <c r="AS62" i="2" s="1"/>
  <c r="AS16" i="2" a="1"/>
  <c r="AS16" i="2" s="1"/>
  <c r="AS49" i="2" a="1"/>
  <c r="AS49" i="2" s="1"/>
  <c r="AS50" i="2" a="1"/>
  <c r="AS50" i="2" s="1"/>
  <c r="AS64" i="2" a="1"/>
  <c r="AS64" i="2" s="1"/>
  <c r="AS46" i="2" a="1"/>
  <c r="AS46" i="2" s="1"/>
  <c r="AS30" i="2" a="1"/>
  <c r="AS30" i="2" s="1"/>
  <c r="AS40" i="2" a="1"/>
  <c r="AS40" i="2" s="1"/>
  <c r="AS42" i="2" a="1"/>
  <c r="AS42" i="2" s="1"/>
  <c r="AS67" i="2" a="1"/>
  <c r="AS67" i="2" s="1"/>
  <c r="AS52" i="2" a="1"/>
  <c r="AS52" i="2" s="1"/>
  <c r="AS66" i="2" a="1"/>
  <c r="AS66" i="2" s="1"/>
  <c r="AS45" i="2" a="1"/>
  <c r="AS45" i="2" s="1"/>
  <c r="AS58" i="2" a="1"/>
  <c r="AS58" i="2" s="1"/>
  <c r="AS36" i="2" a="1"/>
  <c r="AS36" i="2" s="1"/>
  <c r="AS38" i="2" a="1"/>
  <c r="AS38" i="2" s="1"/>
  <c r="AS23" i="2" a="1"/>
  <c r="AS23" i="2" s="1"/>
  <c r="AS17" i="2" a="1"/>
  <c r="AS17" i="2" s="1"/>
  <c r="AS10" i="2" a="1"/>
  <c r="AS10" i="2" s="1"/>
  <c r="AS9" i="2" a="1"/>
  <c r="AS9" i="2" s="1"/>
  <c r="AS41" i="2" a="1"/>
  <c r="AS41" i="2" s="1"/>
  <c r="AS57" i="2" a="1"/>
  <c r="AS57" i="2" s="1"/>
  <c r="AS14" i="2" a="1"/>
  <c r="AS14" i="2" s="1"/>
  <c r="AS20" i="2" a="1"/>
  <c r="AS20" i="2" s="1"/>
  <c r="AS8" i="2" a="1"/>
  <c r="AS8" i="2" s="1"/>
  <c r="AS70" i="2" a="1"/>
  <c r="AS70" i="2" s="1"/>
  <c r="AS15" i="2" a="1"/>
  <c r="AS15" i="2" s="1"/>
  <c r="AS76" i="2" a="1"/>
  <c r="AS76" i="2" s="1"/>
  <c r="AS48" i="2" a="1"/>
  <c r="AS48" i="2" s="1"/>
  <c r="AS65" i="2" a="1"/>
  <c r="AS65" i="2" s="1"/>
  <c r="AS63" i="2" a="1"/>
  <c r="AS63" i="2" s="1"/>
  <c r="AS72" i="2" a="1"/>
  <c r="AS72" i="2" s="1"/>
  <c r="AS73" i="2" a="1"/>
  <c r="AS73" i="2" s="1"/>
  <c r="AS61" i="2" a="1"/>
  <c r="AS61" i="2" s="1"/>
  <c r="AS60" i="2" a="1"/>
  <c r="AS60" i="2" s="1"/>
  <c r="AS74" i="2" a="1"/>
  <c r="AS74" i="2" s="1"/>
  <c r="AS78" i="2" a="1"/>
  <c r="AS78" i="2" s="1"/>
  <c r="AS31" i="2" a="1"/>
  <c r="AS31" i="2" s="1"/>
  <c r="AS56" i="2" a="1"/>
  <c r="AS56" i="2" s="1"/>
  <c r="AS51" i="2" a="1"/>
  <c r="AS51" i="2" s="1"/>
  <c r="AS19" i="2" a="1"/>
  <c r="AS19" i="2" s="1"/>
  <c r="AS77" i="2" a="1"/>
  <c r="AS77" i="2" s="1"/>
  <c r="AS68" i="2" a="1"/>
  <c r="AS68" i="2" s="1"/>
  <c r="AS82" i="2" a="1"/>
  <c r="AS82" i="2" s="1"/>
  <c r="AS35" i="2" a="1"/>
  <c r="AS35" i="2" s="1"/>
  <c r="AS80" i="2" a="1"/>
  <c r="AS80" i="2" s="1"/>
  <c r="AS81" i="2" a="1"/>
  <c r="AS81" i="2" s="1"/>
  <c r="AS71" i="2" a="1"/>
  <c r="AS71" i="2" s="1"/>
  <c r="AS39" i="2" a="1"/>
  <c r="AS39" i="2" s="1"/>
  <c r="AS55" i="2" a="1"/>
  <c r="AS55" i="2" s="1"/>
  <c r="AS59" i="2" a="1"/>
  <c r="AS59" i="2" s="1"/>
  <c r="AS75" i="2" a="1"/>
  <c r="AS75" i="2" s="1"/>
  <c r="AS79" i="2" a="1"/>
  <c r="AS79" i="2" s="1"/>
  <c r="AT3" i="2" l="1" a="1"/>
  <c r="AT3" i="2" s="1"/>
  <c r="AT4" i="2" a="1"/>
  <c r="AT4" i="2" s="1"/>
  <c r="AT5" i="2" a="1"/>
  <c r="AT5" i="2" s="1"/>
  <c r="AU2" i="2"/>
  <c r="AT7" i="2" a="1"/>
  <c r="AT7" i="2" s="1"/>
  <c r="AT12" i="2" a="1"/>
  <c r="AT12" i="2" s="1"/>
  <c r="AT10" i="2" a="1"/>
  <c r="AT10" i="2" s="1"/>
  <c r="AT14" i="2" a="1"/>
  <c r="AT14" i="2" s="1"/>
  <c r="AT17" i="2" a="1"/>
  <c r="AT17" i="2" s="1"/>
  <c r="AT6" i="2" a="1"/>
  <c r="AT6" i="2" s="1"/>
  <c r="AT13" i="2" a="1"/>
  <c r="AT13" i="2" s="1"/>
  <c r="AT22" i="2" a="1"/>
  <c r="AT22" i="2" s="1"/>
  <c r="AT16" i="2" a="1"/>
  <c r="AT16" i="2" s="1"/>
  <c r="AT21" i="2" a="1"/>
  <c r="AT21" i="2" s="1"/>
  <c r="AT25" i="2" a="1"/>
  <c r="AT25" i="2" s="1"/>
  <c r="AT27" i="2" a="1"/>
  <c r="AT27" i="2" s="1"/>
  <c r="AT29" i="2" a="1"/>
  <c r="AT29" i="2" s="1"/>
  <c r="AT26" i="2" a="1"/>
  <c r="AT26" i="2" s="1"/>
  <c r="AT24" i="2" a="1"/>
  <c r="AT24" i="2" s="1"/>
  <c r="AT33" i="2" a="1"/>
  <c r="AT33" i="2" s="1"/>
  <c r="AT34" i="2" a="1"/>
  <c r="AT34" i="2" s="1"/>
  <c r="AT32" i="2" a="1"/>
  <c r="AT32" i="2" s="1"/>
  <c r="AT54" i="2" a="1"/>
  <c r="AT54" i="2" s="1"/>
  <c r="AT36" i="2" a="1"/>
  <c r="AT36" i="2" s="1"/>
  <c r="AT40" i="2" a="1"/>
  <c r="AT40" i="2" s="1"/>
  <c r="AT42" i="2" a="1"/>
  <c r="AT42" i="2" s="1"/>
  <c r="AT43" i="2" a="1"/>
  <c r="AT43" i="2" s="1"/>
  <c r="AT44" i="2" a="1"/>
  <c r="AT44" i="2" s="1"/>
  <c r="AT38" i="2" a="1"/>
  <c r="AT38" i="2" s="1"/>
  <c r="AT28" i="2" a="1"/>
  <c r="AT28" i="2" s="1"/>
  <c r="AT30" i="2" a="1"/>
  <c r="AT30" i="2" s="1"/>
  <c r="AT56" i="2" a="1"/>
  <c r="AT56" i="2" s="1"/>
  <c r="AT23" i="2" a="1"/>
  <c r="AT23" i="2" s="1"/>
  <c r="AT47" i="2" a="1"/>
  <c r="AT47" i="2" s="1"/>
  <c r="AT9" i="2" a="1"/>
  <c r="AT9" i="2" s="1"/>
  <c r="AT63" i="2" a="1"/>
  <c r="AT63" i="2" s="1"/>
  <c r="AT37" i="2" a="1"/>
  <c r="AT37" i="2" s="1"/>
  <c r="AT60" i="2" a="1"/>
  <c r="AT60" i="2" s="1"/>
  <c r="AT45" i="2" a="1"/>
  <c r="AT45" i="2" s="1"/>
  <c r="AT46" i="2" a="1"/>
  <c r="AT46" i="2" s="1"/>
  <c r="AT69" i="2" a="1"/>
  <c r="AT69" i="2" s="1"/>
  <c r="AT8" i="2" a="1"/>
  <c r="AT8" i="2" s="1"/>
  <c r="AT41" i="2" a="1"/>
  <c r="AT41" i="2" s="1"/>
  <c r="AT53" i="2" a="1"/>
  <c r="AT53" i="2" s="1"/>
  <c r="AT49" i="2" a="1"/>
  <c r="AT49" i="2" s="1"/>
  <c r="AT50" i="2" a="1"/>
  <c r="AT50" i="2" s="1"/>
  <c r="AT57" i="2" a="1"/>
  <c r="AT57" i="2" s="1"/>
  <c r="AT18" i="2" a="1"/>
  <c r="AT18" i="2" s="1"/>
  <c r="AT58" i="2" a="1"/>
  <c r="AT58" i="2" s="1"/>
  <c r="AT11" i="2" a="1"/>
  <c r="AT11" i="2" s="1"/>
  <c r="AT52" i="2" a="1"/>
  <c r="AT52" i="2" s="1"/>
  <c r="AT20" i="2" a="1"/>
  <c r="AT20" i="2" s="1"/>
  <c r="AT74" i="2" a="1"/>
  <c r="AT74" i="2" s="1"/>
  <c r="AT64" i="2" a="1"/>
  <c r="AT64" i="2" s="1"/>
  <c r="AT78" i="2" a="1"/>
  <c r="AT78" i="2" s="1"/>
  <c r="AT48" i="2" a="1"/>
  <c r="AT48" i="2" s="1"/>
  <c r="AT31" i="2" a="1"/>
  <c r="AT31" i="2" s="1"/>
  <c r="AT67" i="2" a="1"/>
  <c r="AT67" i="2" s="1"/>
  <c r="AT80" i="2" a="1"/>
  <c r="AT80" i="2" s="1"/>
  <c r="AT66" i="2" a="1"/>
  <c r="AT66" i="2" s="1"/>
  <c r="AT72" i="2" a="1"/>
  <c r="AT72" i="2" s="1"/>
  <c r="AT76" i="2" a="1"/>
  <c r="AT76" i="2" s="1"/>
  <c r="AT15" i="2" a="1"/>
  <c r="AT15" i="2" s="1"/>
  <c r="AT62" i="2" a="1"/>
  <c r="AT62" i="2" s="1"/>
  <c r="AT65" i="2" a="1"/>
  <c r="AT65" i="2" s="1"/>
  <c r="AT70" i="2" a="1"/>
  <c r="AT70" i="2" s="1"/>
  <c r="AT82" i="2" a="1"/>
  <c r="AT82" i="2" s="1"/>
  <c r="AT61" i="2" a="1"/>
  <c r="AT61" i="2" s="1"/>
  <c r="AT77" i="2" a="1"/>
  <c r="AT77" i="2" s="1"/>
  <c r="AT81" i="2" a="1"/>
  <c r="AT81" i="2" s="1"/>
  <c r="AT73" i="2" a="1"/>
  <c r="AT73" i="2" s="1"/>
  <c r="AT51" i="2" a="1"/>
  <c r="AT51" i="2" s="1"/>
  <c r="AT35" i="2" a="1"/>
  <c r="AT35" i="2" s="1"/>
  <c r="AT68" i="2" a="1"/>
  <c r="AT68" i="2" s="1"/>
  <c r="AT19" i="2" a="1"/>
  <c r="AT19" i="2" s="1"/>
  <c r="AT39" i="2" a="1"/>
  <c r="AT39" i="2" s="1"/>
  <c r="AT71" i="2" a="1"/>
  <c r="AT71" i="2" s="1"/>
  <c r="AT55" i="2" a="1"/>
  <c r="AT55" i="2" s="1"/>
  <c r="AT75" i="2" a="1"/>
  <c r="AT75" i="2" s="1"/>
  <c r="AT59" i="2" a="1"/>
  <c r="AT59" i="2" s="1"/>
  <c r="AT79" i="2" a="1"/>
  <c r="AT79" i="2" s="1"/>
  <c r="AV2" i="2" l="1"/>
  <c r="AU3" i="2" a="1"/>
  <c r="AU3" i="2" s="1"/>
  <c r="AU5" i="2" a="1"/>
  <c r="AU5" i="2" s="1"/>
  <c r="AU4" i="2" a="1"/>
  <c r="AU4" i="2" s="1"/>
  <c r="AU6" i="2" a="1"/>
  <c r="AU6" i="2" s="1"/>
  <c r="AU13" i="2" a="1"/>
  <c r="AU13" i="2" s="1"/>
  <c r="AU8" i="2" a="1"/>
  <c r="AU8" i="2" s="1"/>
  <c r="AU12" i="2" a="1"/>
  <c r="AU12" i="2" s="1"/>
  <c r="AU14" i="2" a="1"/>
  <c r="AU14" i="2" s="1"/>
  <c r="AU17" i="2" a="1"/>
  <c r="AU17" i="2" s="1"/>
  <c r="AU9" i="2" a="1"/>
  <c r="AU9" i="2" s="1"/>
  <c r="AU22" i="2" a="1"/>
  <c r="AU22" i="2" s="1"/>
  <c r="AU16" i="2" a="1"/>
  <c r="AU16" i="2" s="1"/>
  <c r="AU10" i="2" a="1"/>
  <c r="AU10" i="2" s="1"/>
  <c r="AU25" i="2" a="1"/>
  <c r="AU25" i="2" s="1"/>
  <c r="AU18" i="2" a="1"/>
  <c r="AU18" i="2" s="1"/>
  <c r="AU27" i="2" a="1"/>
  <c r="AU27" i="2" s="1"/>
  <c r="AU29" i="2" a="1"/>
  <c r="AU29" i="2" s="1"/>
  <c r="AU24" i="2" a="1"/>
  <c r="AU24" i="2" s="1"/>
  <c r="AU33" i="2" a="1"/>
  <c r="AU33" i="2" s="1"/>
  <c r="AU32" i="2" a="1"/>
  <c r="AU32" i="2" s="1"/>
  <c r="AU30" i="2" a="1"/>
  <c r="AU30" i="2" s="1"/>
  <c r="AU34" i="2" a="1"/>
  <c r="AU34" i="2" s="1"/>
  <c r="AU49" i="2" a="1"/>
  <c r="AU49" i="2" s="1"/>
  <c r="AU54" i="2" a="1"/>
  <c r="AU54" i="2" s="1"/>
  <c r="AU57" i="2" a="1"/>
  <c r="AU57" i="2" s="1"/>
  <c r="AU50" i="2" a="1"/>
  <c r="AU50" i="2" s="1"/>
  <c r="AU62" i="2" a="1"/>
  <c r="AU62" i="2" s="1"/>
  <c r="AU26" i="2" a="1"/>
  <c r="AU26" i="2" s="1"/>
  <c r="AU44" i="2" a="1"/>
  <c r="AU44" i="2" s="1"/>
  <c r="AU38" i="2" a="1"/>
  <c r="AU38" i="2" s="1"/>
  <c r="AU36" i="2" a="1"/>
  <c r="AU36" i="2" s="1"/>
  <c r="AU53" i="2" a="1"/>
  <c r="AU53" i="2" s="1"/>
  <c r="AU45" i="2" a="1"/>
  <c r="AU45" i="2" s="1"/>
  <c r="AU74" i="2" a="1"/>
  <c r="AU74" i="2" s="1"/>
  <c r="AU52" i="2" a="1"/>
  <c r="AU52" i="2" s="1"/>
  <c r="AU70" i="2" a="1"/>
  <c r="AU70" i="2" s="1"/>
  <c r="AU60" i="2" a="1"/>
  <c r="AU60" i="2" s="1"/>
  <c r="AU28" i="2" a="1"/>
  <c r="AU28" i="2" s="1"/>
  <c r="AU47" i="2" a="1"/>
  <c r="AU47" i="2" s="1"/>
  <c r="AU7" i="2" a="1"/>
  <c r="AU7" i="2" s="1"/>
  <c r="AU11" i="2" a="1"/>
  <c r="AU11" i="2" s="1"/>
  <c r="AU37" i="2" a="1"/>
  <c r="AU37" i="2" s="1"/>
  <c r="AU46" i="2" a="1"/>
  <c r="AU46" i="2" s="1"/>
  <c r="AU58" i="2" a="1"/>
  <c r="AU58" i="2" s="1"/>
  <c r="AU23" i="2" a="1"/>
  <c r="AU23" i="2" s="1"/>
  <c r="AU41" i="2" a="1"/>
  <c r="AU41" i="2" s="1"/>
  <c r="AU42" i="2" a="1"/>
  <c r="AU42" i="2" s="1"/>
  <c r="AU21" i="2" a="1"/>
  <c r="AU21" i="2" s="1"/>
  <c r="AU66" i="2" a="1"/>
  <c r="AU66" i="2" s="1"/>
  <c r="AU65" i="2" a="1"/>
  <c r="AU65" i="2" s="1"/>
  <c r="AU43" i="2" a="1"/>
  <c r="AU43" i="2" s="1"/>
  <c r="AU20" i="2" a="1"/>
  <c r="AU20" i="2" s="1"/>
  <c r="AU40" i="2" a="1"/>
  <c r="AU40" i="2" s="1"/>
  <c r="AU63" i="2" a="1"/>
  <c r="AU63" i="2" s="1"/>
  <c r="AU64" i="2" a="1"/>
  <c r="AU64" i="2" s="1"/>
  <c r="AU31" i="2" a="1"/>
  <c r="AU31" i="2" s="1"/>
  <c r="AU56" i="2" a="1"/>
  <c r="AU56" i="2" s="1"/>
  <c r="AU61" i="2" a="1"/>
  <c r="AU61" i="2" s="1"/>
  <c r="AU48" i="2" a="1"/>
  <c r="AU48" i="2" s="1"/>
  <c r="AU69" i="2" a="1"/>
  <c r="AU69" i="2" s="1"/>
  <c r="AU73" i="2" a="1"/>
  <c r="AU73" i="2" s="1"/>
  <c r="AU78" i="2" a="1"/>
  <c r="AU78" i="2" s="1"/>
  <c r="AU15" i="2" a="1"/>
  <c r="AU15" i="2" s="1"/>
  <c r="AU72" i="2" a="1"/>
  <c r="AU72" i="2" s="1"/>
  <c r="AU77" i="2" a="1"/>
  <c r="AU77" i="2" s="1"/>
  <c r="AU67" i="2" a="1"/>
  <c r="AU67" i="2" s="1"/>
  <c r="AU68" i="2" a="1"/>
  <c r="AU68" i="2" s="1"/>
  <c r="AU76" i="2" a="1"/>
  <c r="AU76" i="2" s="1"/>
  <c r="AU82" i="2" a="1"/>
  <c r="AU82" i="2" s="1"/>
  <c r="AU35" i="2" a="1"/>
  <c r="AU35" i="2" s="1"/>
  <c r="AU51" i="2" a="1"/>
  <c r="AU51" i="2" s="1"/>
  <c r="AU80" i="2" a="1"/>
  <c r="AU80" i="2" s="1"/>
  <c r="AU19" i="2" a="1"/>
  <c r="AU19" i="2" s="1"/>
  <c r="AU81" i="2" a="1"/>
  <c r="AU81" i="2" s="1"/>
  <c r="AU71" i="2" a="1"/>
  <c r="AU71" i="2" s="1"/>
  <c r="AU39" i="2" a="1"/>
  <c r="AU39" i="2" s="1"/>
  <c r="AU55" i="2" a="1"/>
  <c r="AU55" i="2" s="1"/>
  <c r="AU59" i="2" a="1"/>
  <c r="AU59" i="2" s="1"/>
  <c r="AU75" i="2" a="1"/>
  <c r="AU75" i="2" s="1"/>
  <c r="AU79" i="2" a="1"/>
  <c r="AU79" i="2" s="1"/>
  <c r="AW2" i="2" l="1"/>
  <c r="AV3" i="2" a="1"/>
  <c r="AV3" i="2" s="1"/>
  <c r="AV4" i="2" a="1"/>
  <c r="AV4" i="2" s="1"/>
  <c r="AV5" i="2" a="1"/>
  <c r="AV5" i="2" s="1"/>
  <c r="AV6" i="2" a="1"/>
  <c r="AV6" i="2" s="1"/>
  <c r="AV10" i="2" a="1"/>
  <c r="AV10" i="2" s="1"/>
  <c r="AV8" i="2" a="1"/>
  <c r="AV8" i="2" s="1"/>
  <c r="AV9" i="2" a="1"/>
  <c r="AV9" i="2" s="1"/>
  <c r="AV14" i="2" a="1"/>
  <c r="AV14" i="2" s="1"/>
  <c r="AV18" i="2" a="1"/>
  <c r="AV18" i="2" s="1"/>
  <c r="AV17" i="2" a="1"/>
  <c r="AV17" i="2" s="1"/>
  <c r="AV16" i="2" a="1"/>
  <c r="AV16" i="2" s="1"/>
  <c r="AV21" i="2" a="1"/>
  <c r="AV21" i="2" s="1"/>
  <c r="AV25" i="2" a="1"/>
  <c r="AV25" i="2" s="1"/>
  <c r="AV22" i="2" a="1"/>
  <c r="AV22" i="2" s="1"/>
  <c r="AV12" i="2" a="1"/>
  <c r="AV12" i="2" s="1"/>
  <c r="AV33" i="2" a="1"/>
  <c r="AV33" i="2" s="1"/>
  <c r="AV29" i="2" a="1"/>
  <c r="AV29" i="2" s="1"/>
  <c r="AV30" i="2" a="1"/>
  <c r="AV30" i="2" s="1"/>
  <c r="AV27" i="2" a="1"/>
  <c r="AV27" i="2" s="1"/>
  <c r="AV32" i="2" a="1"/>
  <c r="AV32" i="2" s="1"/>
  <c r="AV42" i="2" a="1"/>
  <c r="AV42" i="2" s="1"/>
  <c r="AV34" i="2" a="1"/>
  <c r="AV34" i="2" s="1"/>
  <c r="AV53" i="2" a="1"/>
  <c r="AV53" i="2" s="1"/>
  <c r="AV43" i="2" a="1"/>
  <c r="AV43" i="2" s="1"/>
  <c r="AV41" i="2" a="1"/>
  <c r="AV41" i="2" s="1"/>
  <c r="AV45" i="2" a="1"/>
  <c r="AV45" i="2" s="1"/>
  <c r="AV67" i="2" a="1"/>
  <c r="AV67" i="2" s="1"/>
  <c r="AV60" i="2" a="1"/>
  <c r="AV60" i="2" s="1"/>
  <c r="AV40" i="2" a="1"/>
  <c r="AV40" i="2" s="1"/>
  <c r="AV47" i="2" a="1"/>
  <c r="AV47" i="2" s="1"/>
  <c r="AV13" i="2" a="1"/>
  <c r="AV13" i="2" s="1"/>
  <c r="AV7" i="2" a="1"/>
  <c r="AV7" i="2" s="1"/>
  <c r="AV65" i="2" a="1"/>
  <c r="AV65" i="2" s="1"/>
  <c r="AV46" i="2" a="1"/>
  <c r="AV46" i="2" s="1"/>
  <c r="AV36" i="2" a="1"/>
  <c r="AV36" i="2" s="1"/>
  <c r="AV57" i="2" a="1"/>
  <c r="AV57" i="2" s="1"/>
  <c r="AV54" i="2" a="1"/>
  <c r="AV54" i="2" s="1"/>
  <c r="AV56" i="2" a="1"/>
  <c r="AV56" i="2" s="1"/>
  <c r="AV50" i="2" a="1"/>
  <c r="AV50" i="2" s="1"/>
  <c r="AV49" i="2" a="1"/>
  <c r="AV49" i="2" s="1"/>
  <c r="AV62" i="2" a="1"/>
  <c r="AV62" i="2" s="1"/>
  <c r="AV26" i="2" a="1"/>
  <c r="AV26" i="2" s="1"/>
  <c r="AV38" i="2" a="1"/>
  <c r="AV38" i="2" s="1"/>
  <c r="AV37" i="2" a="1"/>
  <c r="AV37" i="2" s="1"/>
  <c r="AV23" i="2" a="1"/>
  <c r="AV23" i="2" s="1"/>
  <c r="AV66" i="2" a="1"/>
  <c r="AV66" i="2" s="1"/>
  <c r="AV20" i="2" a="1"/>
  <c r="AV20" i="2" s="1"/>
  <c r="AV24" i="2" a="1"/>
  <c r="AV24" i="2" s="1"/>
  <c r="AV11" i="2" a="1"/>
  <c r="AV11" i="2" s="1"/>
  <c r="AV44" i="2" a="1"/>
  <c r="AV44" i="2" s="1"/>
  <c r="AV70" i="2" a="1"/>
  <c r="AV70" i="2" s="1"/>
  <c r="AV28" i="2" a="1"/>
  <c r="AV28" i="2" s="1"/>
  <c r="AV52" i="2" a="1"/>
  <c r="AV52" i="2" s="1"/>
  <c r="AV31" i="2" a="1"/>
  <c r="AV31" i="2" s="1"/>
  <c r="AV72" i="2" a="1"/>
  <c r="AV72" i="2" s="1"/>
  <c r="AV48" i="2" a="1"/>
  <c r="AV48" i="2" s="1"/>
  <c r="AV73" i="2" a="1"/>
  <c r="AV73" i="2" s="1"/>
  <c r="AV58" i="2" a="1"/>
  <c r="AV58" i="2" s="1"/>
  <c r="AV64" i="2" a="1"/>
  <c r="AV64" i="2" s="1"/>
  <c r="AV63" i="2" a="1"/>
  <c r="AV63" i="2" s="1"/>
  <c r="AV69" i="2" a="1"/>
  <c r="AV69" i="2" s="1"/>
  <c r="AV61" i="2" a="1"/>
  <c r="AV61" i="2" s="1"/>
  <c r="AV78" i="2" a="1"/>
  <c r="AV78" i="2" s="1"/>
  <c r="AV74" i="2" a="1"/>
  <c r="AV74" i="2" s="1"/>
  <c r="AV15" i="2" a="1"/>
  <c r="AV15" i="2" s="1"/>
  <c r="AV76" i="2" a="1"/>
  <c r="AV76" i="2" s="1"/>
  <c r="AV77" i="2" a="1"/>
  <c r="AV77" i="2" s="1"/>
  <c r="AV51" i="2" a="1"/>
  <c r="AV51" i="2" s="1"/>
  <c r="AV82" i="2" a="1"/>
  <c r="AV82" i="2" s="1"/>
  <c r="AV80" i="2" a="1"/>
  <c r="AV80" i="2" s="1"/>
  <c r="AV81" i="2" a="1"/>
  <c r="AV81" i="2" s="1"/>
  <c r="AV19" i="2" a="1"/>
  <c r="AV19" i="2" s="1"/>
  <c r="AV68" i="2" a="1"/>
  <c r="AV68" i="2" s="1"/>
  <c r="AV35" i="2" a="1"/>
  <c r="AV35" i="2" s="1"/>
  <c r="AV55" i="2" a="1"/>
  <c r="AV55" i="2" s="1"/>
  <c r="AV71" i="2" a="1"/>
  <c r="AV71" i="2" s="1"/>
  <c r="AV39" i="2" a="1"/>
  <c r="AV39" i="2" s="1"/>
  <c r="AV75" i="2" a="1"/>
  <c r="AV75" i="2" s="1"/>
  <c r="AV59" i="2" a="1"/>
  <c r="AV59" i="2" s="1"/>
  <c r="AV79" i="2" a="1"/>
  <c r="AV79" i="2" s="1"/>
  <c r="AW3" i="2" l="1" a="1"/>
  <c r="AW3" i="2" s="1"/>
  <c r="AW4" i="2" a="1"/>
  <c r="AW4" i="2" s="1"/>
  <c r="AX2" i="2"/>
  <c r="AW8" i="2" a="1"/>
  <c r="AW8" i="2" s="1"/>
  <c r="AW5" i="2" a="1"/>
  <c r="AW5" i="2" s="1"/>
  <c r="AW6" i="2" a="1"/>
  <c r="AW6" i="2" s="1"/>
  <c r="AW12" i="2" a="1"/>
  <c r="AW12" i="2" s="1"/>
  <c r="AW13" i="2" a="1"/>
  <c r="AW13" i="2" s="1"/>
  <c r="AW22" i="2" a="1"/>
  <c r="AW22" i="2" s="1"/>
  <c r="AW18" i="2" a="1"/>
  <c r="AW18" i="2" s="1"/>
  <c r="AW21" i="2" a="1"/>
  <c r="AW21" i="2" s="1"/>
  <c r="AW27" i="2" a="1"/>
  <c r="AW27" i="2" s="1"/>
  <c r="AW26" i="2" a="1"/>
  <c r="AW26" i="2" s="1"/>
  <c r="AW25" i="2" a="1"/>
  <c r="AW25" i="2" s="1"/>
  <c r="AW20" i="2" a="1"/>
  <c r="AW20" i="2" s="1"/>
  <c r="AW29" i="2" a="1"/>
  <c r="AW29" i="2" s="1"/>
  <c r="AW49" i="2" a="1"/>
  <c r="AW49" i="2" s="1"/>
  <c r="AW41" i="2" a="1"/>
  <c r="AW41" i="2" s="1"/>
  <c r="AW54" i="2" a="1"/>
  <c r="AW54" i="2" s="1"/>
  <c r="AW38" i="2" a="1"/>
  <c r="AW38" i="2" s="1"/>
  <c r="AW14" i="2" a="1"/>
  <c r="AW14" i="2" s="1"/>
  <c r="AW36" i="2" a="1"/>
  <c r="AW36" i="2" s="1"/>
  <c r="AW37" i="2" a="1"/>
  <c r="AW37" i="2" s="1"/>
  <c r="AW46" i="2" a="1"/>
  <c r="AW46" i="2" s="1"/>
  <c r="AW69" i="2" a="1"/>
  <c r="AW69" i="2" s="1"/>
  <c r="AW24" i="2" a="1"/>
  <c r="AW24" i="2" s="1"/>
  <c r="AW7" i="2" a="1"/>
  <c r="AW7" i="2" s="1"/>
  <c r="AW11" i="2" a="1"/>
  <c r="AW11" i="2" s="1"/>
  <c r="AW43" i="2" a="1"/>
  <c r="AW43" i="2" s="1"/>
  <c r="AW28" i="2" a="1"/>
  <c r="AW28" i="2" s="1"/>
  <c r="AW16" i="2" a="1"/>
  <c r="AW16" i="2" s="1"/>
  <c r="AW52" i="2" a="1"/>
  <c r="AW52" i="2" s="1"/>
  <c r="AW56" i="2" a="1"/>
  <c r="AW56" i="2" s="1"/>
  <c r="AW67" i="2" a="1"/>
  <c r="AW67" i="2" s="1"/>
  <c r="AW53" i="2" a="1"/>
  <c r="AW53" i="2" s="1"/>
  <c r="AW30" i="2" a="1"/>
  <c r="AW30" i="2" s="1"/>
  <c r="AW66" i="2" a="1"/>
  <c r="AW66" i="2" s="1"/>
  <c r="AW40" i="2" a="1"/>
  <c r="AW40" i="2" s="1"/>
  <c r="AW42" i="2" a="1"/>
  <c r="AW42" i="2" s="1"/>
  <c r="AW47" i="2" a="1"/>
  <c r="AW47" i="2" s="1"/>
  <c r="AW60" i="2" a="1"/>
  <c r="AW60" i="2" s="1"/>
  <c r="AW64" i="2" a="1"/>
  <c r="AW64" i="2" s="1"/>
  <c r="AW44" i="2" a="1"/>
  <c r="AW44" i="2" s="1"/>
  <c r="AW61" i="2" a="1"/>
  <c r="AW61" i="2" s="1"/>
  <c r="AW32" i="2" a="1"/>
  <c r="AW32" i="2" s="1"/>
  <c r="AW9" i="2" a="1"/>
  <c r="AW9" i="2" s="1"/>
  <c r="AW58" i="2" a="1"/>
  <c r="AW58" i="2" s="1"/>
  <c r="AW45" i="2" a="1"/>
  <c r="AW45" i="2" s="1"/>
  <c r="AW34" i="2" a="1"/>
  <c r="AW34" i="2" s="1"/>
  <c r="AW10" i="2" a="1"/>
  <c r="AW10" i="2" s="1"/>
  <c r="AW50" i="2" a="1"/>
  <c r="AW50" i="2" s="1"/>
  <c r="AW33" i="2" a="1"/>
  <c r="AW33" i="2" s="1"/>
  <c r="AW23" i="2" a="1"/>
  <c r="AW23" i="2" s="1"/>
  <c r="AW17" i="2" a="1"/>
  <c r="AW17" i="2" s="1"/>
  <c r="AW63" i="2" a="1"/>
  <c r="AW63" i="2" s="1"/>
  <c r="AW81" i="2" a="1"/>
  <c r="AW81" i="2" s="1"/>
  <c r="AW48" i="2" a="1"/>
  <c r="AW48" i="2" s="1"/>
  <c r="AW65" i="2" a="1"/>
  <c r="AW65" i="2" s="1"/>
  <c r="AW31" i="2" a="1"/>
  <c r="AW31" i="2" s="1"/>
  <c r="AW73" i="2" a="1"/>
  <c r="AW73" i="2" s="1"/>
  <c r="AW74" i="2" a="1"/>
  <c r="AW74" i="2" s="1"/>
  <c r="AW78" i="2" a="1"/>
  <c r="AW78" i="2" s="1"/>
  <c r="AW70" i="2" a="1"/>
  <c r="AW70" i="2" s="1"/>
  <c r="AW62" i="2" a="1"/>
  <c r="AW62" i="2" s="1"/>
  <c r="AW15" i="2" a="1"/>
  <c r="AW15" i="2" s="1"/>
  <c r="AW72" i="2" a="1"/>
  <c r="AW72" i="2" s="1"/>
  <c r="AW80" i="2" a="1"/>
  <c r="AW80" i="2" s="1"/>
  <c r="AW57" i="2" a="1"/>
  <c r="AW57" i="2" s="1"/>
  <c r="AW51" i="2" a="1"/>
  <c r="AW51" i="2" s="1"/>
  <c r="AW19" i="2" a="1"/>
  <c r="AW19" i="2" s="1"/>
  <c r="AW76" i="2" a="1"/>
  <c r="AW76" i="2" s="1"/>
  <c r="AW82" i="2" a="1"/>
  <c r="AW82" i="2" s="1"/>
  <c r="AW35" i="2" a="1"/>
  <c r="AW35" i="2" s="1"/>
  <c r="AW77" i="2" a="1"/>
  <c r="AW77" i="2" s="1"/>
  <c r="AW68" i="2" a="1"/>
  <c r="AW68" i="2" s="1"/>
  <c r="AW39" i="2" a="1"/>
  <c r="AW39" i="2" s="1"/>
  <c r="AW71" i="2" a="1"/>
  <c r="AW71" i="2" s="1"/>
  <c r="AW55" i="2" a="1"/>
  <c r="AW55" i="2" s="1"/>
  <c r="AW75" i="2" a="1"/>
  <c r="AW75" i="2" s="1"/>
  <c r="AW59" i="2" a="1"/>
  <c r="AW59" i="2" s="1"/>
  <c r="AW79" i="2" a="1"/>
  <c r="AW79" i="2" s="1"/>
  <c r="AX3" i="2" l="1" a="1"/>
  <c r="AX3" i="2" s="1"/>
  <c r="AX4" i="2" a="1"/>
  <c r="AX4" i="2" s="1"/>
  <c r="AX5" i="2" a="1"/>
  <c r="AX5" i="2" s="1"/>
  <c r="AY2" i="2"/>
  <c r="AX8" i="2" a="1"/>
  <c r="AX8" i="2" s="1"/>
  <c r="AX6" i="2" a="1"/>
  <c r="AX6" i="2" s="1"/>
  <c r="AX7" i="2" a="1"/>
  <c r="AX7" i="2" s="1"/>
  <c r="AX12" i="2" a="1"/>
  <c r="AX12" i="2" s="1"/>
  <c r="AX17" i="2" a="1"/>
  <c r="AX17" i="2" s="1"/>
  <c r="AX10" i="2" a="1"/>
  <c r="AX10" i="2" s="1"/>
  <c r="AX13" i="2" a="1"/>
  <c r="AX13" i="2" s="1"/>
  <c r="AX14" i="2" a="1"/>
  <c r="AX14" i="2" s="1"/>
  <c r="AX16" i="2" a="1"/>
  <c r="AX16" i="2" s="1"/>
  <c r="AX22" i="2" a="1"/>
  <c r="AX22" i="2" s="1"/>
  <c r="AX25" i="2" a="1"/>
  <c r="AX25" i="2" s="1"/>
  <c r="AX21" i="2" a="1"/>
  <c r="AX21" i="2" s="1"/>
  <c r="AX29" i="2" a="1"/>
  <c r="AX29" i="2" s="1"/>
  <c r="AX32" i="2" a="1"/>
  <c r="AX32" i="2" s="1"/>
  <c r="AX33" i="2" a="1"/>
  <c r="AX33" i="2" s="1"/>
  <c r="AX37" i="2" a="1"/>
  <c r="AX37" i="2" s="1"/>
  <c r="AX46" i="2" a="1"/>
  <c r="AX46" i="2" s="1"/>
  <c r="AX52" i="2" a="1"/>
  <c r="AX52" i="2" s="1"/>
  <c r="AX50" i="2" a="1"/>
  <c r="AX50" i="2" s="1"/>
  <c r="AX41" i="2" a="1"/>
  <c r="AX41" i="2" s="1"/>
  <c r="AX64" i="2" a="1"/>
  <c r="AX64" i="2" s="1"/>
  <c r="AX56" i="2" a="1"/>
  <c r="AX56" i="2" s="1"/>
  <c r="AX43" i="2" a="1"/>
  <c r="AX43" i="2" s="1"/>
  <c r="AX47" i="2" a="1"/>
  <c r="AX47" i="2" s="1"/>
  <c r="AX42" i="2" a="1"/>
  <c r="AX42" i="2" s="1"/>
  <c r="AX34" i="2" a="1"/>
  <c r="AX34" i="2" s="1"/>
  <c r="AX40" i="2" a="1"/>
  <c r="AX40" i="2" s="1"/>
  <c r="AX61" i="2" a="1"/>
  <c r="AX61" i="2" s="1"/>
  <c r="AX53" i="2" a="1"/>
  <c r="AX53" i="2" s="1"/>
  <c r="AX63" i="2" a="1"/>
  <c r="AX63" i="2" s="1"/>
  <c r="AX28" i="2" a="1"/>
  <c r="AX28" i="2" s="1"/>
  <c r="AX58" i="2" a="1"/>
  <c r="AX58" i="2" s="1"/>
  <c r="AX27" i="2" a="1"/>
  <c r="AX27" i="2" s="1"/>
  <c r="AX24" i="2" a="1"/>
  <c r="AX24" i="2" s="1"/>
  <c r="AX23" i="2" a="1"/>
  <c r="AX23" i="2" s="1"/>
  <c r="AX66" i="2" a="1"/>
  <c r="AX66" i="2" s="1"/>
  <c r="AX11" i="2" a="1"/>
  <c r="AX11" i="2" s="1"/>
  <c r="AX73" i="2" a="1"/>
  <c r="AX73" i="2" s="1"/>
  <c r="AX49" i="2" a="1"/>
  <c r="AX49" i="2" s="1"/>
  <c r="AX30" i="2" a="1"/>
  <c r="AX30" i="2" s="1"/>
  <c r="AX69" i="2" a="1"/>
  <c r="AX69" i="2" s="1"/>
  <c r="AX45" i="2" a="1"/>
  <c r="AX45" i="2" s="1"/>
  <c r="AX60" i="2" a="1"/>
  <c r="AX60" i="2" s="1"/>
  <c r="AX36" i="2" a="1"/>
  <c r="AX36" i="2" s="1"/>
  <c r="AX57" i="2" a="1"/>
  <c r="AX57" i="2" s="1"/>
  <c r="AX20" i="2" a="1"/>
  <c r="AX20" i="2" s="1"/>
  <c r="AX18" i="2" a="1"/>
  <c r="AX18" i="2" s="1"/>
  <c r="AX44" i="2" a="1"/>
  <c r="AX44" i="2" s="1"/>
  <c r="AX9" i="2" a="1"/>
  <c r="AX9" i="2" s="1"/>
  <c r="AX26" i="2" a="1"/>
  <c r="AX26" i="2" s="1"/>
  <c r="AX54" i="2" a="1"/>
  <c r="AX54" i="2" s="1"/>
  <c r="AX38" i="2" a="1"/>
  <c r="AX38" i="2" s="1"/>
  <c r="AX70" i="2" a="1"/>
  <c r="AX70" i="2" s="1"/>
  <c r="AX72" i="2" a="1"/>
  <c r="AX72" i="2" s="1"/>
  <c r="AX67" i="2" a="1"/>
  <c r="AX67" i="2" s="1"/>
  <c r="AX48" i="2" a="1"/>
  <c r="AX48" i="2" s="1"/>
  <c r="AX81" i="2" a="1"/>
  <c r="AX81" i="2" s="1"/>
  <c r="AX15" i="2" a="1"/>
  <c r="AX15" i="2" s="1"/>
  <c r="AX31" i="2" a="1"/>
  <c r="AX31" i="2" s="1"/>
  <c r="AX80" i="2" a="1"/>
  <c r="AX80" i="2" s="1"/>
  <c r="AX76" i="2" a="1"/>
  <c r="AX76" i="2" s="1"/>
  <c r="AX62" i="2" a="1"/>
  <c r="AX62" i="2" s="1"/>
  <c r="AX82" i="2" a="1"/>
  <c r="AX82" i="2" s="1"/>
  <c r="AX65" i="2" a="1"/>
  <c r="AX65" i="2" s="1"/>
  <c r="AX74" i="2" a="1"/>
  <c r="AX74" i="2" s="1"/>
  <c r="AX35" i="2" a="1"/>
  <c r="AX35" i="2" s="1"/>
  <c r="AX77" i="2" a="1"/>
  <c r="AX77" i="2" s="1"/>
  <c r="AX68" i="2" a="1"/>
  <c r="AX68" i="2" s="1"/>
  <c r="AX78" i="2" a="1"/>
  <c r="AX78" i="2" s="1"/>
  <c r="AX51" i="2" a="1"/>
  <c r="AX51" i="2" s="1"/>
  <c r="AX19" i="2" a="1"/>
  <c r="AX19" i="2" s="1"/>
  <c r="AX55" i="2" a="1"/>
  <c r="AX55" i="2" s="1"/>
  <c r="AX39" i="2" a="1"/>
  <c r="AX39" i="2" s="1"/>
  <c r="AX71" i="2" a="1"/>
  <c r="AX71" i="2" s="1"/>
  <c r="AX59" i="2" a="1"/>
  <c r="AX59" i="2" s="1"/>
  <c r="AX75" i="2" a="1"/>
  <c r="AX75" i="2" s="1"/>
  <c r="AX79" i="2" a="1"/>
  <c r="AX79" i="2" s="1"/>
  <c r="AZ2" i="2" l="1"/>
  <c r="AY3" i="2" a="1"/>
  <c r="AY3" i="2" s="1"/>
  <c r="AY5" i="2" a="1"/>
  <c r="AY5" i="2" s="1"/>
  <c r="AY4" i="2" a="1"/>
  <c r="AY4" i="2" s="1"/>
  <c r="AY6" i="2" a="1"/>
  <c r="AY6" i="2" s="1"/>
  <c r="AY10" i="2" a="1"/>
  <c r="AY10" i="2" s="1"/>
  <c r="AY12" i="2" a="1"/>
  <c r="AY12" i="2" s="1"/>
  <c r="AY14" i="2" a="1"/>
  <c r="AY14" i="2" s="1"/>
  <c r="AY8" i="2" a="1"/>
  <c r="AY8" i="2" s="1"/>
  <c r="AY17" i="2" a="1"/>
  <c r="AY17" i="2" s="1"/>
  <c r="AY16" i="2" a="1"/>
  <c r="AY16" i="2" s="1"/>
  <c r="AY22" i="2" a="1"/>
  <c r="AY22" i="2" s="1"/>
  <c r="AY25" i="2" a="1"/>
  <c r="AY25" i="2" s="1"/>
  <c r="AY13" i="2" a="1"/>
  <c r="AY13" i="2" s="1"/>
  <c r="AY23" i="2" a="1"/>
  <c r="AY23" i="2" s="1"/>
  <c r="AY27" i="2" a="1"/>
  <c r="AY27" i="2" s="1"/>
  <c r="AY32" i="2" a="1"/>
  <c r="AY32" i="2" s="1"/>
  <c r="AY29" i="2" a="1"/>
  <c r="AY29" i="2" s="1"/>
  <c r="AY34" i="2" a="1"/>
  <c r="AY34" i="2" s="1"/>
  <c r="AY33" i="2" a="1"/>
  <c r="AY33" i="2" s="1"/>
  <c r="AY37" i="2" a="1"/>
  <c r="AY37" i="2" s="1"/>
  <c r="AY40" i="2" a="1"/>
  <c r="AY40" i="2" s="1"/>
  <c r="AY44" i="2" a="1"/>
  <c r="AY44" i="2" s="1"/>
  <c r="AY46" i="2" a="1"/>
  <c r="AY46" i="2" s="1"/>
  <c r="AY52" i="2" a="1"/>
  <c r="AY52" i="2" s="1"/>
  <c r="AY11" i="2" a="1"/>
  <c r="AY11" i="2" s="1"/>
  <c r="AY49" i="2" a="1"/>
  <c r="AY49" i="2" s="1"/>
  <c r="AY24" i="2" a="1"/>
  <c r="AY24" i="2" s="1"/>
  <c r="AY21" i="2" a="1"/>
  <c r="AY21" i="2" s="1"/>
  <c r="AY42" i="2" a="1"/>
  <c r="AY42" i="2" s="1"/>
  <c r="AY61" i="2" a="1"/>
  <c r="AY61" i="2" s="1"/>
  <c r="AY28" i="2" a="1"/>
  <c r="AY28" i="2" s="1"/>
  <c r="AY50" i="2" a="1"/>
  <c r="AY50" i="2" s="1"/>
  <c r="AY53" i="2" a="1"/>
  <c r="AY53" i="2" s="1"/>
  <c r="AY63" i="2" a="1"/>
  <c r="AY63" i="2" s="1"/>
  <c r="AY54" i="2" a="1"/>
  <c r="AY54" i="2" s="1"/>
  <c r="AY70" i="2" a="1"/>
  <c r="AY70" i="2" s="1"/>
  <c r="AY20" i="2" a="1"/>
  <c r="AY20" i="2" s="1"/>
  <c r="AY26" i="2" a="1"/>
  <c r="AY26" i="2" s="1"/>
  <c r="AY9" i="2" a="1"/>
  <c r="AY9" i="2" s="1"/>
  <c r="AY45" i="2" a="1"/>
  <c r="AY45" i="2" s="1"/>
  <c r="AY74" i="2" a="1"/>
  <c r="AY74" i="2" s="1"/>
  <c r="AY38" i="2" a="1"/>
  <c r="AY38" i="2" s="1"/>
  <c r="AY69" i="2" a="1"/>
  <c r="AY69" i="2" s="1"/>
  <c r="AY58" i="2" a="1"/>
  <c r="AY58" i="2" s="1"/>
  <c r="AY30" i="2" a="1"/>
  <c r="AY30" i="2" s="1"/>
  <c r="AY72" i="2" a="1"/>
  <c r="AY72" i="2" s="1"/>
  <c r="AY36" i="2" a="1"/>
  <c r="AY36" i="2" s="1"/>
  <c r="AY41" i="2" a="1"/>
  <c r="AY41" i="2" s="1"/>
  <c r="AY7" i="2" a="1"/>
  <c r="AY7" i="2" s="1"/>
  <c r="AY47" i="2" a="1"/>
  <c r="AY47" i="2" s="1"/>
  <c r="AY18" i="2" a="1"/>
  <c r="AY18" i="2" s="1"/>
  <c r="AY60" i="2" a="1"/>
  <c r="AY60" i="2" s="1"/>
  <c r="AY43" i="2" a="1"/>
  <c r="AY43" i="2" s="1"/>
  <c r="AY56" i="2" a="1"/>
  <c r="AY56" i="2" s="1"/>
  <c r="AY48" i="2" a="1"/>
  <c r="AY48" i="2" s="1"/>
  <c r="AY31" i="2" a="1"/>
  <c r="AY31" i="2" s="1"/>
  <c r="AY77" i="2" a="1"/>
  <c r="AY77" i="2" s="1"/>
  <c r="AY76" i="2" a="1"/>
  <c r="AY76" i="2" s="1"/>
  <c r="AY64" i="2" a="1"/>
  <c r="AY64" i="2" s="1"/>
  <c r="AY78" i="2" a="1"/>
  <c r="AY78" i="2" s="1"/>
  <c r="AY73" i="2" a="1"/>
  <c r="AY73" i="2" s="1"/>
  <c r="AY67" i="2" a="1"/>
  <c r="AY67" i="2" s="1"/>
  <c r="AY65" i="2" a="1"/>
  <c r="AY65" i="2" s="1"/>
  <c r="AY62" i="2" a="1"/>
  <c r="AY62" i="2" s="1"/>
  <c r="AY81" i="2" a="1"/>
  <c r="AY81" i="2" s="1"/>
  <c r="AY66" i="2" a="1"/>
  <c r="AY66" i="2" s="1"/>
  <c r="AY57" i="2" a="1"/>
  <c r="AY57" i="2" s="1"/>
  <c r="AY15" i="2" a="1"/>
  <c r="AY15" i="2" s="1"/>
  <c r="AY80" i="2" a="1"/>
  <c r="AY80" i="2" s="1"/>
  <c r="AY82" i="2" a="1"/>
  <c r="AY82" i="2" s="1"/>
  <c r="AY19" i="2" a="1"/>
  <c r="AY19" i="2" s="1"/>
  <c r="AY68" i="2" a="1"/>
  <c r="AY68" i="2" s="1"/>
  <c r="AY51" i="2" a="1"/>
  <c r="AY51" i="2" s="1"/>
  <c r="AY35" i="2" a="1"/>
  <c r="AY35" i="2" s="1"/>
  <c r="AY55" i="2" a="1"/>
  <c r="AY55" i="2" s="1"/>
  <c r="AY71" i="2" a="1"/>
  <c r="AY71" i="2" s="1"/>
  <c r="AY39" i="2" a="1"/>
  <c r="AY39" i="2" s="1"/>
  <c r="AY75" i="2" a="1"/>
  <c r="AY75" i="2" s="1"/>
  <c r="AY59" i="2" a="1"/>
  <c r="AY59" i="2" s="1"/>
  <c r="AY79" i="2" a="1"/>
  <c r="AY79" i="2" s="1"/>
  <c r="BA2" i="2" l="1"/>
  <c r="AZ3" i="2" a="1"/>
  <c r="AZ3" i="2" s="1"/>
  <c r="AZ4" i="2" a="1"/>
  <c r="AZ4" i="2" s="1"/>
  <c r="AZ6" i="2" a="1"/>
  <c r="AZ6" i="2" s="1"/>
  <c r="AZ8" i="2" a="1"/>
  <c r="AZ8" i="2" s="1"/>
  <c r="AZ7" i="2" a="1"/>
  <c r="AZ7" i="2" s="1"/>
  <c r="AZ9" i="2" a="1"/>
  <c r="AZ9" i="2" s="1"/>
  <c r="AZ5" i="2" a="1"/>
  <c r="AZ5" i="2" s="1"/>
  <c r="AZ12" i="2" a="1"/>
  <c r="AZ12" i="2" s="1"/>
  <c r="AZ14" i="2" a="1"/>
  <c r="AZ14" i="2" s="1"/>
  <c r="AZ17" i="2" a="1"/>
  <c r="AZ17" i="2" s="1"/>
  <c r="AZ21" i="2" a="1"/>
  <c r="AZ21" i="2" s="1"/>
  <c r="AZ22" i="2" a="1"/>
  <c r="AZ22" i="2" s="1"/>
  <c r="AZ10" i="2" a="1"/>
  <c r="AZ10" i="2" s="1"/>
  <c r="AZ18" i="2" a="1"/>
  <c r="AZ18" i="2" s="1"/>
  <c r="AZ27" i="2" a="1"/>
  <c r="AZ27" i="2" s="1"/>
  <c r="AZ25" i="2" a="1"/>
  <c r="AZ25" i="2" s="1"/>
  <c r="AZ34" i="2" a="1"/>
  <c r="AZ34" i="2" s="1"/>
  <c r="AZ32" i="2" a="1"/>
  <c r="AZ32" i="2" s="1"/>
  <c r="AZ33" i="2" a="1"/>
  <c r="AZ33" i="2" s="1"/>
  <c r="AZ29" i="2" a="1"/>
  <c r="AZ29" i="2" s="1"/>
  <c r="AZ43" i="2" a="1"/>
  <c r="AZ43" i="2" s="1"/>
  <c r="AZ11" i="2" a="1"/>
  <c r="AZ11" i="2" s="1"/>
  <c r="AZ42" i="2" a="1"/>
  <c r="AZ42" i="2" s="1"/>
  <c r="AZ20" i="2" a="1"/>
  <c r="AZ20" i="2" s="1"/>
  <c r="AZ50" i="2" a="1"/>
  <c r="AZ50" i="2" s="1"/>
  <c r="AZ53" i="2" a="1"/>
  <c r="AZ53" i="2" s="1"/>
  <c r="AZ45" i="2" a="1"/>
  <c r="AZ45" i="2" s="1"/>
  <c r="AZ13" i="2" a="1"/>
  <c r="AZ13" i="2" s="1"/>
  <c r="AZ72" i="2" a="1"/>
  <c r="AZ72" i="2" s="1"/>
  <c r="AZ38" i="2" a="1"/>
  <c r="AZ38" i="2" s="1"/>
  <c r="AZ36" i="2" a="1"/>
  <c r="AZ36" i="2" s="1"/>
  <c r="AZ46" i="2" a="1"/>
  <c r="AZ46" i="2" s="1"/>
  <c r="AZ40" i="2" a="1"/>
  <c r="AZ40" i="2" s="1"/>
  <c r="AZ58" i="2" a="1"/>
  <c r="AZ58" i="2" s="1"/>
  <c r="AZ70" i="2" a="1"/>
  <c r="AZ70" i="2" s="1"/>
  <c r="AZ49" i="2" a="1"/>
  <c r="AZ49" i="2" s="1"/>
  <c r="AZ57" i="2" a="1"/>
  <c r="AZ57" i="2" s="1"/>
  <c r="AZ30" i="2" a="1"/>
  <c r="AZ30" i="2" s="1"/>
  <c r="AZ24" i="2" a="1"/>
  <c r="AZ24" i="2" s="1"/>
  <c r="AZ73" i="2" a="1"/>
  <c r="AZ73" i="2" s="1"/>
  <c r="AZ41" i="2" a="1"/>
  <c r="AZ41" i="2" s="1"/>
  <c r="AZ62" i="2" a="1"/>
  <c r="AZ62" i="2" s="1"/>
  <c r="AZ37" i="2" a="1"/>
  <c r="AZ37" i="2" s="1"/>
  <c r="AZ63" i="2" a="1"/>
  <c r="AZ63" i="2" s="1"/>
  <c r="AZ23" i="2" a="1"/>
  <c r="AZ23" i="2" s="1"/>
  <c r="AZ26" i="2" a="1"/>
  <c r="AZ26" i="2" s="1"/>
  <c r="AZ16" i="2" a="1"/>
  <c r="AZ16" i="2" s="1"/>
  <c r="AZ28" i="2" a="1"/>
  <c r="AZ28" i="2" s="1"/>
  <c r="AZ54" i="2" a="1"/>
  <c r="AZ54" i="2" s="1"/>
  <c r="AZ47" i="2" a="1"/>
  <c r="AZ47" i="2" s="1"/>
  <c r="AZ44" i="2" a="1"/>
  <c r="AZ44" i="2" s="1"/>
  <c r="AZ52" i="2" a="1"/>
  <c r="AZ52" i="2" s="1"/>
  <c r="AZ64" i="2" a="1"/>
  <c r="AZ64" i="2" s="1"/>
  <c r="AZ15" i="2" a="1"/>
  <c r="AZ15" i="2" s="1"/>
  <c r="AZ61" i="2" a="1"/>
  <c r="AZ61" i="2" s="1"/>
  <c r="AZ67" i="2" a="1"/>
  <c r="AZ67" i="2" s="1"/>
  <c r="AZ65" i="2" a="1"/>
  <c r="AZ65" i="2" s="1"/>
  <c r="AZ66" i="2" a="1"/>
  <c r="AZ66" i="2" s="1"/>
  <c r="AZ77" i="2" a="1"/>
  <c r="AZ77" i="2" s="1"/>
  <c r="AZ69" i="2" a="1"/>
  <c r="AZ69" i="2" s="1"/>
  <c r="AZ78" i="2" a="1"/>
  <c r="AZ78" i="2" s="1"/>
  <c r="AZ80" i="2" a="1"/>
  <c r="AZ80" i="2" s="1"/>
  <c r="AZ48" i="2" a="1"/>
  <c r="AZ48" i="2" s="1"/>
  <c r="AZ81" i="2" a="1"/>
  <c r="AZ81" i="2" s="1"/>
  <c r="AZ74" i="2" a="1"/>
  <c r="AZ74" i="2" s="1"/>
  <c r="AZ56" i="2" a="1"/>
  <c r="AZ56" i="2" s="1"/>
  <c r="AZ60" i="2" a="1"/>
  <c r="AZ60" i="2" s="1"/>
  <c r="AZ31" i="2" a="1"/>
  <c r="AZ31" i="2" s="1"/>
  <c r="AZ35" i="2" a="1"/>
  <c r="AZ35" i="2" s="1"/>
  <c r="AZ68" i="2" a="1"/>
  <c r="AZ68" i="2" s="1"/>
  <c r="AZ51" i="2" a="1"/>
  <c r="AZ51" i="2" s="1"/>
  <c r="AZ82" i="2" a="1"/>
  <c r="AZ82" i="2" s="1"/>
  <c r="AZ76" i="2" a="1"/>
  <c r="AZ76" i="2" s="1"/>
  <c r="AZ19" i="2" a="1"/>
  <c r="AZ19" i="2" s="1"/>
  <c r="AZ71" i="2" a="1"/>
  <c r="AZ71" i="2" s="1"/>
  <c r="AZ39" i="2" a="1"/>
  <c r="AZ39" i="2" s="1"/>
  <c r="AZ55" i="2" a="1"/>
  <c r="AZ55" i="2" s="1"/>
  <c r="AZ75" i="2" a="1"/>
  <c r="AZ75" i="2" s="1"/>
  <c r="AZ59" i="2" a="1"/>
  <c r="AZ59" i="2" s="1"/>
  <c r="AZ79" i="2" a="1"/>
  <c r="AZ79" i="2" s="1"/>
  <c r="BA3" i="2" l="1" a="1"/>
  <c r="BA3" i="2" s="1"/>
  <c r="BA4" i="2" a="1"/>
  <c r="BA4" i="2" s="1"/>
  <c r="BB2" i="2"/>
  <c r="BA5" i="2" a="1"/>
  <c r="BA5" i="2" s="1"/>
  <c r="BA6" i="2" a="1"/>
  <c r="BA6" i="2" s="1"/>
  <c r="BA12" i="2" a="1"/>
  <c r="BA12" i="2" s="1"/>
  <c r="BA13" i="2" a="1"/>
  <c r="BA13" i="2" s="1"/>
  <c r="BA10" i="2" a="1"/>
  <c r="BA10" i="2" s="1"/>
  <c r="BA21" i="2" a="1"/>
  <c r="BA21" i="2" s="1"/>
  <c r="BA22" i="2" a="1"/>
  <c r="BA22" i="2" s="1"/>
  <c r="BA8" i="2" a="1"/>
  <c r="BA8" i="2" s="1"/>
  <c r="BA25" i="2" a="1"/>
  <c r="BA25" i="2" s="1"/>
  <c r="BA27" i="2" a="1"/>
  <c r="BA27" i="2" s="1"/>
  <c r="BA18" i="2" a="1"/>
  <c r="BA18" i="2" s="1"/>
  <c r="BA33" i="2" a="1"/>
  <c r="BA33" i="2" s="1"/>
  <c r="BA29" i="2" a="1"/>
  <c r="BA29" i="2" s="1"/>
  <c r="BA26" i="2" a="1"/>
  <c r="BA26" i="2" s="1"/>
  <c r="BA34" i="2" a="1"/>
  <c r="BA34" i="2" s="1"/>
  <c r="BA32" i="2" a="1"/>
  <c r="BA32" i="2" s="1"/>
  <c r="BA47" i="2" a="1"/>
  <c r="BA47" i="2" s="1"/>
  <c r="BA37" i="2" a="1"/>
  <c r="BA37" i="2" s="1"/>
  <c r="BA54" i="2" a="1"/>
  <c r="BA54" i="2" s="1"/>
  <c r="BA57" i="2" a="1"/>
  <c r="BA57" i="2" s="1"/>
  <c r="BA28" i="2" a="1"/>
  <c r="BA28" i="2" s="1"/>
  <c r="BA9" i="2" a="1"/>
  <c r="BA9" i="2" s="1"/>
  <c r="BA41" i="2" a="1"/>
  <c r="BA41" i="2" s="1"/>
  <c r="BA46" i="2" a="1"/>
  <c r="BA46" i="2" s="1"/>
  <c r="BA58" i="2" a="1"/>
  <c r="BA58" i="2" s="1"/>
  <c r="BA14" i="2" a="1"/>
  <c r="BA14" i="2" s="1"/>
  <c r="BA7" i="2" a="1"/>
  <c r="BA7" i="2" s="1"/>
  <c r="BA53" i="2" a="1"/>
  <c r="BA53" i="2" s="1"/>
  <c r="BA24" i="2" a="1"/>
  <c r="BA24" i="2" s="1"/>
  <c r="BA11" i="2" a="1"/>
  <c r="BA11" i="2" s="1"/>
  <c r="BA49" i="2" a="1"/>
  <c r="BA49" i="2" s="1"/>
  <c r="BA52" i="2" a="1"/>
  <c r="BA52" i="2" s="1"/>
  <c r="BA62" i="2" a="1"/>
  <c r="BA62" i="2" s="1"/>
  <c r="BA45" i="2" a="1"/>
  <c r="BA45" i="2" s="1"/>
  <c r="BA30" i="2" a="1"/>
  <c r="BA30" i="2" s="1"/>
  <c r="BA40" i="2" a="1"/>
  <c r="BA40" i="2" s="1"/>
  <c r="BA42" i="2" a="1"/>
  <c r="BA42" i="2" s="1"/>
  <c r="BA44" i="2" a="1"/>
  <c r="BA44" i="2" s="1"/>
  <c r="BA43" i="2" a="1"/>
  <c r="BA43" i="2" s="1"/>
  <c r="BA36" i="2" a="1"/>
  <c r="BA36" i="2" s="1"/>
  <c r="BA67" i="2" a="1"/>
  <c r="BA67" i="2" s="1"/>
  <c r="BA64" i="2" a="1"/>
  <c r="BA64" i="2" s="1"/>
  <c r="BA50" i="2" a="1"/>
  <c r="BA50" i="2" s="1"/>
  <c r="BA23" i="2" a="1"/>
  <c r="BA23" i="2" s="1"/>
  <c r="BA20" i="2" a="1"/>
  <c r="BA20" i="2" s="1"/>
  <c r="BA38" i="2" a="1"/>
  <c r="BA38" i="2" s="1"/>
  <c r="BA17" i="2" a="1"/>
  <c r="BA17" i="2" s="1"/>
  <c r="BA16" i="2" a="1"/>
  <c r="BA16" i="2" s="1"/>
  <c r="BA48" i="2" a="1"/>
  <c r="BA48" i="2" s="1"/>
  <c r="BA66" i="2" a="1"/>
  <c r="BA66" i="2" s="1"/>
  <c r="BA70" i="2" a="1"/>
  <c r="BA70" i="2" s="1"/>
  <c r="BA15" i="2" a="1"/>
  <c r="BA15" i="2" s="1"/>
  <c r="BA69" i="2" a="1"/>
  <c r="BA69" i="2" s="1"/>
  <c r="BA73" i="2" a="1"/>
  <c r="BA73" i="2" s="1"/>
  <c r="BA74" i="2" a="1"/>
  <c r="BA74" i="2" s="1"/>
  <c r="BA61" i="2" a="1"/>
  <c r="BA61" i="2" s="1"/>
  <c r="BA77" i="2" a="1"/>
  <c r="BA77" i="2" s="1"/>
  <c r="BA63" i="2" a="1"/>
  <c r="BA63" i="2" s="1"/>
  <c r="BA65" i="2" a="1"/>
  <c r="BA65" i="2" s="1"/>
  <c r="BA72" i="2" a="1"/>
  <c r="BA72" i="2" s="1"/>
  <c r="BA56" i="2" a="1"/>
  <c r="BA56" i="2" s="1"/>
  <c r="BA31" i="2" a="1"/>
  <c r="BA31" i="2" s="1"/>
  <c r="BA78" i="2" a="1"/>
  <c r="BA78" i="2" s="1"/>
  <c r="BA60" i="2" a="1"/>
  <c r="BA60" i="2" s="1"/>
  <c r="BA19" i="2" a="1"/>
  <c r="BA19" i="2" s="1"/>
  <c r="BA68" i="2" a="1"/>
  <c r="BA68" i="2" s="1"/>
  <c r="BA76" i="2" a="1"/>
  <c r="BA76" i="2" s="1"/>
  <c r="BA82" i="2" a="1"/>
  <c r="BA82" i="2" s="1"/>
  <c r="BA35" i="2" a="1"/>
  <c r="BA35" i="2" s="1"/>
  <c r="BA51" i="2" a="1"/>
  <c r="BA51" i="2" s="1"/>
  <c r="BA80" i="2" a="1"/>
  <c r="BA80" i="2" s="1"/>
  <c r="BA81" i="2" a="1"/>
  <c r="BA81" i="2" s="1"/>
  <c r="BA71" i="2" a="1"/>
  <c r="BA71" i="2" s="1"/>
  <c r="BA39" i="2" a="1"/>
  <c r="BA39" i="2" s="1"/>
  <c r="BA55" i="2" a="1"/>
  <c r="BA55" i="2" s="1"/>
  <c r="BA75" i="2" a="1"/>
  <c r="BA75" i="2" s="1"/>
  <c r="BA59" i="2" a="1"/>
  <c r="BA59" i="2" s="1"/>
  <c r="BA79" i="2" a="1"/>
  <c r="BA79" i="2" s="1"/>
  <c r="BB3" i="2" l="1" a="1"/>
  <c r="BB3" i="2" s="1"/>
  <c r="BB4" i="2" a="1"/>
  <c r="BB4" i="2" s="1"/>
  <c r="BB5" i="2" a="1"/>
  <c r="BB5" i="2" s="1"/>
  <c r="BB7" i="2" a="1"/>
  <c r="BB7" i="2" s="1"/>
  <c r="BC2" i="2"/>
  <c r="BB6" i="2" a="1"/>
  <c r="BB6" i="2" s="1"/>
  <c r="BB10" i="2" a="1"/>
  <c r="BB10" i="2" s="1"/>
  <c r="BB12" i="2" a="1"/>
  <c r="BB12" i="2" s="1"/>
  <c r="BB14" i="2" a="1"/>
  <c r="BB14" i="2" s="1"/>
  <c r="BB17" i="2" a="1"/>
  <c r="BB17" i="2" s="1"/>
  <c r="BB18" i="2" a="1"/>
  <c r="BB18" i="2" s="1"/>
  <c r="BB21" i="2" a="1"/>
  <c r="BB21" i="2" s="1"/>
  <c r="BB22" i="2" a="1"/>
  <c r="BB22" i="2" s="1"/>
  <c r="BB16" i="2" a="1"/>
  <c r="BB16" i="2" s="1"/>
  <c r="BB25" i="2" a="1"/>
  <c r="BB25" i="2" s="1"/>
  <c r="BB29" i="2" a="1"/>
  <c r="BB29" i="2" s="1"/>
  <c r="BB34" i="2" a="1"/>
  <c r="BB34" i="2" s="1"/>
  <c r="BB33" i="2" a="1"/>
  <c r="BB33" i="2" s="1"/>
  <c r="BB24" i="2" a="1"/>
  <c r="BB24" i="2" s="1"/>
  <c r="BB26" i="2" a="1"/>
  <c r="BB26" i="2" s="1"/>
  <c r="BB13" i="2" a="1"/>
  <c r="BB13" i="2" s="1"/>
  <c r="BB44" i="2" a="1"/>
  <c r="BB44" i="2" s="1"/>
  <c r="BB49" i="2" a="1"/>
  <c r="BB49" i="2" s="1"/>
  <c r="BB46" i="2" a="1"/>
  <c r="BB46" i="2" s="1"/>
  <c r="BB36" i="2" a="1"/>
  <c r="BB36" i="2" s="1"/>
  <c r="BB11" i="2" a="1"/>
  <c r="BB11" i="2" s="1"/>
  <c r="BB45" i="2" a="1"/>
  <c r="BB45" i="2" s="1"/>
  <c r="BB40" i="2" a="1"/>
  <c r="BB40" i="2" s="1"/>
  <c r="BB50" i="2" a="1"/>
  <c r="BB50" i="2" s="1"/>
  <c r="BB53" i="2" a="1"/>
  <c r="BB53" i="2" s="1"/>
  <c r="BB30" i="2" a="1"/>
  <c r="BB30" i="2" s="1"/>
  <c r="BB54" i="2" a="1"/>
  <c r="BB54" i="2" s="1"/>
  <c r="BB64" i="2" a="1"/>
  <c r="BB64" i="2" s="1"/>
  <c r="BB58" i="2" a="1"/>
  <c r="BB58" i="2" s="1"/>
  <c r="BB28" i="2" a="1"/>
  <c r="BB28" i="2" s="1"/>
  <c r="BB62" i="2" a="1"/>
  <c r="BB62" i="2" s="1"/>
  <c r="BB67" i="2" a="1"/>
  <c r="BB67" i="2" s="1"/>
  <c r="BB42" i="2" a="1"/>
  <c r="BB42" i="2" s="1"/>
  <c r="BB43" i="2" a="1"/>
  <c r="BB43" i="2" s="1"/>
  <c r="BB38" i="2" a="1"/>
  <c r="BB38" i="2" s="1"/>
  <c r="BB52" i="2" a="1"/>
  <c r="BB52" i="2" s="1"/>
  <c r="BB37" i="2" a="1"/>
  <c r="BB37" i="2" s="1"/>
  <c r="BB47" i="2" a="1"/>
  <c r="BB47" i="2" s="1"/>
  <c r="BB41" i="2" a="1"/>
  <c r="BB41" i="2" s="1"/>
  <c r="BB20" i="2" a="1"/>
  <c r="BB20" i="2" s="1"/>
  <c r="BB32" i="2" a="1"/>
  <c r="BB32" i="2" s="1"/>
  <c r="BB9" i="2" a="1"/>
  <c r="BB9" i="2" s="1"/>
  <c r="BB60" i="2" a="1"/>
  <c r="BB60" i="2" s="1"/>
  <c r="BB69" i="2" a="1"/>
  <c r="BB69" i="2" s="1"/>
  <c r="BB57" i="2" a="1"/>
  <c r="BB57" i="2" s="1"/>
  <c r="BB27" i="2" a="1"/>
  <c r="BB27" i="2" s="1"/>
  <c r="BB23" i="2" a="1"/>
  <c r="BB23" i="2" s="1"/>
  <c r="BB8" i="2" a="1"/>
  <c r="BB8" i="2" s="1"/>
  <c r="BB56" i="2" a="1"/>
  <c r="BB56" i="2" s="1"/>
  <c r="BB61" i="2" a="1"/>
  <c r="BB61" i="2" s="1"/>
  <c r="BB74" i="2" a="1"/>
  <c r="BB74" i="2" s="1"/>
  <c r="BB80" i="2" a="1"/>
  <c r="BB80" i="2" s="1"/>
  <c r="BB48" i="2" a="1"/>
  <c r="BB48" i="2" s="1"/>
  <c r="BB70" i="2" a="1"/>
  <c r="BB70" i="2" s="1"/>
  <c r="BB65" i="2" a="1"/>
  <c r="BB65" i="2" s="1"/>
  <c r="BB81" i="2" a="1"/>
  <c r="BB81" i="2" s="1"/>
  <c r="BB15" i="2" a="1"/>
  <c r="BB15" i="2" s="1"/>
  <c r="BB72" i="2" a="1"/>
  <c r="BB72" i="2" s="1"/>
  <c r="BB66" i="2" a="1"/>
  <c r="BB66" i="2" s="1"/>
  <c r="BB73" i="2" a="1"/>
  <c r="BB73" i="2" s="1"/>
  <c r="BB82" i="2" a="1"/>
  <c r="BB82" i="2" s="1"/>
  <c r="BB31" i="2" a="1"/>
  <c r="BB31" i="2" s="1"/>
  <c r="BB63" i="2" a="1"/>
  <c r="BB63" i="2" s="1"/>
  <c r="BB76" i="2" a="1"/>
  <c r="BB76" i="2" s="1"/>
  <c r="BB51" i="2" a="1"/>
  <c r="BB51" i="2" s="1"/>
  <c r="BB77" i="2" a="1"/>
  <c r="BB77" i="2" s="1"/>
  <c r="BB19" i="2" a="1"/>
  <c r="BB19" i="2" s="1"/>
  <c r="BB68" i="2" a="1"/>
  <c r="BB68" i="2" s="1"/>
  <c r="BB35" i="2" a="1"/>
  <c r="BB35" i="2" s="1"/>
  <c r="BB78" i="2" a="1"/>
  <c r="BB78" i="2" s="1"/>
  <c r="BB71" i="2" a="1"/>
  <c r="BB71" i="2" s="1"/>
  <c r="BB39" i="2" a="1"/>
  <c r="BB39" i="2" s="1"/>
  <c r="BB55" i="2" a="1"/>
  <c r="BB55" i="2" s="1"/>
  <c r="BB59" i="2" a="1"/>
  <c r="BB59" i="2" s="1"/>
  <c r="BB75" i="2" a="1"/>
  <c r="BB75" i="2" s="1"/>
  <c r="BB79" i="2" a="1"/>
  <c r="BB79" i="2" s="1"/>
  <c r="BD2" i="2" l="1"/>
  <c r="BC4" i="2" a="1"/>
  <c r="BC4" i="2" s="1"/>
  <c r="BC5" i="2" a="1"/>
  <c r="BC5" i="2" s="1"/>
  <c r="BC6" i="2" a="1"/>
  <c r="BC6" i="2" s="1"/>
  <c r="BC10" i="2" a="1"/>
  <c r="BC10" i="2" s="1"/>
  <c r="BC3" i="2" a="1"/>
  <c r="BC3" i="2" s="1"/>
  <c r="BC14" i="2" a="1"/>
  <c r="BC14" i="2" s="1"/>
  <c r="BC12" i="2" a="1"/>
  <c r="BC12" i="2" s="1"/>
  <c r="BC13" i="2" a="1"/>
  <c r="BC13" i="2" s="1"/>
  <c r="BC17" i="2" a="1"/>
  <c r="BC17" i="2" s="1"/>
  <c r="BC22" i="2" a="1"/>
  <c r="BC22" i="2" s="1"/>
  <c r="BC25" i="2" a="1"/>
  <c r="BC25" i="2" s="1"/>
  <c r="BC16" i="2" a="1"/>
  <c r="BC16" i="2" s="1"/>
  <c r="BC26" i="2" a="1"/>
  <c r="BC26" i="2" s="1"/>
  <c r="BC27" i="2" a="1"/>
  <c r="BC27" i="2" s="1"/>
  <c r="BC29" i="2" a="1"/>
  <c r="BC29" i="2" s="1"/>
  <c r="BC54" i="2" a="1"/>
  <c r="BC54" i="2" s="1"/>
  <c r="BC41" i="2" a="1"/>
  <c r="BC41" i="2" s="1"/>
  <c r="BC40" i="2" a="1"/>
  <c r="BC40" i="2" s="1"/>
  <c r="BC49" i="2" a="1"/>
  <c r="BC49" i="2" s="1"/>
  <c r="BC37" i="2" a="1"/>
  <c r="BC37" i="2" s="1"/>
  <c r="BC43" i="2" a="1"/>
  <c r="BC43" i="2" s="1"/>
  <c r="BC42" i="2" a="1"/>
  <c r="BC42" i="2" s="1"/>
  <c r="BC70" i="2" a="1"/>
  <c r="BC70" i="2" s="1"/>
  <c r="BC63" i="2" a="1"/>
  <c r="BC63" i="2" s="1"/>
  <c r="BC21" i="2" a="1"/>
  <c r="BC21" i="2" s="1"/>
  <c r="BC44" i="2" a="1"/>
  <c r="BC44" i="2" s="1"/>
  <c r="BC60" i="2" a="1"/>
  <c r="BC60" i="2" s="1"/>
  <c r="BC50" i="2" a="1"/>
  <c r="BC50" i="2" s="1"/>
  <c r="BC32" i="2" a="1"/>
  <c r="BC32" i="2" s="1"/>
  <c r="BC34" i="2" a="1"/>
  <c r="BC34" i="2" s="1"/>
  <c r="BC23" i="2" a="1"/>
  <c r="BC23" i="2" s="1"/>
  <c r="BC9" i="2" a="1"/>
  <c r="BC9" i="2" s="1"/>
  <c r="BC47" i="2" a="1"/>
  <c r="BC47" i="2" s="1"/>
  <c r="BC69" i="2" a="1"/>
  <c r="BC69" i="2" s="1"/>
  <c r="BC66" i="2" a="1"/>
  <c r="BC66" i="2" s="1"/>
  <c r="BC11" i="2" a="1"/>
  <c r="BC11" i="2" s="1"/>
  <c r="BC52" i="2" a="1"/>
  <c r="BC52" i="2" s="1"/>
  <c r="BC57" i="2" a="1"/>
  <c r="BC57" i="2" s="1"/>
  <c r="BC61" i="2" a="1"/>
  <c r="BC61" i="2" s="1"/>
  <c r="BC30" i="2" a="1"/>
  <c r="BC30" i="2" s="1"/>
  <c r="BC24" i="2" a="1"/>
  <c r="BC24" i="2" s="1"/>
  <c r="BC18" i="2" a="1"/>
  <c r="BC18" i="2" s="1"/>
  <c r="BC53" i="2" a="1"/>
  <c r="BC53" i="2" s="1"/>
  <c r="BC38" i="2" a="1"/>
  <c r="BC38" i="2" s="1"/>
  <c r="BC20" i="2" a="1"/>
  <c r="BC20" i="2" s="1"/>
  <c r="BC45" i="2" a="1"/>
  <c r="BC45" i="2" s="1"/>
  <c r="BC46" i="2" a="1"/>
  <c r="BC46" i="2" s="1"/>
  <c r="BC28" i="2" a="1"/>
  <c r="BC28" i="2" s="1"/>
  <c r="BC36" i="2" a="1"/>
  <c r="BC36" i="2" s="1"/>
  <c r="BC64" i="2" a="1"/>
  <c r="BC64" i="2" s="1"/>
  <c r="BC7" i="2" a="1"/>
  <c r="BC7" i="2" s="1"/>
  <c r="BC72" i="2" a="1"/>
  <c r="BC72" i="2" s="1"/>
  <c r="BC33" i="2" a="1"/>
  <c r="BC33" i="2" s="1"/>
  <c r="BC8" i="2" a="1"/>
  <c r="BC8" i="2" s="1"/>
  <c r="BC74" i="2" a="1"/>
  <c r="BC74" i="2" s="1"/>
  <c r="BC67" i="2" a="1"/>
  <c r="BC67" i="2" s="1"/>
  <c r="BC77" i="2" a="1"/>
  <c r="BC77" i="2" s="1"/>
  <c r="BC31" i="2" a="1"/>
  <c r="BC31" i="2" s="1"/>
  <c r="BC48" i="2" a="1"/>
  <c r="BC48" i="2" s="1"/>
  <c r="BC73" i="2" a="1"/>
  <c r="BC73" i="2" s="1"/>
  <c r="BC15" i="2" a="1"/>
  <c r="BC15" i="2" s="1"/>
  <c r="BC56" i="2" a="1"/>
  <c r="BC56" i="2" s="1"/>
  <c r="BC62" i="2" a="1"/>
  <c r="BC62" i="2" s="1"/>
  <c r="BC58" i="2" a="1"/>
  <c r="BC58" i="2" s="1"/>
  <c r="BC65" i="2" a="1"/>
  <c r="BC65" i="2" s="1"/>
  <c r="BC81" i="2" a="1"/>
  <c r="BC81" i="2" s="1"/>
  <c r="BC80" i="2" a="1"/>
  <c r="BC80" i="2" s="1"/>
  <c r="BC76" i="2" a="1"/>
  <c r="BC76" i="2" s="1"/>
  <c r="BC35" i="2" a="1"/>
  <c r="BC35" i="2" s="1"/>
  <c r="BC51" i="2" a="1"/>
  <c r="BC51" i="2" s="1"/>
  <c r="BC78" i="2" a="1"/>
  <c r="BC78" i="2" s="1"/>
  <c r="BC82" i="2" a="1"/>
  <c r="BC82" i="2" s="1"/>
  <c r="BC19" i="2" a="1"/>
  <c r="BC19" i="2" s="1"/>
  <c r="BC68" i="2" a="1"/>
  <c r="BC68" i="2" s="1"/>
  <c r="BC39" i="2" a="1"/>
  <c r="BC39" i="2" s="1"/>
  <c r="BC55" i="2" a="1"/>
  <c r="BC55" i="2" s="1"/>
  <c r="BC71" i="2" a="1"/>
  <c r="BC71" i="2" s="1"/>
  <c r="BC75" i="2" a="1"/>
  <c r="BC75" i="2" s="1"/>
  <c r="BC59" i="2" a="1"/>
  <c r="BC59" i="2" s="1"/>
  <c r="BC79" i="2" a="1"/>
  <c r="BC79" i="2" s="1"/>
  <c r="BE2" i="2" l="1"/>
  <c r="BD3" i="2" a="1"/>
  <c r="BD3" i="2" s="1"/>
  <c r="BD4" i="2" a="1"/>
  <c r="BD4" i="2" s="1"/>
  <c r="BD5" i="2" a="1"/>
  <c r="BD5" i="2" s="1"/>
  <c r="BD7" i="2" a="1"/>
  <c r="BD7" i="2" s="1"/>
  <c r="BD10" i="2" a="1"/>
  <c r="BD10" i="2" s="1"/>
  <c r="BD8" i="2" a="1"/>
  <c r="BD8" i="2" s="1"/>
  <c r="BD14" i="2" a="1"/>
  <c r="BD14" i="2" s="1"/>
  <c r="BD6" i="2" a="1"/>
  <c r="BD6" i="2" s="1"/>
  <c r="BD12" i="2" a="1"/>
  <c r="BD12" i="2" s="1"/>
  <c r="BD17" i="2" a="1"/>
  <c r="BD17" i="2" s="1"/>
  <c r="BD21" i="2" a="1"/>
  <c r="BD21" i="2" s="1"/>
  <c r="BD25" i="2" a="1"/>
  <c r="BD25" i="2" s="1"/>
  <c r="BD16" i="2" a="1"/>
  <c r="BD16" i="2" s="1"/>
  <c r="BD23" i="2" a="1"/>
  <c r="BD23" i="2" s="1"/>
  <c r="BD22" i="2" a="1"/>
  <c r="BD22" i="2" s="1"/>
  <c r="BD27" i="2" a="1"/>
  <c r="BD27" i="2" s="1"/>
  <c r="BD33" i="2" a="1"/>
  <c r="BD33" i="2" s="1"/>
  <c r="BD29" i="2" a="1"/>
  <c r="BD29" i="2" s="1"/>
  <c r="BD32" i="2" a="1"/>
  <c r="BD32" i="2" s="1"/>
  <c r="BD34" i="2" a="1"/>
  <c r="BD34" i="2" s="1"/>
  <c r="BD47" i="2" a="1"/>
  <c r="BD47" i="2" s="1"/>
  <c r="BD41" i="2" a="1"/>
  <c r="BD41" i="2" s="1"/>
  <c r="BD37" i="2" a="1"/>
  <c r="BD37" i="2" s="1"/>
  <c r="BD30" i="2" a="1"/>
  <c r="BD30" i="2" s="1"/>
  <c r="BD13" i="2" a="1"/>
  <c r="BD13" i="2" s="1"/>
  <c r="BD11" i="2" a="1"/>
  <c r="BD11" i="2" s="1"/>
  <c r="BD40" i="2" a="1"/>
  <c r="BD40" i="2" s="1"/>
  <c r="BD61" i="2" a="1"/>
  <c r="BD61" i="2" s="1"/>
  <c r="BD26" i="2" a="1"/>
  <c r="BD26" i="2" s="1"/>
  <c r="BD9" i="2" a="1"/>
  <c r="BD9" i="2" s="1"/>
  <c r="BD42" i="2" a="1"/>
  <c r="BD42" i="2" s="1"/>
  <c r="BD44" i="2" a="1"/>
  <c r="BD44" i="2" s="1"/>
  <c r="BD38" i="2" a="1"/>
  <c r="BD38" i="2" s="1"/>
  <c r="BD28" i="2" a="1"/>
  <c r="BD28" i="2" s="1"/>
  <c r="BD53" i="2" a="1"/>
  <c r="BD53" i="2" s="1"/>
  <c r="BD45" i="2" a="1"/>
  <c r="BD45" i="2" s="1"/>
  <c r="BD72" i="2" a="1"/>
  <c r="BD72" i="2" s="1"/>
  <c r="BD56" i="2" a="1"/>
  <c r="BD56" i="2" s="1"/>
  <c r="BD70" i="2" a="1"/>
  <c r="BD70" i="2" s="1"/>
  <c r="BD60" i="2" a="1"/>
  <c r="BD60" i="2" s="1"/>
  <c r="BD52" i="2" a="1"/>
  <c r="BD52" i="2" s="1"/>
  <c r="BD18" i="2" a="1"/>
  <c r="BD18" i="2" s="1"/>
  <c r="BD54" i="2" a="1"/>
  <c r="BD54" i="2" s="1"/>
  <c r="BD73" i="2" a="1"/>
  <c r="BD73" i="2" s="1"/>
  <c r="BD46" i="2" a="1"/>
  <c r="BD46" i="2" s="1"/>
  <c r="BD57" i="2" a="1"/>
  <c r="BD57" i="2" s="1"/>
  <c r="BD20" i="2" a="1"/>
  <c r="BD20" i="2" s="1"/>
  <c r="BD36" i="2" a="1"/>
  <c r="BD36" i="2" s="1"/>
  <c r="BD50" i="2" a="1"/>
  <c r="BD50" i="2" s="1"/>
  <c r="BD24" i="2" a="1"/>
  <c r="BD24" i="2" s="1"/>
  <c r="BD49" i="2" a="1"/>
  <c r="BD49" i="2" s="1"/>
  <c r="BD63" i="2" a="1"/>
  <c r="BD63" i="2" s="1"/>
  <c r="BD43" i="2" a="1"/>
  <c r="BD43" i="2" s="1"/>
  <c r="BD69" i="2" a="1"/>
  <c r="BD69" i="2" s="1"/>
  <c r="BD67" i="2" a="1"/>
  <c r="BD67" i="2" s="1"/>
  <c r="BD58" i="2" a="1"/>
  <c r="BD58" i="2" s="1"/>
  <c r="BD66" i="2" a="1"/>
  <c r="BD66" i="2" s="1"/>
  <c r="BD64" i="2" a="1"/>
  <c r="BD64" i="2" s="1"/>
  <c r="BD15" i="2" a="1"/>
  <c r="BD15" i="2" s="1"/>
  <c r="BD31" i="2" a="1"/>
  <c r="BD31" i="2" s="1"/>
  <c r="BD48" i="2" a="1"/>
  <c r="BD48" i="2" s="1"/>
  <c r="BD62" i="2" a="1"/>
  <c r="BD62" i="2" s="1"/>
  <c r="BD65" i="2" a="1"/>
  <c r="BD65" i="2" s="1"/>
  <c r="BD74" i="2" a="1"/>
  <c r="BD74" i="2" s="1"/>
  <c r="BD77" i="2" a="1"/>
  <c r="BD77" i="2" s="1"/>
  <c r="BD19" i="2" a="1"/>
  <c r="BD19" i="2" s="1"/>
  <c r="BD35" i="2" a="1"/>
  <c r="BD35" i="2" s="1"/>
  <c r="BD68" i="2" a="1"/>
  <c r="BD68" i="2" s="1"/>
  <c r="BD78" i="2" a="1"/>
  <c r="BD78" i="2" s="1"/>
  <c r="BD76" i="2" a="1"/>
  <c r="BD76" i="2" s="1"/>
  <c r="BD51" i="2" a="1"/>
  <c r="BD51" i="2" s="1"/>
  <c r="BD81" i="2" a="1"/>
  <c r="BD81" i="2" s="1"/>
  <c r="BD82" i="2" a="1"/>
  <c r="BD82" i="2" s="1"/>
  <c r="BD80" i="2" a="1"/>
  <c r="BD80" i="2" s="1"/>
  <c r="BD55" i="2" a="1"/>
  <c r="BD55" i="2" s="1"/>
  <c r="BD39" i="2" a="1"/>
  <c r="BD39" i="2" s="1"/>
  <c r="BD71" i="2" a="1"/>
  <c r="BD71" i="2" s="1"/>
  <c r="BD75" i="2" a="1"/>
  <c r="BD75" i="2" s="1"/>
  <c r="BD59" i="2" a="1"/>
  <c r="BD59" i="2" s="1"/>
  <c r="BD79" i="2" a="1"/>
  <c r="BD79" i="2" s="1"/>
  <c r="BE3" i="2" l="1" a="1"/>
  <c r="BE3" i="2" s="1"/>
  <c r="BE4" i="2" a="1"/>
  <c r="BE4" i="2" s="1"/>
  <c r="BF2" i="2"/>
  <c r="BE6" i="2" a="1"/>
  <c r="BE6" i="2" s="1"/>
  <c r="BE8" i="2" a="1"/>
  <c r="BE8" i="2" s="1"/>
  <c r="BE12" i="2" a="1"/>
  <c r="BE12" i="2" s="1"/>
  <c r="BE5" i="2" a="1"/>
  <c r="BE5" i="2" s="1"/>
  <c r="BE10" i="2" a="1"/>
  <c r="BE10" i="2" s="1"/>
  <c r="BE13" i="2" a="1"/>
  <c r="BE13" i="2" s="1"/>
  <c r="BE22" i="2" a="1"/>
  <c r="BE22" i="2" s="1"/>
  <c r="BE21" i="2" a="1"/>
  <c r="BE21" i="2" s="1"/>
  <c r="BE25" i="2" a="1"/>
  <c r="BE25" i="2" s="1"/>
  <c r="BE29" i="2" a="1"/>
  <c r="BE29" i="2" s="1"/>
  <c r="BE27" i="2" a="1"/>
  <c r="BE27" i="2" s="1"/>
  <c r="BE18" i="2" a="1"/>
  <c r="BE18" i="2" s="1"/>
  <c r="BE32" i="2" a="1"/>
  <c r="BE32" i="2" s="1"/>
  <c r="BE33" i="2" a="1"/>
  <c r="BE33" i="2" s="1"/>
  <c r="BE53" i="2" a="1"/>
  <c r="BE53" i="2" s="1"/>
  <c r="BE49" i="2" a="1"/>
  <c r="BE49" i="2" s="1"/>
  <c r="BE34" i="2" a="1"/>
  <c r="BE34" i="2" s="1"/>
  <c r="BE37" i="2" a="1"/>
  <c r="BE37" i="2" s="1"/>
  <c r="BE52" i="2" a="1"/>
  <c r="BE52" i="2" s="1"/>
  <c r="BE60" i="2" a="1"/>
  <c r="BE60" i="2" s="1"/>
  <c r="BE20" i="2" a="1"/>
  <c r="BE20" i="2" s="1"/>
  <c r="BE23" i="2" a="1"/>
  <c r="BE23" i="2" s="1"/>
  <c r="BE9" i="2" a="1"/>
  <c r="BE9" i="2" s="1"/>
  <c r="BE41" i="2" a="1"/>
  <c r="BE41" i="2" s="1"/>
  <c r="BE43" i="2" a="1"/>
  <c r="BE43" i="2" s="1"/>
  <c r="BE17" i="2" a="1"/>
  <c r="BE17" i="2" s="1"/>
  <c r="BE14" i="2" a="1"/>
  <c r="BE14" i="2" s="1"/>
  <c r="BE28" i="2" a="1"/>
  <c r="BE28" i="2" s="1"/>
  <c r="BE47" i="2" a="1"/>
  <c r="BE47" i="2" s="1"/>
  <c r="BE56" i="2" a="1"/>
  <c r="BE56" i="2" s="1"/>
  <c r="BE11" i="2" a="1"/>
  <c r="BE11" i="2" s="1"/>
  <c r="BE65" i="2" a="1"/>
  <c r="BE65" i="2" s="1"/>
  <c r="BE38" i="2" a="1"/>
  <c r="BE38" i="2" s="1"/>
  <c r="BE36" i="2" a="1"/>
  <c r="BE36" i="2" s="1"/>
  <c r="BE46" i="2" a="1"/>
  <c r="BE46" i="2" s="1"/>
  <c r="BE45" i="2" a="1"/>
  <c r="BE45" i="2" s="1"/>
  <c r="BE54" i="2" a="1"/>
  <c r="BE54" i="2" s="1"/>
  <c r="BE30" i="2" a="1"/>
  <c r="BE30" i="2" s="1"/>
  <c r="BE40" i="2" a="1"/>
  <c r="BE40" i="2" s="1"/>
  <c r="BE42" i="2" a="1"/>
  <c r="BE42" i="2" s="1"/>
  <c r="BE24" i="2" a="1"/>
  <c r="BE24" i="2" s="1"/>
  <c r="BE16" i="2" a="1"/>
  <c r="BE16" i="2" s="1"/>
  <c r="BE62" i="2" a="1"/>
  <c r="BE62" i="2" s="1"/>
  <c r="BE73" i="2" a="1"/>
  <c r="BE73" i="2" s="1"/>
  <c r="BE26" i="2" a="1"/>
  <c r="BE26" i="2" s="1"/>
  <c r="BE50" i="2" a="1"/>
  <c r="BE50" i="2" s="1"/>
  <c r="BE7" i="2" a="1"/>
  <c r="BE7" i="2" s="1"/>
  <c r="BE67" i="2" a="1"/>
  <c r="BE67" i="2" s="1"/>
  <c r="BE44" i="2" a="1"/>
  <c r="BE44" i="2" s="1"/>
  <c r="BE58" i="2" a="1"/>
  <c r="BE58" i="2" s="1"/>
  <c r="BE81" i="2" a="1"/>
  <c r="BE81" i="2" s="1"/>
  <c r="BE48" i="2" a="1"/>
  <c r="BE48" i="2" s="1"/>
  <c r="BE31" i="2" a="1"/>
  <c r="BE31" i="2" s="1"/>
  <c r="BE72" i="2" a="1"/>
  <c r="BE72" i="2" s="1"/>
  <c r="BE64" i="2" a="1"/>
  <c r="BE64" i="2" s="1"/>
  <c r="BE61" i="2" a="1"/>
  <c r="BE61" i="2" s="1"/>
  <c r="BE77" i="2" a="1"/>
  <c r="BE77" i="2" s="1"/>
  <c r="BE66" i="2" a="1"/>
  <c r="BE66" i="2" s="1"/>
  <c r="BE69" i="2" a="1"/>
  <c r="BE69" i="2" s="1"/>
  <c r="BE63" i="2" a="1"/>
  <c r="BE63" i="2" s="1"/>
  <c r="BE57" i="2" a="1"/>
  <c r="BE57" i="2" s="1"/>
  <c r="BE78" i="2" a="1"/>
  <c r="BE78" i="2" s="1"/>
  <c r="BE80" i="2" a="1"/>
  <c r="BE80" i="2" s="1"/>
  <c r="BE74" i="2" a="1"/>
  <c r="BE74" i="2" s="1"/>
  <c r="BE76" i="2" a="1"/>
  <c r="BE76" i="2" s="1"/>
  <c r="BE15" i="2" a="1"/>
  <c r="BE15" i="2" s="1"/>
  <c r="BE70" i="2" a="1"/>
  <c r="BE70" i="2" s="1"/>
  <c r="BE68" i="2" a="1"/>
  <c r="BE68" i="2" s="1"/>
  <c r="BE35" i="2" a="1"/>
  <c r="BE35" i="2" s="1"/>
  <c r="BE19" i="2" a="1"/>
  <c r="BE19" i="2" s="1"/>
  <c r="BE82" i="2" a="1"/>
  <c r="BE82" i="2" s="1"/>
  <c r="BE51" i="2" a="1"/>
  <c r="BE51" i="2" s="1"/>
  <c r="BE55" i="2" a="1"/>
  <c r="BE55" i="2" s="1"/>
  <c r="BE39" i="2" a="1"/>
  <c r="BE39" i="2" s="1"/>
  <c r="BE71" i="2" a="1"/>
  <c r="BE71" i="2" s="1"/>
  <c r="BE59" i="2" a="1"/>
  <c r="BE59" i="2" s="1"/>
  <c r="BE75" i="2" a="1"/>
  <c r="BE75" i="2" s="1"/>
  <c r="BE79" i="2" a="1"/>
  <c r="BE79" i="2" s="1"/>
  <c r="BF3" i="2" l="1" a="1"/>
  <c r="BF3" i="2" s="1"/>
  <c r="BF4" i="2" a="1"/>
  <c r="BF4" i="2" s="1"/>
  <c r="BF5" i="2" a="1"/>
  <c r="BF5" i="2" s="1"/>
  <c r="BF7" i="2" a="1"/>
  <c r="BF7" i="2" s="1"/>
  <c r="BF8" i="2" a="1"/>
  <c r="BF8" i="2" s="1"/>
  <c r="BF6" i="2" a="1"/>
  <c r="BF6" i="2" s="1"/>
  <c r="BF12" i="2" a="1"/>
  <c r="BF12" i="2" s="1"/>
  <c r="BG2" i="2"/>
  <c r="BF13" i="2" a="1"/>
  <c r="BF13" i="2" s="1"/>
  <c r="BF14" i="2" a="1"/>
  <c r="BF14" i="2" s="1"/>
  <c r="BF17" i="2" a="1"/>
  <c r="BF17" i="2" s="1"/>
  <c r="BF10" i="2" a="1"/>
  <c r="BF10" i="2" s="1"/>
  <c r="BF16" i="2" a="1"/>
  <c r="BF16" i="2" s="1"/>
  <c r="BF21" i="2" a="1"/>
  <c r="BF21" i="2" s="1"/>
  <c r="BF22" i="2" a="1"/>
  <c r="BF22" i="2" s="1"/>
  <c r="BF26" i="2" a="1"/>
  <c r="BF26" i="2" s="1"/>
  <c r="BF27" i="2" a="1"/>
  <c r="BF27" i="2" s="1"/>
  <c r="BF29" i="2" a="1"/>
  <c r="BF29" i="2" s="1"/>
  <c r="BF20" i="2" a="1"/>
  <c r="BF20" i="2" s="1"/>
  <c r="BF25" i="2" a="1"/>
  <c r="BF25" i="2" s="1"/>
  <c r="BF32" i="2" a="1"/>
  <c r="BF32" i="2" s="1"/>
  <c r="BF18" i="2" a="1"/>
  <c r="BF18" i="2" s="1"/>
  <c r="BF33" i="2" a="1"/>
  <c r="BF33" i="2" s="1"/>
  <c r="BF34" i="2" a="1"/>
  <c r="BF34" i="2" s="1"/>
  <c r="BF45" i="2" a="1"/>
  <c r="BF45" i="2" s="1"/>
  <c r="BF47" i="2" a="1"/>
  <c r="BF47" i="2" s="1"/>
  <c r="BF49" i="2" a="1"/>
  <c r="BF49" i="2" s="1"/>
  <c r="BF40" i="2" a="1"/>
  <c r="BF40" i="2" s="1"/>
  <c r="BF41" i="2" a="1"/>
  <c r="BF41" i="2" s="1"/>
  <c r="BF43" i="2" a="1"/>
  <c r="BF43" i="2" s="1"/>
  <c r="BF69" i="2" a="1"/>
  <c r="BF69" i="2" s="1"/>
  <c r="BF58" i="2" a="1"/>
  <c r="BF58" i="2" s="1"/>
  <c r="BF37" i="2" a="1"/>
  <c r="BF37" i="2" s="1"/>
  <c r="BF54" i="2" a="1"/>
  <c r="BF54" i="2" s="1"/>
  <c r="BF42" i="2" a="1"/>
  <c r="BF42" i="2" s="1"/>
  <c r="BF46" i="2" a="1"/>
  <c r="BF46" i="2" s="1"/>
  <c r="BF67" i="2" a="1"/>
  <c r="BF67" i="2" s="1"/>
  <c r="BF62" i="2" a="1"/>
  <c r="BF62" i="2" s="1"/>
  <c r="BF64" i="2" a="1"/>
  <c r="BF64" i="2" s="1"/>
  <c r="BF38" i="2" a="1"/>
  <c r="BF38" i="2" s="1"/>
  <c r="BF36" i="2" a="1"/>
  <c r="BF36" i="2" s="1"/>
  <c r="BF52" i="2" a="1"/>
  <c r="BF52" i="2" s="1"/>
  <c r="BF53" i="2" a="1"/>
  <c r="BF53" i="2" s="1"/>
  <c r="BF28" i="2" a="1"/>
  <c r="BF28" i="2" s="1"/>
  <c r="BF9" i="2" a="1"/>
  <c r="BF9" i="2" s="1"/>
  <c r="BF11" i="2" a="1"/>
  <c r="BF11" i="2" s="1"/>
  <c r="BF57" i="2" a="1"/>
  <c r="BF57" i="2" s="1"/>
  <c r="BF50" i="2" a="1"/>
  <c r="BF50" i="2" s="1"/>
  <c r="BF30" i="2" a="1"/>
  <c r="BF30" i="2" s="1"/>
  <c r="BF60" i="2" a="1"/>
  <c r="BF60" i="2" s="1"/>
  <c r="BF61" i="2" a="1"/>
  <c r="BF61" i="2" s="1"/>
  <c r="BF24" i="2" a="1"/>
  <c r="BF24" i="2" s="1"/>
  <c r="BF56" i="2" a="1"/>
  <c r="BF56" i="2" s="1"/>
  <c r="BF44" i="2" a="1"/>
  <c r="BF44" i="2" s="1"/>
  <c r="BF23" i="2" a="1"/>
  <c r="BF23" i="2" s="1"/>
  <c r="BF73" i="2" a="1"/>
  <c r="BF73" i="2" s="1"/>
  <c r="BF80" i="2" a="1"/>
  <c r="BF80" i="2" s="1"/>
  <c r="BF15" i="2" a="1"/>
  <c r="BF15" i="2" s="1"/>
  <c r="BF48" i="2" a="1"/>
  <c r="BF48" i="2" s="1"/>
  <c r="BF66" i="2" a="1"/>
  <c r="BF66" i="2" s="1"/>
  <c r="BF31" i="2" a="1"/>
  <c r="BF31" i="2" s="1"/>
  <c r="BF63" i="2" a="1"/>
  <c r="BF63" i="2" s="1"/>
  <c r="BF78" i="2" a="1"/>
  <c r="BF78" i="2" s="1"/>
  <c r="BF65" i="2" a="1"/>
  <c r="BF65" i="2" s="1"/>
  <c r="BF70" i="2" a="1"/>
  <c r="BF70" i="2" s="1"/>
  <c r="BF72" i="2" a="1"/>
  <c r="BF72" i="2" s="1"/>
  <c r="BF77" i="2" a="1"/>
  <c r="BF77" i="2" s="1"/>
  <c r="BF81" i="2" a="1"/>
  <c r="BF81" i="2" s="1"/>
  <c r="BF74" i="2" a="1"/>
  <c r="BF74" i="2" s="1"/>
  <c r="BF82" i="2" a="1"/>
  <c r="BF82" i="2" s="1"/>
  <c r="BF51" i="2" a="1"/>
  <c r="BF51" i="2" s="1"/>
  <c r="BF76" i="2" a="1"/>
  <c r="BF76" i="2" s="1"/>
  <c r="BF19" i="2" a="1"/>
  <c r="BF19" i="2" s="1"/>
  <c r="BF35" i="2" a="1"/>
  <c r="BF35" i="2" s="1"/>
  <c r="BF68" i="2" a="1"/>
  <c r="BF68" i="2" s="1"/>
  <c r="BF39" i="2" a="1"/>
  <c r="BF39" i="2" s="1"/>
  <c r="BF71" i="2" a="1"/>
  <c r="BF71" i="2" s="1"/>
  <c r="BF55" i="2" a="1"/>
  <c r="BF55" i="2" s="1"/>
  <c r="BF59" i="2" a="1"/>
  <c r="BF59" i="2" s="1"/>
  <c r="BF75" i="2" a="1"/>
  <c r="BF75" i="2" s="1"/>
  <c r="BF79" i="2" a="1"/>
  <c r="BF79" i="2" s="1"/>
  <c r="BG5" i="2" l="1" a="1"/>
  <c r="BG5" i="2" s="1"/>
  <c r="BG3" i="2" a="1"/>
  <c r="BG3" i="2" s="1"/>
  <c r="BG4" i="2" a="1"/>
  <c r="BG4" i="2" s="1"/>
  <c r="BG8" i="2" a="1"/>
  <c r="BG8" i="2" s="1"/>
  <c r="BG6" i="2" a="1"/>
  <c r="BG6" i="2" s="1"/>
  <c r="BG10" i="2" a="1"/>
  <c r="BG10" i="2" s="1"/>
  <c r="BH2" i="2"/>
  <c r="BG12" i="2" a="1"/>
  <c r="BG12" i="2" s="1"/>
  <c r="BG9" i="2" a="1"/>
  <c r="BG9" i="2" s="1"/>
  <c r="BG17" i="2" a="1"/>
  <c r="BG17" i="2" s="1"/>
  <c r="BG14" i="2" a="1"/>
  <c r="BG14" i="2" s="1"/>
  <c r="BG13" i="2" a="1"/>
  <c r="BG13" i="2" s="1"/>
  <c r="BG18" i="2" a="1"/>
  <c r="BG18" i="2" s="1"/>
  <c r="BG16" i="2" a="1"/>
  <c r="BG16" i="2" s="1"/>
  <c r="BG22" i="2" a="1"/>
  <c r="BG22" i="2" s="1"/>
  <c r="BG23" i="2" a="1"/>
  <c r="BG23" i="2" s="1"/>
  <c r="BG25" i="2" a="1"/>
  <c r="BG25" i="2" s="1"/>
  <c r="BG26" i="2" a="1"/>
  <c r="BG26" i="2" s="1"/>
  <c r="BG32" i="2" a="1"/>
  <c r="BG32" i="2" s="1"/>
  <c r="BG33" i="2" a="1"/>
  <c r="BG33" i="2" s="1"/>
  <c r="BG34" i="2" a="1"/>
  <c r="BG34" i="2" s="1"/>
  <c r="BG29" i="2" a="1"/>
  <c r="BG29" i="2" s="1"/>
  <c r="BG21" i="2" a="1"/>
  <c r="BG21" i="2" s="1"/>
  <c r="BG30" i="2" a="1"/>
  <c r="BG30" i="2" s="1"/>
  <c r="BG52" i="2" a="1"/>
  <c r="BG52" i="2" s="1"/>
  <c r="BG42" i="2" a="1"/>
  <c r="BG42" i="2" s="1"/>
  <c r="BG54" i="2" a="1"/>
  <c r="BG54" i="2" s="1"/>
  <c r="BG28" i="2" a="1"/>
  <c r="BG28" i="2" s="1"/>
  <c r="BG38" i="2" a="1"/>
  <c r="BG38" i="2" s="1"/>
  <c r="BG64" i="2" a="1"/>
  <c r="BG64" i="2" s="1"/>
  <c r="BG70" i="2" a="1"/>
  <c r="BG70" i="2" s="1"/>
  <c r="BG7" i="2" a="1"/>
  <c r="BG7" i="2" s="1"/>
  <c r="BG67" i="2" a="1"/>
  <c r="BG67" i="2" s="1"/>
  <c r="BG53" i="2" a="1"/>
  <c r="BG53" i="2" s="1"/>
  <c r="BG46" i="2" a="1"/>
  <c r="BG46" i="2" s="1"/>
  <c r="BG27" i="2" a="1"/>
  <c r="BG27" i="2" s="1"/>
  <c r="BG36" i="2" a="1"/>
  <c r="BG36" i="2" s="1"/>
  <c r="BG43" i="2" a="1"/>
  <c r="BG43" i="2" s="1"/>
  <c r="BG47" i="2" a="1"/>
  <c r="BG47" i="2" s="1"/>
  <c r="BG37" i="2" a="1"/>
  <c r="BG37" i="2" s="1"/>
  <c r="BG11" i="2" a="1"/>
  <c r="BG11" i="2" s="1"/>
  <c r="BG73" i="2" a="1"/>
  <c r="BG73" i="2" s="1"/>
  <c r="BG62" i="2" a="1"/>
  <c r="BG62" i="2" s="1"/>
  <c r="BG56" i="2" a="1"/>
  <c r="BG56" i="2" s="1"/>
  <c r="BG49" i="2" a="1"/>
  <c r="BG49" i="2" s="1"/>
  <c r="BG41" i="2" a="1"/>
  <c r="BG41" i="2" s="1"/>
  <c r="BG44" i="2" a="1"/>
  <c r="BG44" i="2" s="1"/>
  <c r="BG40" i="2" a="1"/>
  <c r="BG40" i="2" s="1"/>
  <c r="BG60" i="2" a="1"/>
  <c r="BG60" i="2" s="1"/>
  <c r="BG66" i="2" a="1"/>
  <c r="BG66" i="2" s="1"/>
  <c r="BG74" i="2" a="1"/>
  <c r="BG74" i="2" s="1"/>
  <c r="BG45" i="2" a="1"/>
  <c r="BG45" i="2" s="1"/>
  <c r="BG69" i="2" a="1"/>
  <c r="BG69" i="2" s="1"/>
  <c r="BG20" i="2" a="1"/>
  <c r="BG20" i="2" s="1"/>
  <c r="BG50" i="2" a="1"/>
  <c r="BG50" i="2" s="1"/>
  <c r="BG58" i="2" a="1"/>
  <c r="BG58" i="2" s="1"/>
  <c r="BG24" i="2" a="1"/>
  <c r="BG24" i="2" s="1"/>
  <c r="BG31" i="2" a="1"/>
  <c r="BG31" i="2" s="1"/>
  <c r="BG61" i="2" a="1"/>
  <c r="BG61" i="2" s="1"/>
  <c r="BG82" i="2" a="1"/>
  <c r="BG82" i="2" s="1"/>
  <c r="BG63" i="2" a="1"/>
  <c r="BG63" i="2" s="1"/>
  <c r="BG65" i="2" a="1"/>
  <c r="BG65" i="2" s="1"/>
  <c r="BG57" i="2" a="1"/>
  <c r="BG57" i="2" s="1"/>
  <c r="BG15" i="2" a="1"/>
  <c r="BG15" i="2" s="1"/>
  <c r="BG81" i="2" a="1"/>
  <c r="BG81" i="2" s="1"/>
  <c r="BG72" i="2" a="1"/>
  <c r="BG72" i="2" s="1"/>
  <c r="BG48" i="2" a="1"/>
  <c r="BG48" i="2" s="1"/>
  <c r="BG78" i="2" a="1"/>
  <c r="BG78" i="2" s="1"/>
  <c r="BG80" i="2" a="1"/>
  <c r="BG80" i="2" s="1"/>
  <c r="BG76" i="2" a="1"/>
  <c r="BG76" i="2" s="1"/>
  <c r="BG35" i="2" a="1"/>
  <c r="BG35" i="2" s="1"/>
  <c r="BG68" i="2" a="1"/>
  <c r="BG68" i="2" s="1"/>
  <c r="BG77" i="2" a="1"/>
  <c r="BG77" i="2" s="1"/>
  <c r="BG51" i="2" a="1"/>
  <c r="BG51" i="2" s="1"/>
  <c r="BG19" i="2" a="1"/>
  <c r="BG19" i="2" s="1"/>
  <c r="BG39" i="2" a="1"/>
  <c r="BG39" i="2" s="1"/>
  <c r="BG55" i="2" a="1"/>
  <c r="BG55" i="2" s="1"/>
  <c r="BG71" i="2" a="1"/>
  <c r="BG71" i="2" s="1"/>
  <c r="BG75" i="2" a="1"/>
  <c r="BG75" i="2" s="1"/>
  <c r="BG59" i="2" a="1"/>
  <c r="BG59" i="2" s="1"/>
  <c r="BG79" i="2" a="1"/>
  <c r="BG79" i="2" s="1"/>
  <c r="BI2" i="2" l="1"/>
  <c r="BH3" i="2" a="1"/>
  <c r="BH3" i="2" s="1"/>
  <c r="BH4" i="2" a="1"/>
  <c r="BH4" i="2" s="1"/>
  <c r="BH5" i="2" a="1"/>
  <c r="BH5" i="2" s="1"/>
  <c r="BH6" i="2" a="1"/>
  <c r="BH6" i="2" s="1"/>
  <c r="BH8" i="2" a="1"/>
  <c r="BH8" i="2" s="1"/>
  <c r="BH10" i="2" a="1"/>
  <c r="BH10" i="2" s="1"/>
  <c r="BH14" i="2" a="1"/>
  <c r="BH14" i="2" s="1"/>
  <c r="BH12" i="2" a="1"/>
  <c r="BH12" i="2" s="1"/>
  <c r="BH22" i="2" a="1"/>
  <c r="BH22" i="2" s="1"/>
  <c r="BH25" i="2" a="1"/>
  <c r="BH25" i="2" s="1"/>
  <c r="BH17" i="2" a="1"/>
  <c r="BH17" i="2" s="1"/>
  <c r="BH27" i="2" a="1"/>
  <c r="BH27" i="2" s="1"/>
  <c r="BH29" i="2" a="1"/>
  <c r="BH29" i="2" s="1"/>
  <c r="BH33" i="2" a="1"/>
  <c r="BH33" i="2" s="1"/>
  <c r="BH21" i="2" a="1"/>
  <c r="BH21" i="2" s="1"/>
  <c r="BH30" i="2" a="1"/>
  <c r="BH30" i="2" s="1"/>
  <c r="BH28" i="2" a="1"/>
  <c r="BH28" i="2" s="1"/>
  <c r="BH52" i="2" a="1"/>
  <c r="BH52" i="2" s="1"/>
  <c r="BH46" i="2" a="1"/>
  <c r="BH46" i="2" s="1"/>
  <c r="BH43" i="2" a="1"/>
  <c r="BH43" i="2" s="1"/>
  <c r="BH47" i="2" a="1"/>
  <c r="BH47" i="2" s="1"/>
  <c r="BH49" i="2" a="1"/>
  <c r="BH49" i="2" s="1"/>
  <c r="BH57" i="2" a="1"/>
  <c r="BH57" i="2" s="1"/>
  <c r="BH50" i="2" a="1"/>
  <c r="BH50" i="2" s="1"/>
  <c r="BH63" i="2" a="1"/>
  <c r="BH63" i="2" s="1"/>
  <c r="BH54" i="2" a="1"/>
  <c r="BH54" i="2" s="1"/>
  <c r="BH34" i="2" a="1"/>
  <c r="BH34" i="2" s="1"/>
  <c r="BH9" i="2" a="1"/>
  <c r="BH9" i="2" s="1"/>
  <c r="BH7" i="2" a="1"/>
  <c r="BH7" i="2" s="1"/>
  <c r="BH11" i="2" a="1"/>
  <c r="BH11" i="2" s="1"/>
  <c r="BH42" i="2" a="1"/>
  <c r="BH42" i="2" s="1"/>
  <c r="BH32" i="2" a="1"/>
  <c r="BH32" i="2" s="1"/>
  <c r="BH74" i="2" a="1"/>
  <c r="BH74" i="2" s="1"/>
  <c r="BH53" i="2" a="1"/>
  <c r="BH53" i="2" s="1"/>
  <c r="BH69" i="2" a="1"/>
  <c r="BH69" i="2" s="1"/>
  <c r="BH70" i="2" a="1"/>
  <c r="BH70" i="2" s="1"/>
  <c r="BH40" i="2" a="1"/>
  <c r="BH40" i="2" s="1"/>
  <c r="BH45" i="2" a="1"/>
  <c r="BH45" i="2" s="1"/>
  <c r="BH58" i="2" a="1"/>
  <c r="BH58" i="2" s="1"/>
  <c r="BH38" i="2" a="1"/>
  <c r="BH38" i="2" s="1"/>
  <c r="BH37" i="2" a="1"/>
  <c r="BH37" i="2" s="1"/>
  <c r="BH41" i="2" a="1"/>
  <c r="BH41" i="2" s="1"/>
  <c r="BH20" i="2" a="1"/>
  <c r="BH20" i="2" s="1"/>
  <c r="BH16" i="2" a="1"/>
  <c r="BH16" i="2" s="1"/>
  <c r="BH13" i="2" a="1"/>
  <c r="BH13" i="2" s="1"/>
  <c r="BH44" i="2" a="1"/>
  <c r="BH44" i="2" s="1"/>
  <c r="BH18" i="2" a="1"/>
  <c r="BH18" i="2" s="1"/>
  <c r="BH23" i="2" a="1"/>
  <c r="BH23" i="2" s="1"/>
  <c r="BH24" i="2" a="1"/>
  <c r="BH24" i="2" s="1"/>
  <c r="BH26" i="2" a="1"/>
  <c r="BH26" i="2" s="1"/>
  <c r="BH36" i="2" a="1"/>
  <c r="BH36" i="2" s="1"/>
  <c r="BH60" i="2" a="1"/>
  <c r="BH60" i="2" s="1"/>
  <c r="BH61" i="2" a="1"/>
  <c r="BH61" i="2" s="1"/>
  <c r="BH72" i="2" a="1"/>
  <c r="BH72" i="2" s="1"/>
  <c r="BH31" i="2" a="1"/>
  <c r="BH31" i="2" s="1"/>
  <c r="BH66" i="2" a="1"/>
  <c r="BH66" i="2" s="1"/>
  <c r="BH56" i="2" a="1"/>
  <c r="BH56" i="2" s="1"/>
  <c r="BH48" i="2" a="1"/>
  <c r="BH48" i="2" s="1"/>
  <c r="BH67" i="2" a="1"/>
  <c r="BH67" i="2" s="1"/>
  <c r="BH65" i="2" a="1"/>
  <c r="BH65" i="2" s="1"/>
  <c r="BH62" i="2" a="1"/>
  <c r="BH62" i="2" s="1"/>
  <c r="BH73" i="2" a="1"/>
  <c r="BH73" i="2" s="1"/>
  <c r="BH78" i="2" a="1"/>
  <c r="BH78" i="2" s="1"/>
  <c r="BH64" i="2" a="1"/>
  <c r="BH64" i="2" s="1"/>
  <c r="BH15" i="2" a="1"/>
  <c r="BH15" i="2" s="1"/>
  <c r="BH19" i="2" a="1"/>
  <c r="BH19" i="2" s="1"/>
  <c r="BH76" i="2" a="1"/>
  <c r="BH76" i="2" s="1"/>
  <c r="BH35" i="2" a="1"/>
  <c r="BH35" i="2" s="1"/>
  <c r="BH80" i="2" a="1"/>
  <c r="BH80" i="2" s="1"/>
  <c r="BH81" i="2" a="1"/>
  <c r="BH81" i="2" s="1"/>
  <c r="BH68" i="2" a="1"/>
  <c r="BH68" i="2" s="1"/>
  <c r="BH77" i="2" a="1"/>
  <c r="BH77" i="2" s="1"/>
  <c r="BH51" i="2" a="1"/>
  <c r="BH51" i="2" s="1"/>
  <c r="BH82" i="2" a="1"/>
  <c r="BH82" i="2" s="1"/>
  <c r="BH55" i="2" a="1"/>
  <c r="BH55" i="2" s="1"/>
  <c r="BH39" i="2" a="1"/>
  <c r="BH39" i="2" s="1"/>
  <c r="BH71" i="2" a="1"/>
  <c r="BH71" i="2" s="1"/>
  <c r="BH59" i="2" a="1"/>
  <c r="BH59" i="2" s="1"/>
  <c r="BH75" i="2" a="1"/>
  <c r="BH75" i="2" s="1"/>
  <c r="BH79" i="2" a="1"/>
  <c r="BH79" i="2" s="1"/>
  <c r="BI3" i="2" l="1" a="1"/>
  <c r="BI3" i="2" s="1"/>
  <c r="BI4" i="2" a="1"/>
  <c r="BI4" i="2" s="1"/>
  <c r="BJ2" i="2"/>
  <c r="BI5" i="2" a="1"/>
  <c r="BI5" i="2" s="1"/>
  <c r="BI12" i="2" a="1"/>
  <c r="BI12" i="2" s="1"/>
  <c r="BI8" i="2" a="1"/>
  <c r="BI8" i="2" s="1"/>
  <c r="BI6" i="2" a="1"/>
  <c r="BI6" i="2" s="1"/>
  <c r="BI13" i="2" a="1"/>
  <c r="BI13" i="2" s="1"/>
  <c r="BI22" i="2" a="1"/>
  <c r="BI22" i="2" s="1"/>
  <c r="BI14" i="2" a="1"/>
  <c r="BI14" i="2" s="1"/>
  <c r="BI18" i="2" a="1"/>
  <c r="BI18" i="2" s="1"/>
  <c r="BI21" i="2" a="1"/>
  <c r="BI21" i="2" s="1"/>
  <c r="BI25" i="2" a="1"/>
  <c r="BI25" i="2" s="1"/>
  <c r="BI29" i="2" a="1"/>
  <c r="BI29" i="2" s="1"/>
  <c r="BI34" i="2" a="1"/>
  <c r="BI34" i="2" s="1"/>
  <c r="BI32" i="2" a="1"/>
  <c r="BI32" i="2" s="1"/>
  <c r="BI27" i="2" a="1"/>
  <c r="BI27" i="2" s="1"/>
  <c r="BI33" i="2" a="1"/>
  <c r="BI33" i="2" s="1"/>
  <c r="BI43" i="2" a="1"/>
  <c r="BI43" i="2" s="1"/>
  <c r="BI45" i="2" a="1"/>
  <c r="BI45" i="2" s="1"/>
  <c r="BI28" i="2" a="1"/>
  <c r="BI28" i="2" s="1"/>
  <c r="BI36" i="2" a="1"/>
  <c r="BI36" i="2" s="1"/>
  <c r="BI44" i="2" a="1"/>
  <c r="BI44" i="2" s="1"/>
  <c r="BI58" i="2" a="1"/>
  <c r="BI58" i="2" s="1"/>
  <c r="BI47" i="2" a="1"/>
  <c r="BI47" i="2" s="1"/>
  <c r="BI26" i="2" a="1"/>
  <c r="BI26" i="2" s="1"/>
  <c r="BI37" i="2" a="1"/>
  <c r="BI37" i="2" s="1"/>
  <c r="BI20" i="2" a="1"/>
  <c r="BI20" i="2" s="1"/>
  <c r="BI23" i="2" a="1"/>
  <c r="BI23" i="2" s="1"/>
  <c r="BI17" i="2" a="1"/>
  <c r="BI17" i="2" s="1"/>
  <c r="BI50" i="2" a="1"/>
  <c r="BI50" i="2" s="1"/>
  <c r="BI60" i="2" a="1"/>
  <c r="BI60" i="2" s="1"/>
  <c r="BI9" i="2" a="1"/>
  <c r="BI9" i="2" s="1"/>
  <c r="BI41" i="2" a="1"/>
  <c r="BI41" i="2" s="1"/>
  <c r="BI53" i="2" a="1"/>
  <c r="BI53" i="2" s="1"/>
  <c r="BI46" i="2" a="1"/>
  <c r="BI46" i="2" s="1"/>
  <c r="BI38" i="2" a="1"/>
  <c r="BI38" i="2" s="1"/>
  <c r="BI49" i="2" a="1"/>
  <c r="BI49" i="2" s="1"/>
  <c r="BI57" i="2" a="1"/>
  <c r="BI57" i="2" s="1"/>
  <c r="BI11" i="2" a="1"/>
  <c r="BI11" i="2" s="1"/>
  <c r="BI52" i="2" a="1"/>
  <c r="BI52" i="2" s="1"/>
  <c r="BI63" i="2" a="1"/>
  <c r="BI63" i="2" s="1"/>
  <c r="BI16" i="2" a="1"/>
  <c r="BI16" i="2" s="1"/>
  <c r="BI65" i="2" a="1"/>
  <c r="BI65" i="2" s="1"/>
  <c r="BI61" i="2" a="1"/>
  <c r="BI61" i="2" s="1"/>
  <c r="BI24" i="2" a="1"/>
  <c r="BI24" i="2" s="1"/>
  <c r="BI10" i="2" a="1"/>
  <c r="BI10" i="2" s="1"/>
  <c r="BI40" i="2" a="1"/>
  <c r="BI40" i="2" s="1"/>
  <c r="BI54" i="2" a="1"/>
  <c r="BI54" i="2" s="1"/>
  <c r="BI30" i="2" a="1"/>
  <c r="BI30" i="2" s="1"/>
  <c r="BI42" i="2" a="1"/>
  <c r="BI42" i="2" s="1"/>
  <c r="BI7" i="2" a="1"/>
  <c r="BI7" i="2" s="1"/>
  <c r="BI72" i="2" a="1"/>
  <c r="BI72" i="2" s="1"/>
  <c r="BI64" i="2" a="1"/>
  <c r="BI64" i="2" s="1"/>
  <c r="BI67" i="2" a="1"/>
  <c r="BI67" i="2" s="1"/>
  <c r="BI70" i="2" a="1"/>
  <c r="BI70" i="2" s="1"/>
  <c r="BI48" i="2" a="1"/>
  <c r="BI48" i="2" s="1"/>
  <c r="BI56" i="2" a="1"/>
  <c r="BI56" i="2" s="1"/>
  <c r="BI76" i="2" a="1"/>
  <c r="BI76" i="2" s="1"/>
  <c r="BI31" i="2" a="1"/>
  <c r="BI31" i="2" s="1"/>
  <c r="BI74" i="2" a="1"/>
  <c r="BI74" i="2" s="1"/>
  <c r="BI73" i="2" a="1"/>
  <c r="BI73" i="2" s="1"/>
  <c r="BI62" i="2" a="1"/>
  <c r="BI62" i="2" s="1"/>
  <c r="BI78" i="2" a="1"/>
  <c r="BI78" i="2" s="1"/>
  <c r="BI66" i="2" a="1"/>
  <c r="BI66" i="2" s="1"/>
  <c r="BI15" i="2" a="1"/>
  <c r="BI15" i="2" s="1"/>
  <c r="BI69" i="2" a="1"/>
  <c r="BI69" i="2" s="1"/>
  <c r="BI82" i="2" a="1"/>
  <c r="BI82" i="2" s="1"/>
  <c r="BI19" i="2" a="1"/>
  <c r="BI19" i="2" s="1"/>
  <c r="BI51" i="2" a="1"/>
  <c r="BI51" i="2" s="1"/>
  <c r="BI80" i="2" a="1"/>
  <c r="BI80" i="2" s="1"/>
  <c r="BI35" i="2" a="1"/>
  <c r="BI35" i="2" s="1"/>
  <c r="BI68" i="2" a="1"/>
  <c r="BI68" i="2" s="1"/>
  <c r="BI81" i="2" a="1"/>
  <c r="BI81" i="2" s="1"/>
  <c r="BI77" i="2" a="1"/>
  <c r="BI77" i="2" s="1"/>
  <c r="BI55" i="2" a="1"/>
  <c r="BI55" i="2" s="1"/>
  <c r="BI39" i="2" a="1"/>
  <c r="BI39" i="2" s="1"/>
  <c r="BI71" i="2" a="1"/>
  <c r="BI71" i="2" s="1"/>
  <c r="BI59" i="2" a="1"/>
  <c r="BI59" i="2" s="1"/>
  <c r="BI75" i="2" a="1"/>
  <c r="BI75" i="2" s="1"/>
  <c r="BI79" i="2" a="1"/>
  <c r="BI79" i="2" s="1"/>
  <c r="BJ3" i="2" l="1" a="1"/>
  <c r="BJ3" i="2" s="1"/>
  <c r="BJ4" i="2" a="1"/>
  <c r="BJ4" i="2" s="1"/>
  <c r="BJ5" i="2" a="1"/>
  <c r="BJ5" i="2" s="1"/>
  <c r="BJ6" i="2" a="1"/>
  <c r="BJ6" i="2" s="1"/>
  <c r="BJ12" i="2" a="1"/>
  <c r="BJ12" i="2" s="1"/>
  <c r="BJ10" i="2" a="1"/>
  <c r="BJ10" i="2" s="1"/>
  <c r="BJ14" i="2" a="1"/>
  <c r="BJ14" i="2" s="1"/>
  <c r="BK2" i="2"/>
  <c r="BJ8" i="2" a="1"/>
  <c r="BJ8" i="2" s="1"/>
  <c r="BJ17" i="2" a="1"/>
  <c r="BJ17" i="2" s="1"/>
  <c r="BJ13" i="2" a="1"/>
  <c r="BJ13" i="2" s="1"/>
  <c r="BJ21" i="2" a="1"/>
  <c r="BJ21" i="2" s="1"/>
  <c r="BJ22" i="2" a="1"/>
  <c r="BJ22" i="2" s="1"/>
  <c r="BJ16" i="2" a="1"/>
  <c r="BJ16" i="2" s="1"/>
  <c r="BJ7" i="2" a="1"/>
  <c r="BJ7" i="2" s="1"/>
  <c r="BJ29" i="2" a="1"/>
  <c r="BJ29" i="2" s="1"/>
  <c r="BJ27" i="2" a="1"/>
  <c r="BJ27" i="2" s="1"/>
  <c r="BJ33" i="2" a="1"/>
  <c r="BJ33" i="2" s="1"/>
  <c r="BJ25" i="2" a="1"/>
  <c r="BJ25" i="2" s="1"/>
  <c r="BJ34" i="2" a="1"/>
  <c r="BJ34" i="2" s="1"/>
  <c r="BJ32" i="2" a="1"/>
  <c r="BJ32" i="2" s="1"/>
  <c r="BJ45" i="2" a="1"/>
  <c r="BJ45" i="2" s="1"/>
  <c r="BJ43" i="2" a="1"/>
  <c r="BJ43" i="2" s="1"/>
  <c r="BJ30" i="2" a="1"/>
  <c r="BJ30" i="2" s="1"/>
  <c r="BJ60" i="2" a="1"/>
  <c r="BJ60" i="2" s="1"/>
  <c r="BJ44" i="2" a="1"/>
  <c r="BJ44" i="2" s="1"/>
  <c r="BJ61" i="2" a="1"/>
  <c r="BJ61" i="2" s="1"/>
  <c r="BJ11" i="2" a="1"/>
  <c r="BJ11" i="2" s="1"/>
  <c r="BJ36" i="2" a="1"/>
  <c r="BJ36" i="2" s="1"/>
  <c r="BJ41" i="2" a="1"/>
  <c r="BJ41" i="2" s="1"/>
  <c r="BJ52" i="2" a="1"/>
  <c r="BJ52" i="2" s="1"/>
  <c r="BJ53" i="2" a="1"/>
  <c r="BJ53" i="2" s="1"/>
  <c r="BJ28" i="2" a="1"/>
  <c r="BJ28" i="2" s="1"/>
  <c r="BJ49" i="2" a="1"/>
  <c r="BJ49" i="2" s="1"/>
  <c r="BJ57" i="2" a="1"/>
  <c r="BJ57" i="2" s="1"/>
  <c r="BJ65" i="2" a="1"/>
  <c r="BJ65" i="2" s="1"/>
  <c r="BJ42" i="2" a="1"/>
  <c r="BJ42" i="2" s="1"/>
  <c r="BJ40" i="2" a="1"/>
  <c r="BJ40" i="2" s="1"/>
  <c r="BJ67" i="2" a="1"/>
  <c r="BJ67" i="2" s="1"/>
  <c r="BJ64" i="2" a="1"/>
  <c r="BJ64" i="2" s="1"/>
  <c r="BJ37" i="2" a="1"/>
  <c r="BJ37" i="2" s="1"/>
  <c r="BJ46" i="2" a="1"/>
  <c r="BJ46" i="2" s="1"/>
  <c r="BJ47" i="2" a="1"/>
  <c r="BJ47" i="2" s="1"/>
  <c r="BJ62" i="2" a="1"/>
  <c r="BJ62" i="2" s="1"/>
  <c r="BJ56" i="2" a="1"/>
  <c r="BJ56" i="2" s="1"/>
  <c r="BJ23" i="2" a="1"/>
  <c r="BJ23" i="2" s="1"/>
  <c r="BJ54" i="2" a="1"/>
  <c r="BJ54" i="2" s="1"/>
  <c r="BJ20" i="2" a="1"/>
  <c r="BJ20" i="2" s="1"/>
  <c r="BJ18" i="2" a="1"/>
  <c r="BJ18" i="2" s="1"/>
  <c r="BJ38" i="2" a="1"/>
  <c r="BJ38" i="2" s="1"/>
  <c r="BJ9" i="2" a="1"/>
  <c r="BJ9" i="2" s="1"/>
  <c r="BJ24" i="2" a="1"/>
  <c r="BJ24" i="2" s="1"/>
  <c r="BJ58" i="2" a="1"/>
  <c r="BJ58" i="2" s="1"/>
  <c r="BJ26" i="2" a="1"/>
  <c r="BJ26" i="2" s="1"/>
  <c r="BJ50" i="2" a="1"/>
  <c r="BJ50" i="2" s="1"/>
  <c r="BJ82" i="2" a="1"/>
  <c r="BJ82" i="2" s="1"/>
  <c r="BJ15" i="2" a="1"/>
  <c r="BJ15" i="2" s="1"/>
  <c r="BJ66" i="2" a="1"/>
  <c r="BJ66" i="2" s="1"/>
  <c r="BJ74" i="2" a="1"/>
  <c r="BJ74" i="2" s="1"/>
  <c r="BJ77" i="2" a="1"/>
  <c r="BJ77" i="2" s="1"/>
  <c r="BJ73" i="2" a="1"/>
  <c r="BJ73" i="2" s="1"/>
  <c r="BJ81" i="2" a="1"/>
  <c r="BJ81" i="2" s="1"/>
  <c r="BJ76" i="2" a="1"/>
  <c r="BJ76" i="2" s="1"/>
  <c r="BJ70" i="2" a="1"/>
  <c r="BJ70" i="2" s="1"/>
  <c r="BJ63" i="2" a="1"/>
  <c r="BJ63" i="2" s="1"/>
  <c r="BJ80" i="2" a="1"/>
  <c r="BJ80" i="2" s="1"/>
  <c r="BJ48" i="2" a="1"/>
  <c r="BJ48" i="2" s="1"/>
  <c r="BJ72" i="2" a="1"/>
  <c r="BJ72" i="2" s="1"/>
  <c r="BJ31" i="2" a="1"/>
  <c r="BJ31" i="2" s="1"/>
  <c r="BJ69" i="2" a="1"/>
  <c r="BJ69" i="2" s="1"/>
  <c r="BJ78" i="2" a="1"/>
  <c r="BJ78" i="2" s="1"/>
  <c r="BJ51" i="2" a="1"/>
  <c r="BJ51" i="2" s="1"/>
  <c r="BJ19" i="2" a="1"/>
  <c r="BJ19" i="2" s="1"/>
  <c r="BJ68" i="2" a="1"/>
  <c r="BJ68" i="2" s="1"/>
  <c r="BJ35" i="2" a="1"/>
  <c r="BJ35" i="2" s="1"/>
  <c r="BJ55" i="2" a="1"/>
  <c r="BJ55" i="2" s="1"/>
  <c r="BJ39" i="2" a="1"/>
  <c r="BJ39" i="2" s="1"/>
  <c r="BJ71" i="2" a="1"/>
  <c r="BJ71" i="2" s="1"/>
  <c r="BJ75" i="2" a="1"/>
  <c r="BJ75" i="2" s="1"/>
  <c r="BJ59" i="2" a="1"/>
  <c r="BJ59" i="2" s="1"/>
  <c r="BJ79" i="2" a="1"/>
  <c r="BJ79" i="2" s="1"/>
  <c r="BL2" i="2" l="1"/>
  <c r="BK6" i="2" a="1"/>
  <c r="BK6" i="2" s="1"/>
  <c r="BK3" i="2" a="1"/>
  <c r="BK3" i="2" s="1"/>
  <c r="BK13" i="2" a="1"/>
  <c r="BK13" i="2" s="1"/>
  <c r="BK9" i="2" a="1"/>
  <c r="BK9" i="2" s="1"/>
  <c r="BK4" i="2" a="1"/>
  <c r="BK4" i="2" s="1"/>
  <c r="BK12" i="2" a="1"/>
  <c r="BK12" i="2" s="1"/>
  <c r="BK17" i="2" a="1"/>
  <c r="BK17" i="2" s="1"/>
  <c r="BK5" i="2" a="1"/>
  <c r="BK5" i="2" s="1"/>
  <c r="BK10" i="2" a="1"/>
  <c r="BK10" i="2" s="1"/>
  <c r="BK22" i="2" a="1"/>
  <c r="BK22" i="2" s="1"/>
  <c r="BK21" i="2" a="1"/>
  <c r="BK21" i="2" s="1"/>
  <c r="BK27" i="2" a="1"/>
  <c r="BK27" i="2" s="1"/>
  <c r="BK18" i="2" a="1"/>
  <c r="BK18" i="2" s="1"/>
  <c r="BK14" i="2" a="1"/>
  <c r="BK14" i="2" s="1"/>
  <c r="BK23" i="2" a="1"/>
  <c r="BK23" i="2" s="1"/>
  <c r="BK26" i="2" a="1"/>
  <c r="BK26" i="2" s="1"/>
  <c r="BK33" i="2" a="1"/>
  <c r="BK33" i="2" s="1"/>
  <c r="BK16" i="2" a="1"/>
  <c r="BK16" i="2" s="1"/>
  <c r="BK29" i="2" a="1"/>
  <c r="BK29" i="2" s="1"/>
  <c r="BK25" i="2" a="1"/>
  <c r="BK25" i="2" s="1"/>
  <c r="BK34" i="2" a="1"/>
  <c r="BK34" i="2" s="1"/>
  <c r="BK32" i="2" a="1"/>
  <c r="BK32" i="2" s="1"/>
  <c r="BK46" i="2" a="1"/>
  <c r="BK46" i="2" s="1"/>
  <c r="BK53" i="2" a="1"/>
  <c r="BK53" i="2" s="1"/>
  <c r="BK61" i="2" a="1"/>
  <c r="BK61" i="2" s="1"/>
  <c r="BK40" i="2" a="1"/>
  <c r="BK40" i="2" s="1"/>
  <c r="BK37" i="2" a="1"/>
  <c r="BK37" i="2" s="1"/>
  <c r="BK45" i="2" a="1"/>
  <c r="BK45" i="2" s="1"/>
  <c r="BK41" i="2" a="1"/>
  <c r="BK41" i="2" s="1"/>
  <c r="BK67" i="2" a="1"/>
  <c r="BK67" i="2" s="1"/>
  <c r="BK62" i="2" a="1"/>
  <c r="BK62" i="2" s="1"/>
  <c r="BK57" i="2" a="1"/>
  <c r="BK57" i="2" s="1"/>
  <c r="BK30" i="2" a="1"/>
  <c r="BK30" i="2" s="1"/>
  <c r="BK7" i="2" a="1"/>
  <c r="BK7" i="2" s="1"/>
  <c r="BK42" i="2" a="1"/>
  <c r="BK42" i="2" s="1"/>
  <c r="BK54" i="2" a="1"/>
  <c r="BK54" i="2" s="1"/>
  <c r="BK64" i="2" a="1"/>
  <c r="BK64" i="2" s="1"/>
  <c r="BK66" i="2" a="1"/>
  <c r="BK66" i="2" s="1"/>
  <c r="BK73" i="2" a="1"/>
  <c r="BK73" i="2" s="1"/>
  <c r="BK50" i="2" a="1"/>
  <c r="BK50" i="2" s="1"/>
  <c r="BK43" i="2" a="1"/>
  <c r="BK43" i="2" s="1"/>
  <c r="BK49" i="2" a="1"/>
  <c r="BK49" i="2" s="1"/>
  <c r="BK28" i="2" a="1"/>
  <c r="BK28" i="2" s="1"/>
  <c r="BK38" i="2" a="1"/>
  <c r="BK38" i="2" s="1"/>
  <c r="BK36" i="2" a="1"/>
  <c r="BK36" i="2" s="1"/>
  <c r="BK52" i="2" a="1"/>
  <c r="BK52" i="2" s="1"/>
  <c r="BK56" i="2" a="1"/>
  <c r="BK56" i="2" s="1"/>
  <c r="BK8" i="2" a="1"/>
  <c r="BK8" i="2" s="1"/>
  <c r="BK70" i="2" a="1"/>
  <c r="BK70" i="2" s="1"/>
  <c r="BK20" i="2" a="1"/>
  <c r="BK20" i="2" s="1"/>
  <c r="BK74" i="2" a="1"/>
  <c r="BK74" i="2" s="1"/>
  <c r="BK11" i="2" a="1"/>
  <c r="BK11" i="2" s="1"/>
  <c r="BK47" i="2" a="1"/>
  <c r="BK47" i="2" s="1"/>
  <c r="BK60" i="2" a="1"/>
  <c r="BK60" i="2" s="1"/>
  <c r="BK44" i="2" a="1"/>
  <c r="BK44" i="2" s="1"/>
  <c r="BK69" i="2" a="1"/>
  <c r="BK69" i="2" s="1"/>
  <c r="BK24" i="2" a="1"/>
  <c r="BK24" i="2" s="1"/>
  <c r="BK63" i="2" a="1"/>
  <c r="BK63" i="2" s="1"/>
  <c r="BK48" i="2" a="1"/>
  <c r="BK48" i="2" s="1"/>
  <c r="BK72" i="2" a="1"/>
  <c r="BK72" i="2" s="1"/>
  <c r="BK65" i="2" a="1"/>
  <c r="BK65" i="2" s="1"/>
  <c r="BK58" i="2" a="1"/>
  <c r="BK58" i="2" s="1"/>
  <c r="BK82" i="2" a="1"/>
  <c r="BK82" i="2" s="1"/>
  <c r="BK78" i="2" a="1"/>
  <c r="BK78" i="2" s="1"/>
  <c r="BK15" i="2" a="1"/>
  <c r="BK15" i="2" s="1"/>
  <c r="BK31" i="2" a="1"/>
  <c r="BK31" i="2" s="1"/>
  <c r="BK68" i="2" a="1"/>
  <c r="BK68" i="2" s="1"/>
  <c r="BK80" i="2" a="1"/>
  <c r="BK80" i="2" s="1"/>
  <c r="BK77" i="2" a="1"/>
  <c r="BK77" i="2" s="1"/>
  <c r="BK51" i="2" a="1"/>
  <c r="BK51" i="2" s="1"/>
  <c r="BK76" i="2" a="1"/>
  <c r="BK76" i="2" s="1"/>
  <c r="BK81" i="2" a="1"/>
  <c r="BK81" i="2" s="1"/>
  <c r="BK19" i="2" a="1"/>
  <c r="BK19" i="2" s="1"/>
  <c r="BK35" i="2" a="1"/>
  <c r="BK35" i="2" s="1"/>
  <c r="BK71" i="2" a="1"/>
  <c r="BK71" i="2" s="1"/>
  <c r="BK39" i="2" a="1"/>
  <c r="BK39" i="2" s="1"/>
  <c r="BK55" i="2" a="1"/>
  <c r="BK55" i="2" s="1"/>
  <c r="BK75" i="2" a="1"/>
  <c r="BK75" i="2" s="1"/>
  <c r="BK59" i="2" a="1"/>
  <c r="BK59" i="2" s="1"/>
  <c r="BK79" i="2" a="1"/>
  <c r="BK79" i="2" s="1"/>
  <c r="BM2" i="2" l="1"/>
  <c r="BL3" i="2" a="1"/>
  <c r="BL3" i="2" s="1"/>
  <c r="BL4" i="2" a="1"/>
  <c r="BL4" i="2" s="1"/>
  <c r="BL6" i="2" a="1"/>
  <c r="BL6" i="2" s="1"/>
  <c r="BL10" i="2" a="1"/>
  <c r="BL10" i="2" s="1"/>
  <c r="BL5" i="2" a="1"/>
  <c r="BL5" i="2" s="1"/>
  <c r="BL9" i="2" a="1"/>
  <c r="BL9" i="2" s="1"/>
  <c r="BL17" i="2" a="1"/>
  <c r="BL17" i="2" s="1"/>
  <c r="BL18" i="2" a="1"/>
  <c r="BL18" i="2" s="1"/>
  <c r="BL14" i="2" a="1"/>
  <c r="BL14" i="2" s="1"/>
  <c r="BL16" i="2" a="1"/>
  <c r="BL16" i="2" s="1"/>
  <c r="BL12" i="2" a="1"/>
  <c r="BL12" i="2" s="1"/>
  <c r="BL25" i="2" a="1"/>
  <c r="BL25" i="2" s="1"/>
  <c r="BL21" i="2" a="1"/>
  <c r="BL21" i="2" s="1"/>
  <c r="BL23" i="2" a="1"/>
  <c r="BL23" i="2" s="1"/>
  <c r="BL33" i="2" a="1"/>
  <c r="BL33" i="2" s="1"/>
  <c r="BL22" i="2" a="1"/>
  <c r="BL22" i="2" s="1"/>
  <c r="BL27" i="2" a="1"/>
  <c r="BL27" i="2" s="1"/>
  <c r="BL32" i="2" a="1"/>
  <c r="BL32" i="2" s="1"/>
  <c r="BL34" i="2" a="1"/>
  <c r="BL34" i="2" s="1"/>
  <c r="BL26" i="2" a="1"/>
  <c r="BL26" i="2" s="1"/>
  <c r="BL29" i="2" a="1"/>
  <c r="BL29" i="2" s="1"/>
  <c r="BL42" i="2" a="1"/>
  <c r="BL42" i="2" s="1"/>
  <c r="BL53" i="2" a="1"/>
  <c r="BL53" i="2" s="1"/>
  <c r="BL54" i="2" a="1"/>
  <c r="BL54" i="2" s="1"/>
  <c r="BL63" i="2" a="1"/>
  <c r="BL63" i="2" s="1"/>
  <c r="BL24" i="2" a="1"/>
  <c r="BL24" i="2" s="1"/>
  <c r="BL38" i="2" a="1"/>
  <c r="BL38" i="2" s="1"/>
  <c r="BL40" i="2" a="1"/>
  <c r="BL40" i="2" s="1"/>
  <c r="BL49" i="2" a="1"/>
  <c r="BL49" i="2" s="1"/>
  <c r="BL60" i="2" a="1"/>
  <c r="BL60" i="2" s="1"/>
  <c r="BL50" i="2" a="1"/>
  <c r="BL50" i="2" s="1"/>
  <c r="BL7" i="2" a="1"/>
  <c r="BL7" i="2" s="1"/>
  <c r="BL37" i="2" a="1"/>
  <c r="BL37" i="2" s="1"/>
  <c r="BL43" i="2" a="1"/>
  <c r="BL43" i="2" s="1"/>
  <c r="BL70" i="2" a="1"/>
  <c r="BL70" i="2" s="1"/>
  <c r="BL69" i="2" a="1"/>
  <c r="BL69" i="2" s="1"/>
  <c r="BL62" i="2" a="1"/>
  <c r="BL62" i="2" s="1"/>
  <c r="BL30" i="2" a="1"/>
  <c r="BL30" i="2" s="1"/>
  <c r="BL11" i="2" a="1"/>
  <c r="BL11" i="2" s="1"/>
  <c r="BL44" i="2" a="1"/>
  <c r="BL44" i="2" s="1"/>
  <c r="BL28" i="2" a="1"/>
  <c r="BL28" i="2" s="1"/>
  <c r="BL74" i="2" a="1"/>
  <c r="BL74" i="2" s="1"/>
  <c r="BL47" i="2" a="1"/>
  <c r="BL47" i="2" s="1"/>
  <c r="BL36" i="2" a="1"/>
  <c r="BL36" i="2" s="1"/>
  <c r="BL72" i="2" a="1"/>
  <c r="BL72" i="2" s="1"/>
  <c r="BL57" i="2" a="1"/>
  <c r="BL57" i="2" s="1"/>
  <c r="BL13" i="2" a="1"/>
  <c r="BL13" i="2" s="1"/>
  <c r="BL45" i="2" a="1"/>
  <c r="BL45" i="2" s="1"/>
  <c r="BL46" i="2" a="1"/>
  <c r="BL46" i="2" s="1"/>
  <c r="BL41" i="2" a="1"/>
  <c r="BL41" i="2" s="1"/>
  <c r="BL20" i="2" a="1"/>
  <c r="BL20" i="2" s="1"/>
  <c r="BL52" i="2" a="1"/>
  <c r="BL52" i="2" s="1"/>
  <c r="BL8" i="2" a="1"/>
  <c r="BL8" i="2" s="1"/>
  <c r="BL64" i="2" a="1"/>
  <c r="BL64" i="2" s="1"/>
  <c r="BL48" i="2" a="1"/>
  <c r="BL48" i="2" s="1"/>
  <c r="BL31" i="2" a="1"/>
  <c r="BL31" i="2" s="1"/>
  <c r="BL61" i="2" a="1"/>
  <c r="BL61" i="2" s="1"/>
  <c r="BL81" i="2" a="1"/>
  <c r="BL81" i="2" s="1"/>
  <c r="BL67" i="2" a="1"/>
  <c r="BL67" i="2" s="1"/>
  <c r="BL78" i="2" a="1"/>
  <c r="BL78" i="2" s="1"/>
  <c r="BL66" i="2" a="1"/>
  <c r="BL66" i="2" s="1"/>
  <c r="BL58" i="2" a="1"/>
  <c r="BL58" i="2" s="1"/>
  <c r="BL15" i="2" a="1"/>
  <c r="BL15" i="2" s="1"/>
  <c r="BL56" i="2" a="1"/>
  <c r="BL56" i="2" s="1"/>
  <c r="BL65" i="2" a="1"/>
  <c r="BL65" i="2" s="1"/>
  <c r="BL77" i="2" a="1"/>
  <c r="BL77" i="2" s="1"/>
  <c r="BL76" i="2" a="1"/>
  <c r="BL76" i="2" s="1"/>
  <c r="BL73" i="2" a="1"/>
  <c r="BL73" i="2" s="1"/>
  <c r="BL68" i="2" a="1"/>
  <c r="BL68" i="2" s="1"/>
  <c r="BL35" i="2" a="1"/>
  <c r="BL35" i="2" s="1"/>
  <c r="BL82" i="2" a="1"/>
  <c r="BL82" i="2" s="1"/>
  <c r="BL51" i="2" a="1"/>
  <c r="BL51" i="2" s="1"/>
  <c r="BL80" i="2" a="1"/>
  <c r="BL80" i="2" s="1"/>
  <c r="BL19" i="2" a="1"/>
  <c r="BL19" i="2" s="1"/>
  <c r="BL71" i="2" a="1"/>
  <c r="BL71" i="2" s="1"/>
  <c r="BL39" i="2" a="1"/>
  <c r="BL39" i="2" s="1"/>
  <c r="BL55" i="2" a="1"/>
  <c r="BL55" i="2" s="1"/>
  <c r="BL59" i="2" a="1"/>
  <c r="BL59" i="2" s="1"/>
  <c r="BL75" i="2" a="1"/>
  <c r="BL75" i="2" s="1"/>
  <c r="BL79" i="2" a="1"/>
  <c r="BL79" i="2" s="1"/>
  <c r="BM3" i="2" l="1" a="1"/>
  <c r="BM3" i="2" s="1"/>
  <c r="BM4" i="2" a="1"/>
  <c r="BM4" i="2" s="1"/>
  <c r="BN2" i="2"/>
  <c r="BM5" i="2" a="1"/>
  <c r="BM5" i="2" s="1"/>
  <c r="BM12" i="2" a="1"/>
  <c r="BM12" i="2" s="1"/>
  <c r="BM6" i="2" a="1"/>
  <c r="BM6" i="2" s="1"/>
  <c r="BM8" i="2" a="1"/>
  <c r="BM8" i="2" s="1"/>
  <c r="BM13" i="2" a="1"/>
  <c r="BM13" i="2" s="1"/>
  <c r="BM22" i="2" a="1"/>
  <c r="BM22" i="2" s="1"/>
  <c r="BM18" i="2" a="1"/>
  <c r="BM18" i="2" s="1"/>
  <c r="BM25" i="2" a="1"/>
  <c r="BM25" i="2" s="1"/>
  <c r="BM21" i="2" a="1"/>
  <c r="BM21" i="2" s="1"/>
  <c r="BM14" i="2" a="1"/>
  <c r="BM14" i="2" s="1"/>
  <c r="BM27" i="2" a="1"/>
  <c r="BM27" i="2" s="1"/>
  <c r="BM29" i="2" a="1"/>
  <c r="BM29" i="2" s="1"/>
  <c r="BM33" i="2" a="1"/>
  <c r="BM33" i="2" s="1"/>
  <c r="BM47" i="2" a="1"/>
  <c r="BM47" i="2" s="1"/>
  <c r="BM54" i="2" a="1"/>
  <c r="BM54" i="2" s="1"/>
  <c r="BM40" i="2" a="1"/>
  <c r="BM40" i="2" s="1"/>
  <c r="BM42" i="2" a="1"/>
  <c r="BM42" i="2" s="1"/>
  <c r="BM46" i="2" a="1"/>
  <c r="BM46" i="2" s="1"/>
  <c r="BM43" i="2" a="1"/>
  <c r="BM43" i="2" s="1"/>
  <c r="BM58" i="2" a="1"/>
  <c r="BM58" i="2" s="1"/>
  <c r="BM34" i="2" a="1"/>
  <c r="BM34" i="2" s="1"/>
  <c r="BM17" i="2" a="1"/>
  <c r="BM17" i="2" s="1"/>
  <c r="BM37" i="2" a="1"/>
  <c r="BM37" i="2" s="1"/>
  <c r="BM32" i="2" a="1"/>
  <c r="BM32" i="2" s="1"/>
  <c r="BM49" i="2" a="1"/>
  <c r="BM49" i="2" s="1"/>
  <c r="BM56" i="2" a="1"/>
  <c r="BM56" i="2" s="1"/>
  <c r="BM26" i="2" a="1"/>
  <c r="BM26" i="2" s="1"/>
  <c r="BM23" i="2" a="1"/>
  <c r="BM23" i="2" s="1"/>
  <c r="BM44" i="2" a="1"/>
  <c r="BM44" i="2" s="1"/>
  <c r="BM41" i="2" a="1"/>
  <c r="BM41" i="2" s="1"/>
  <c r="BM53" i="2" a="1"/>
  <c r="BM53" i="2" s="1"/>
  <c r="BM45" i="2" a="1"/>
  <c r="BM45" i="2" s="1"/>
  <c r="BM52" i="2" a="1"/>
  <c r="BM52" i="2" s="1"/>
  <c r="BM28" i="2" a="1"/>
  <c r="BM28" i="2" s="1"/>
  <c r="BM63" i="2" a="1"/>
  <c r="BM63" i="2" s="1"/>
  <c r="BM24" i="2" a="1"/>
  <c r="BM24" i="2" s="1"/>
  <c r="BM7" i="2" a="1"/>
  <c r="BM7" i="2" s="1"/>
  <c r="BM11" i="2" a="1"/>
  <c r="BM11" i="2" s="1"/>
  <c r="BM73" i="2" a="1"/>
  <c r="BM73" i="2" s="1"/>
  <c r="BM36" i="2" a="1"/>
  <c r="BM36" i="2" s="1"/>
  <c r="BM60" i="2" a="1"/>
  <c r="BM60" i="2" s="1"/>
  <c r="BM50" i="2" a="1"/>
  <c r="BM50" i="2" s="1"/>
  <c r="BM16" i="2" a="1"/>
  <c r="BM16" i="2" s="1"/>
  <c r="BM9" i="2" a="1"/>
  <c r="BM9" i="2" s="1"/>
  <c r="BM20" i="2" a="1"/>
  <c r="BM20" i="2" s="1"/>
  <c r="BM38" i="2" a="1"/>
  <c r="BM38" i="2" s="1"/>
  <c r="BM10" i="2" a="1"/>
  <c r="BM10" i="2" s="1"/>
  <c r="BM30" i="2" a="1"/>
  <c r="BM30" i="2" s="1"/>
  <c r="BM57" i="2" a="1"/>
  <c r="BM57" i="2" s="1"/>
  <c r="BM67" i="2" a="1"/>
  <c r="BM67" i="2" s="1"/>
  <c r="BM31" i="2" a="1"/>
  <c r="BM31" i="2" s="1"/>
  <c r="BM69" i="2" a="1"/>
  <c r="BM69" i="2" s="1"/>
  <c r="BM72" i="2" a="1"/>
  <c r="BM72" i="2" s="1"/>
  <c r="BM64" i="2" a="1"/>
  <c r="BM64" i="2" s="1"/>
  <c r="BM70" i="2" a="1"/>
  <c r="BM70" i="2" s="1"/>
  <c r="BM65" i="2" a="1"/>
  <c r="BM65" i="2" s="1"/>
  <c r="BM62" i="2" a="1"/>
  <c r="BM62" i="2" s="1"/>
  <c r="BM61" i="2" a="1"/>
  <c r="BM61" i="2" s="1"/>
  <c r="BM15" i="2" a="1"/>
  <c r="BM15" i="2" s="1"/>
  <c r="BM48" i="2" a="1"/>
  <c r="BM48" i="2" s="1"/>
  <c r="BM74" i="2" a="1"/>
  <c r="BM74" i="2" s="1"/>
  <c r="BM81" i="2" a="1"/>
  <c r="BM81" i="2" s="1"/>
  <c r="BM66" i="2" a="1"/>
  <c r="BM66" i="2" s="1"/>
  <c r="BM76" i="2" a="1"/>
  <c r="BM76" i="2" s="1"/>
  <c r="BM78" i="2" a="1"/>
  <c r="BM78" i="2" s="1"/>
  <c r="BM19" i="2" a="1"/>
  <c r="BM19" i="2" s="1"/>
  <c r="BM77" i="2" a="1"/>
  <c r="BM77" i="2" s="1"/>
  <c r="BM35" i="2" a="1"/>
  <c r="BM35" i="2" s="1"/>
  <c r="BM68" i="2" a="1"/>
  <c r="BM68" i="2" s="1"/>
  <c r="BM51" i="2" a="1"/>
  <c r="BM51" i="2" s="1"/>
  <c r="BM82" i="2" a="1"/>
  <c r="BM82" i="2" s="1"/>
  <c r="BM80" i="2" a="1"/>
  <c r="BM80" i="2" s="1"/>
  <c r="BM55" i="2" a="1"/>
  <c r="BM55" i="2" s="1"/>
  <c r="BM71" i="2" a="1"/>
  <c r="BM71" i="2" s="1"/>
  <c r="BM39" i="2" a="1"/>
  <c r="BM39" i="2" s="1"/>
  <c r="BM59" i="2" a="1"/>
  <c r="BM59" i="2" s="1"/>
  <c r="BM75" i="2" a="1"/>
  <c r="BM75" i="2" s="1"/>
  <c r="BM79" i="2" a="1"/>
  <c r="BM79" i="2" s="1"/>
  <c r="BN3" i="2" l="1" a="1"/>
  <c r="BN3" i="2" s="1"/>
  <c r="BN4" i="2" a="1"/>
  <c r="BN4" i="2" s="1"/>
  <c r="BN5" i="2" a="1"/>
  <c r="BN5" i="2" s="1"/>
  <c r="BO2" i="2"/>
  <c r="BN8" i="2" a="1"/>
  <c r="BN8" i="2" s="1"/>
  <c r="BN12" i="2" a="1"/>
  <c r="BN12" i="2" s="1"/>
  <c r="BN6" i="2" a="1"/>
  <c r="BN6" i="2" s="1"/>
  <c r="BN7" i="2" a="1"/>
  <c r="BN7" i="2" s="1"/>
  <c r="BN10" i="2" a="1"/>
  <c r="BN10" i="2" s="1"/>
  <c r="BN14" i="2" a="1"/>
  <c r="BN14" i="2" s="1"/>
  <c r="BN17" i="2" a="1"/>
  <c r="BN17" i="2" s="1"/>
  <c r="BN13" i="2" a="1"/>
  <c r="BN13" i="2" s="1"/>
  <c r="BN16" i="2" a="1"/>
  <c r="BN16" i="2" s="1"/>
  <c r="BN21" i="2" a="1"/>
  <c r="BN21" i="2" s="1"/>
  <c r="BN22" i="2" a="1"/>
  <c r="BN22" i="2" s="1"/>
  <c r="BN25" i="2" a="1"/>
  <c r="BN25" i="2" s="1"/>
  <c r="BN29" i="2" a="1"/>
  <c r="BN29" i="2" s="1"/>
  <c r="BN27" i="2" a="1"/>
  <c r="BN27" i="2" s="1"/>
  <c r="BN33" i="2" a="1"/>
  <c r="BN33" i="2" s="1"/>
  <c r="BN32" i="2" a="1"/>
  <c r="BN32" i="2" s="1"/>
  <c r="BN52" i="2" a="1"/>
  <c r="BN52" i="2" s="1"/>
  <c r="BN41" i="2" a="1"/>
  <c r="BN41" i="2" s="1"/>
  <c r="BN53" i="2" a="1"/>
  <c r="BN53" i="2" s="1"/>
  <c r="BN38" i="2" a="1"/>
  <c r="BN38" i="2" s="1"/>
  <c r="BN49" i="2" a="1"/>
  <c r="BN49" i="2" s="1"/>
  <c r="BN43" i="2" a="1"/>
  <c r="BN43" i="2" s="1"/>
  <c r="BN54" i="2" a="1"/>
  <c r="BN54" i="2" s="1"/>
  <c r="BN28" i="2" a="1"/>
  <c r="BN28" i="2" s="1"/>
  <c r="BN34" i="2" a="1"/>
  <c r="BN34" i="2" s="1"/>
  <c r="BN44" i="2" a="1"/>
  <c r="BN44" i="2" s="1"/>
  <c r="BN60" i="2" a="1"/>
  <c r="BN60" i="2" s="1"/>
  <c r="BN47" i="2" a="1"/>
  <c r="BN47" i="2" s="1"/>
  <c r="BN57" i="2" a="1"/>
  <c r="BN57" i="2" s="1"/>
  <c r="BN20" i="2" a="1"/>
  <c r="BN20" i="2" s="1"/>
  <c r="BN26" i="2" a="1"/>
  <c r="BN26" i="2" s="1"/>
  <c r="BN50" i="2" a="1"/>
  <c r="BN50" i="2" s="1"/>
  <c r="BN36" i="2" a="1"/>
  <c r="BN36" i="2" s="1"/>
  <c r="BN37" i="2" a="1"/>
  <c r="BN37" i="2" s="1"/>
  <c r="BN11" i="2" a="1"/>
  <c r="BN11" i="2" s="1"/>
  <c r="BN46" i="2" a="1"/>
  <c r="BN46" i="2" s="1"/>
  <c r="BN45" i="2" a="1"/>
  <c r="BN45" i="2" s="1"/>
  <c r="BN24" i="2" a="1"/>
  <c r="BN24" i="2" s="1"/>
  <c r="BN40" i="2" a="1"/>
  <c r="BN40" i="2" s="1"/>
  <c r="BN18" i="2" a="1"/>
  <c r="BN18" i="2" s="1"/>
  <c r="BN9" i="2" a="1"/>
  <c r="BN9" i="2" s="1"/>
  <c r="BN58" i="2" a="1"/>
  <c r="BN58" i="2" s="1"/>
  <c r="BN67" i="2" a="1"/>
  <c r="BN67" i="2" s="1"/>
  <c r="BN30" i="2" a="1"/>
  <c r="BN30" i="2" s="1"/>
  <c r="BN56" i="2" a="1"/>
  <c r="BN56" i="2" s="1"/>
  <c r="BN23" i="2" a="1"/>
  <c r="BN23" i="2" s="1"/>
  <c r="BN42" i="2" a="1"/>
  <c r="BN42" i="2" s="1"/>
  <c r="BN66" i="2" a="1"/>
  <c r="BN66" i="2" s="1"/>
  <c r="BN63" i="2" a="1"/>
  <c r="BN63" i="2" s="1"/>
  <c r="BN65" i="2" a="1"/>
  <c r="BN65" i="2" s="1"/>
  <c r="BN61" i="2" a="1"/>
  <c r="BN61" i="2" s="1"/>
  <c r="BN69" i="2" a="1"/>
  <c r="BN69" i="2" s="1"/>
  <c r="BN81" i="2" a="1"/>
  <c r="BN81" i="2" s="1"/>
  <c r="BN76" i="2" a="1"/>
  <c r="BN76" i="2" s="1"/>
  <c r="BN48" i="2" a="1"/>
  <c r="BN48" i="2" s="1"/>
  <c r="BN62" i="2" a="1"/>
  <c r="BN62" i="2" s="1"/>
  <c r="BN70" i="2" a="1"/>
  <c r="BN70" i="2" s="1"/>
  <c r="BN74" i="2" a="1"/>
  <c r="BN74" i="2" s="1"/>
  <c r="BN82" i="2" a="1"/>
  <c r="BN82" i="2" s="1"/>
  <c r="BN72" i="2" a="1"/>
  <c r="BN72" i="2" s="1"/>
  <c r="BN73" i="2" a="1"/>
  <c r="BN73" i="2" s="1"/>
  <c r="BN15" i="2" a="1"/>
  <c r="BN15" i="2" s="1"/>
  <c r="BN77" i="2" a="1"/>
  <c r="BN77" i="2" s="1"/>
  <c r="BN31" i="2" a="1"/>
  <c r="BN31" i="2" s="1"/>
  <c r="BN64" i="2" a="1"/>
  <c r="BN64" i="2" s="1"/>
  <c r="BN80" i="2" a="1"/>
  <c r="BN80" i="2" s="1"/>
  <c r="BN35" i="2" a="1"/>
  <c r="BN35" i="2" s="1"/>
  <c r="BN68" i="2" a="1"/>
  <c r="BN68" i="2" s="1"/>
  <c r="BN51" i="2" a="1"/>
  <c r="BN51" i="2" s="1"/>
  <c r="BN19" i="2" a="1"/>
  <c r="BN19" i="2" s="1"/>
  <c r="BN78" i="2" a="1"/>
  <c r="BN78" i="2" s="1"/>
  <c r="BN55" i="2" a="1"/>
  <c r="BN55" i="2" s="1"/>
  <c r="BN71" i="2" a="1"/>
  <c r="BN71" i="2" s="1"/>
  <c r="BN39" i="2" a="1"/>
  <c r="BN39" i="2" s="1"/>
  <c r="BN75" i="2" a="1"/>
  <c r="BN75" i="2" s="1"/>
  <c r="BN59" i="2" a="1"/>
  <c r="BN59" i="2" s="1"/>
  <c r="BN79" i="2" a="1"/>
  <c r="BN79" i="2" s="1"/>
  <c r="BP2" i="2" l="1"/>
  <c r="BO4" i="2" a="1"/>
  <c r="BO4" i="2" s="1"/>
  <c r="BO8" i="2" a="1"/>
  <c r="BO8" i="2" s="1"/>
  <c r="BO5" i="2" a="1"/>
  <c r="BO5" i="2" s="1"/>
  <c r="BO10" i="2" a="1"/>
  <c r="BO10" i="2" s="1"/>
  <c r="BO12" i="2" a="1"/>
  <c r="BO12" i="2" s="1"/>
  <c r="BO3" i="2" a="1"/>
  <c r="BO3" i="2" s="1"/>
  <c r="BO6" i="2" a="1"/>
  <c r="BO6" i="2" s="1"/>
  <c r="BO17" i="2" a="1"/>
  <c r="BO17" i="2" s="1"/>
  <c r="BO14" i="2" a="1"/>
  <c r="BO14" i="2" s="1"/>
  <c r="BO16" i="2" a="1"/>
  <c r="BO16" i="2" s="1"/>
  <c r="BO13" i="2" a="1"/>
  <c r="BO13" i="2" s="1"/>
  <c r="BO22" i="2" a="1"/>
  <c r="BO22" i="2" s="1"/>
  <c r="BO26" i="2" a="1"/>
  <c r="BO26" i="2" s="1"/>
  <c r="BO25" i="2" a="1"/>
  <c r="BO25" i="2" s="1"/>
  <c r="BO21" i="2" a="1"/>
  <c r="BO21" i="2" s="1"/>
  <c r="BO29" i="2" a="1"/>
  <c r="BO29" i="2" s="1"/>
  <c r="BO32" i="2" a="1"/>
  <c r="BO32" i="2" s="1"/>
  <c r="BO24" i="2" a="1"/>
  <c r="BO24" i="2" s="1"/>
  <c r="BO34" i="2" a="1"/>
  <c r="BO34" i="2" s="1"/>
  <c r="BO49" i="2" a="1"/>
  <c r="BO49" i="2" s="1"/>
  <c r="BO47" i="2" a="1"/>
  <c r="BO47" i="2" s="1"/>
  <c r="BO33" i="2" a="1"/>
  <c r="BO33" i="2" s="1"/>
  <c r="BO27" i="2" a="1"/>
  <c r="BO27" i="2" s="1"/>
  <c r="BO50" i="2" a="1"/>
  <c r="BO50" i="2" s="1"/>
  <c r="BO38" i="2" a="1"/>
  <c r="BO38" i="2" s="1"/>
  <c r="BO9" i="2" a="1"/>
  <c r="BO9" i="2" s="1"/>
  <c r="BO36" i="2" a="1"/>
  <c r="BO36" i="2" s="1"/>
  <c r="BO7" i="2" a="1"/>
  <c r="BO7" i="2" s="1"/>
  <c r="BO30" i="2" a="1"/>
  <c r="BO30" i="2" s="1"/>
  <c r="BO11" i="2" a="1"/>
  <c r="BO11" i="2" s="1"/>
  <c r="BO41" i="2" a="1"/>
  <c r="BO41" i="2" s="1"/>
  <c r="BO54" i="2" a="1"/>
  <c r="BO54" i="2" s="1"/>
  <c r="BO57" i="2" a="1"/>
  <c r="BO57" i="2" s="1"/>
  <c r="BO56" i="2" a="1"/>
  <c r="BO56" i="2" s="1"/>
  <c r="BO46" i="2" a="1"/>
  <c r="BO46" i="2" s="1"/>
  <c r="BO45" i="2" a="1"/>
  <c r="BO45" i="2" s="1"/>
  <c r="BO67" i="2" a="1"/>
  <c r="BO67" i="2" s="1"/>
  <c r="BO64" i="2" a="1"/>
  <c r="BO64" i="2" s="1"/>
  <c r="BO61" i="2" a="1"/>
  <c r="BO61" i="2" s="1"/>
  <c r="BO65" i="2" a="1"/>
  <c r="BO65" i="2" s="1"/>
  <c r="BO42" i="2" a="1"/>
  <c r="BO42" i="2" s="1"/>
  <c r="BO60" i="2" a="1"/>
  <c r="BO60" i="2" s="1"/>
  <c r="BO37" i="2" a="1"/>
  <c r="BO37" i="2" s="1"/>
  <c r="BO53" i="2" a="1"/>
  <c r="BO53" i="2" s="1"/>
  <c r="BO40" i="2" a="1"/>
  <c r="BO40" i="2" s="1"/>
  <c r="BO23" i="2" a="1"/>
  <c r="BO23" i="2" s="1"/>
  <c r="BO28" i="2" a="1"/>
  <c r="BO28" i="2" s="1"/>
  <c r="BO43" i="2" a="1"/>
  <c r="BO43" i="2" s="1"/>
  <c r="BO20" i="2" a="1"/>
  <c r="BO20" i="2" s="1"/>
  <c r="BO70" i="2" a="1"/>
  <c r="BO70" i="2" s="1"/>
  <c r="BO18" i="2" a="1"/>
  <c r="BO18" i="2" s="1"/>
  <c r="BO52" i="2" a="1"/>
  <c r="BO52" i="2" s="1"/>
  <c r="BO44" i="2" a="1"/>
  <c r="BO44" i="2" s="1"/>
  <c r="BO72" i="2" a="1"/>
  <c r="BO72" i="2" s="1"/>
  <c r="BO77" i="2" a="1"/>
  <c r="BO77" i="2" s="1"/>
  <c r="BO48" i="2" a="1"/>
  <c r="BO48" i="2" s="1"/>
  <c r="BO73" i="2" a="1"/>
  <c r="BO73" i="2" s="1"/>
  <c r="BO62" i="2" a="1"/>
  <c r="BO62" i="2" s="1"/>
  <c r="BO82" i="2" a="1"/>
  <c r="BO82" i="2" s="1"/>
  <c r="BO31" i="2" a="1"/>
  <c r="BO31" i="2" s="1"/>
  <c r="BO63" i="2" a="1"/>
  <c r="BO63" i="2" s="1"/>
  <c r="BO66" i="2" a="1"/>
  <c r="BO66" i="2" s="1"/>
  <c r="BO78" i="2" a="1"/>
  <c r="BO78" i="2" s="1"/>
  <c r="BO58" i="2" a="1"/>
  <c r="BO58" i="2" s="1"/>
  <c r="BO69" i="2" a="1"/>
  <c r="BO69" i="2" s="1"/>
  <c r="BO74" i="2" a="1"/>
  <c r="BO74" i="2" s="1"/>
  <c r="BO15" i="2" a="1"/>
  <c r="BO15" i="2" s="1"/>
  <c r="BO68" i="2" a="1"/>
  <c r="BO68" i="2" s="1"/>
  <c r="BO19" i="2" a="1"/>
  <c r="BO19" i="2" s="1"/>
  <c r="BO35" i="2" a="1"/>
  <c r="BO35" i="2" s="1"/>
  <c r="BO76" i="2" a="1"/>
  <c r="BO76" i="2" s="1"/>
  <c r="BO80" i="2" a="1"/>
  <c r="BO80" i="2" s="1"/>
  <c r="BO81" i="2" a="1"/>
  <c r="BO81" i="2" s="1"/>
  <c r="BO51" i="2" a="1"/>
  <c r="BO51" i="2" s="1"/>
  <c r="BO71" i="2" a="1"/>
  <c r="BO71" i="2" s="1"/>
  <c r="BO39" i="2" a="1"/>
  <c r="BO39" i="2" s="1"/>
  <c r="BO55" i="2" a="1"/>
  <c r="BO55" i="2" s="1"/>
  <c r="BO59" i="2" a="1"/>
  <c r="BO59" i="2" s="1"/>
  <c r="BO75" i="2" a="1"/>
  <c r="BO75" i="2" s="1"/>
  <c r="BO79" i="2" a="1"/>
  <c r="BO79" i="2" s="1"/>
  <c r="BQ2" i="2" l="1"/>
  <c r="BP3" i="2" a="1"/>
  <c r="BP3" i="2" s="1"/>
  <c r="BP4" i="2" a="1"/>
  <c r="BP4" i="2" s="1"/>
  <c r="BP6" i="2" a="1"/>
  <c r="BP6" i="2" s="1"/>
  <c r="BP5" i="2" a="1"/>
  <c r="BP5" i="2" s="1"/>
  <c r="BP8" i="2" a="1"/>
  <c r="BP8" i="2" s="1"/>
  <c r="BP7" i="2" a="1"/>
  <c r="BP7" i="2" s="1"/>
  <c r="BP9" i="2" a="1"/>
  <c r="BP9" i="2" s="1"/>
  <c r="BP14" i="2" a="1"/>
  <c r="BP14" i="2" s="1"/>
  <c r="BP22" i="2" a="1"/>
  <c r="BP22" i="2" s="1"/>
  <c r="BP25" i="2" a="1"/>
  <c r="BP25" i="2" s="1"/>
  <c r="BP12" i="2" a="1"/>
  <c r="BP12" i="2" s="1"/>
  <c r="BP23" i="2" a="1"/>
  <c r="BP23" i="2" s="1"/>
  <c r="BP26" i="2" a="1"/>
  <c r="BP26" i="2" s="1"/>
  <c r="BP21" i="2" a="1"/>
  <c r="BP21" i="2" s="1"/>
  <c r="BP18" i="2" a="1"/>
  <c r="BP18" i="2" s="1"/>
  <c r="BP29" i="2" a="1"/>
  <c r="BP29" i="2" s="1"/>
  <c r="BP34" i="2" a="1"/>
  <c r="BP34" i="2" s="1"/>
  <c r="BP32" i="2" a="1"/>
  <c r="BP32" i="2" s="1"/>
  <c r="BP17" i="2" a="1"/>
  <c r="BP17" i="2" s="1"/>
  <c r="BP33" i="2" a="1"/>
  <c r="BP33" i="2" s="1"/>
  <c r="BP44" i="2" a="1"/>
  <c r="BP44" i="2" s="1"/>
  <c r="BP10" i="2" a="1"/>
  <c r="BP10" i="2" s="1"/>
  <c r="BP52" i="2" a="1"/>
  <c r="BP52" i="2" s="1"/>
  <c r="BP54" i="2" a="1"/>
  <c r="BP54" i="2" s="1"/>
  <c r="BP67" i="2" a="1"/>
  <c r="BP67" i="2" s="1"/>
  <c r="BP27" i="2" a="1"/>
  <c r="BP27" i="2" s="1"/>
  <c r="BP70" i="2" a="1"/>
  <c r="BP70" i="2" s="1"/>
  <c r="BP24" i="2" a="1"/>
  <c r="BP24" i="2" s="1"/>
  <c r="BP37" i="2" a="1"/>
  <c r="BP37" i="2" s="1"/>
  <c r="BP41" i="2" a="1"/>
  <c r="BP41" i="2" s="1"/>
  <c r="BP50" i="2" a="1"/>
  <c r="BP50" i="2" s="1"/>
  <c r="BP53" i="2" a="1"/>
  <c r="BP53" i="2" s="1"/>
  <c r="BP28" i="2" a="1"/>
  <c r="BP28" i="2" s="1"/>
  <c r="BP11" i="2" a="1"/>
  <c r="BP11" i="2" s="1"/>
  <c r="BP43" i="2" a="1"/>
  <c r="BP43" i="2" s="1"/>
  <c r="BP47" i="2" a="1"/>
  <c r="BP47" i="2" s="1"/>
  <c r="BP42" i="2" a="1"/>
  <c r="BP42" i="2" s="1"/>
  <c r="BP60" i="2" a="1"/>
  <c r="BP60" i="2" s="1"/>
  <c r="BP40" i="2" a="1"/>
  <c r="BP40" i="2" s="1"/>
  <c r="BP58" i="2" a="1"/>
  <c r="BP58" i="2" s="1"/>
  <c r="BP62" i="2" a="1"/>
  <c r="BP62" i="2" s="1"/>
  <c r="BP30" i="2" a="1"/>
  <c r="BP30" i="2" s="1"/>
  <c r="BP49" i="2" a="1"/>
  <c r="BP49" i="2" s="1"/>
  <c r="BP69" i="2" a="1"/>
  <c r="BP69" i="2" s="1"/>
  <c r="BP13" i="2" a="1"/>
  <c r="BP13" i="2" s="1"/>
  <c r="BP38" i="2" a="1"/>
  <c r="BP38" i="2" s="1"/>
  <c r="BP36" i="2" a="1"/>
  <c r="BP36" i="2" s="1"/>
  <c r="BP66" i="2" a="1"/>
  <c r="BP66" i="2" s="1"/>
  <c r="BP61" i="2" a="1"/>
  <c r="BP61" i="2" s="1"/>
  <c r="BP20" i="2" a="1"/>
  <c r="BP20" i="2" s="1"/>
  <c r="BP46" i="2" a="1"/>
  <c r="BP46" i="2" s="1"/>
  <c r="BP64" i="2" a="1"/>
  <c r="BP64" i="2" s="1"/>
  <c r="BP45" i="2" a="1"/>
  <c r="BP45" i="2" s="1"/>
  <c r="BP16" i="2" a="1"/>
  <c r="BP16" i="2" s="1"/>
  <c r="BP72" i="2" a="1"/>
  <c r="BP72" i="2" s="1"/>
  <c r="BP74" i="2" a="1"/>
  <c r="BP74" i="2" s="1"/>
  <c r="BP57" i="2" a="1"/>
  <c r="BP57" i="2" s="1"/>
  <c r="BP76" i="2" a="1"/>
  <c r="BP76" i="2" s="1"/>
  <c r="BP48" i="2" a="1"/>
  <c r="BP48" i="2" s="1"/>
  <c r="BP31" i="2" a="1"/>
  <c r="BP31" i="2" s="1"/>
  <c r="BP82" i="2" a="1"/>
  <c r="BP82" i="2" s="1"/>
  <c r="BP15" i="2" a="1"/>
  <c r="BP15" i="2" s="1"/>
  <c r="BP73" i="2" a="1"/>
  <c r="BP73" i="2" s="1"/>
  <c r="BP65" i="2" a="1"/>
  <c r="BP65" i="2" s="1"/>
  <c r="BP56" i="2" a="1"/>
  <c r="BP56" i="2" s="1"/>
  <c r="BP63" i="2" a="1"/>
  <c r="BP63" i="2" s="1"/>
  <c r="BP77" i="2" a="1"/>
  <c r="BP77" i="2" s="1"/>
  <c r="BP80" i="2" a="1"/>
  <c r="BP80" i="2" s="1"/>
  <c r="BP19" i="2" a="1"/>
  <c r="BP19" i="2" s="1"/>
  <c r="BP35" i="2" a="1"/>
  <c r="BP35" i="2" s="1"/>
  <c r="BP51" i="2" a="1"/>
  <c r="BP51" i="2" s="1"/>
  <c r="BP68" i="2" a="1"/>
  <c r="BP68" i="2" s="1"/>
  <c r="BP78" i="2" a="1"/>
  <c r="BP78" i="2" s="1"/>
  <c r="BP81" i="2" a="1"/>
  <c r="BP81" i="2" s="1"/>
  <c r="BP55" i="2" a="1"/>
  <c r="BP55" i="2" s="1"/>
  <c r="BP71" i="2" a="1"/>
  <c r="BP71" i="2" s="1"/>
  <c r="BP39" i="2" a="1"/>
  <c r="BP39" i="2" s="1"/>
  <c r="BP59" i="2" a="1"/>
  <c r="BP59" i="2" s="1"/>
  <c r="BP75" i="2" a="1"/>
  <c r="BP75" i="2" s="1"/>
  <c r="BP79" i="2" a="1"/>
  <c r="BP79" i="2" s="1"/>
  <c r="BQ3" i="2" l="1" a="1"/>
  <c r="BQ3" i="2" s="1"/>
  <c r="BQ4" i="2" a="1"/>
  <c r="BQ4" i="2" s="1"/>
  <c r="BR2" i="2"/>
  <c r="BQ6" i="2" a="1"/>
  <c r="BQ6" i="2" s="1"/>
  <c r="BQ5" i="2" a="1"/>
  <c r="BQ5" i="2" s="1"/>
  <c r="BQ12" i="2" a="1"/>
  <c r="BQ12" i="2" s="1"/>
  <c r="BQ13" i="2" a="1"/>
  <c r="BQ13" i="2" s="1"/>
  <c r="BQ10" i="2" a="1"/>
  <c r="BQ10" i="2" s="1"/>
  <c r="BQ22" i="2" a="1"/>
  <c r="BQ22" i="2" s="1"/>
  <c r="BQ14" i="2" a="1"/>
  <c r="BQ14" i="2" s="1"/>
  <c r="BQ18" i="2" a="1"/>
  <c r="BQ18" i="2" s="1"/>
  <c r="BQ21" i="2" a="1"/>
  <c r="BQ21" i="2" s="1"/>
  <c r="BQ25" i="2" a="1"/>
  <c r="BQ25" i="2" s="1"/>
  <c r="BQ33" i="2" a="1"/>
  <c r="BQ33" i="2" s="1"/>
  <c r="BQ34" i="2" a="1"/>
  <c r="BQ34" i="2" s="1"/>
  <c r="BQ32" i="2" a="1"/>
  <c r="BQ32" i="2" s="1"/>
  <c r="BQ27" i="2" a="1"/>
  <c r="BQ27" i="2" s="1"/>
  <c r="BQ29" i="2" a="1"/>
  <c r="BQ29" i="2" s="1"/>
  <c r="BQ50" i="2" a="1"/>
  <c r="BQ50" i="2" s="1"/>
  <c r="BQ56" i="2" a="1"/>
  <c r="BQ56" i="2" s="1"/>
  <c r="BQ46" i="2" a="1"/>
  <c r="BQ46" i="2" s="1"/>
  <c r="BQ63" i="2" a="1"/>
  <c r="BQ63" i="2" s="1"/>
  <c r="BQ54" i="2" a="1"/>
  <c r="BQ54" i="2" s="1"/>
  <c r="BQ30" i="2" a="1"/>
  <c r="BQ30" i="2" s="1"/>
  <c r="BQ40" i="2" a="1"/>
  <c r="BQ40" i="2" s="1"/>
  <c r="BQ42" i="2" a="1"/>
  <c r="BQ42" i="2" s="1"/>
  <c r="BQ43" i="2" a="1"/>
  <c r="BQ43" i="2" s="1"/>
  <c r="BQ47" i="2" a="1"/>
  <c r="BQ47" i="2" s="1"/>
  <c r="BQ62" i="2" a="1"/>
  <c r="BQ62" i="2" s="1"/>
  <c r="BQ38" i="2" a="1"/>
  <c r="BQ38" i="2" s="1"/>
  <c r="BQ49" i="2" a="1"/>
  <c r="BQ49" i="2" s="1"/>
  <c r="BQ69" i="2" a="1"/>
  <c r="BQ69" i="2" s="1"/>
  <c r="BQ8" i="2" a="1"/>
  <c r="BQ8" i="2" s="1"/>
  <c r="BQ66" i="2" a="1"/>
  <c r="BQ66" i="2" s="1"/>
  <c r="BQ57" i="2" a="1"/>
  <c r="BQ57" i="2" s="1"/>
  <c r="BQ44" i="2" a="1"/>
  <c r="BQ44" i="2" s="1"/>
  <c r="BQ53" i="2" a="1"/>
  <c r="BQ53" i="2" s="1"/>
  <c r="BQ41" i="2" a="1"/>
  <c r="BQ41" i="2" s="1"/>
  <c r="BQ45" i="2" a="1"/>
  <c r="BQ45" i="2" s="1"/>
  <c r="BQ20" i="2" a="1"/>
  <c r="BQ20" i="2" s="1"/>
  <c r="BQ23" i="2" a="1"/>
  <c r="BQ23" i="2" s="1"/>
  <c r="BQ7" i="2" a="1"/>
  <c r="BQ7" i="2" s="1"/>
  <c r="BQ24" i="2" a="1"/>
  <c r="BQ24" i="2" s="1"/>
  <c r="BQ16" i="2" a="1"/>
  <c r="BQ16" i="2" s="1"/>
  <c r="BQ28" i="2" a="1"/>
  <c r="BQ28" i="2" s="1"/>
  <c r="BQ17" i="2" a="1"/>
  <c r="BQ17" i="2" s="1"/>
  <c r="BQ9" i="2" a="1"/>
  <c r="BQ9" i="2" s="1"/>
  <c r="BQ36" i="2" a="1"/>
  <c r="BQ36" i="2" s="1"/>
  <c r="BQ37" i="2" a="1"/>
  <c r="BQ37" i="2" s="1"/>
  <c r="BQ26" i="2" a="1"/>
  <c r="BQ26" i="2" s="1"/>
  <c r="BQ11" i="2" a="1"/>
  <c r="BQ11" i="2" s="1"/>
  <c r="BQ52" i="2" a="1"/>
  <c r="BQ52" i="2" s="1"/>
  <c r="BQ61" i="2" a="1"/>
  <c r="BQ61" i="2" s="1"/>
  <c r="BQ58" i="2" a="1"/>
  <c r="BQ58" i="2" s="1"/>
  <c r="BQ60" i="2" a="1"/>
  <c r="BQ60" i="2" s="1"/>
  <c r="BQ48" i="2" a="1"/>
  <c r="BQ48" i="2" s="1"/>
  <c r="BQ72" i="2" a="1"/>
  <c r="BQ72" i="2" s="1"/>
  <c r="BQ73" i="2" a="1"/>
  <c r="BQ73" i="2" s="1"/>
  <c r="BQ31" i="2" a="1"/>
  <c r="BQ31" i="2" s="1"/>
  <c r="BQ78" i="2" a="1"/>
  <c r="BQ78" i="2" s="1"/>
  <c r="BQ64" i="2" a="1"/>
  <c r="BQ64" i="2" s="1"/>
  <c r="BQ65" i="2" a="1"/>
  <c r="BQ65" i="2" s="1"/>
  <c r="BQ67" i="2" a="1"/>
  <c r="BQ67" i="2" s="1"/>
  <c r="BQ74" i="2" a="1"/>
  <c r="BQ74" i="2" s="1"/>
  <c r="BQ15" i="2" a="1"/>
  <c r="BQ15" i="2" s="1"/>
  <c r="BQ76" i="2" a="1"/>
  <c r="BQ76" i="2" s="1"/>
  <c r="BQ70" i="2" a="1"/>
  <c r="BQ70" i="2" s="1"/>
  <c r="BQ51" i="2" a="1"/>
  <c r="BQ51" i="2" s="1"/>
  <c r="BQ19" i="2" a="1"/>
  <c r="BQ19" i="2" s="1"/>
  <c r="BQ80" i="2" a="1"/>
  <c r="BQ80" i="2" s="1"/>
  <c r="BQ77" i="2" a="1"/>
  <c r="BQ77" i="2" s="1"/>
  <c r="BQ35" i="2" a="1"/>
  <c r="BQ35" i="2" s="1"/>
  <c r="BQ81" i="2" a="1"/>
  <c r="BQ81" i="2" s="1"/>
  <c r="BQ82" i="2" a="1"/>
  <c r="BQ82" i="2" s="1"/>
  <c r="BQ68" i="2" a="1"/>
  <c r="BQ68" i="2" s="1"/>
  <c r="BQ71" i="2" a="1"/>
  <c r="BQ71" i="2" s="1"/>
  <c r="BQ55" i="2" a="1"/>
  <c r="BQ55" i="2" s="1"/>
  <c r="BQ39" i="2" a="1"/>
  <c r="BQ39" i="2" s="1"/>
  <c r="BQ59" i="2" a="1"/>
  <c r="BQ59" i="2" s="1"/>
  <c r="BQ75" i="2" a="1"/>
  <c r="BQ75" i="2" s="1"/>
  <c r="BQ79" i="2" a="1"/>
  <c r="BQ79" i="2" s="1"/>
  <c r="BR3" i="2" l="1" a="1"/>
  <c r="BR3" i="2" s="1"/>
  <c r="BR4" i="2" a="1"/>
  <c r="BR4" i="2" s="1"/>
  <c r="BS2" i="2"/>
  <c r="BR7" i="2" a="1"/>
  <c r="BR7" i="2" s="1"/>
  <c r="BR6" i="2" a="1"/>
  <c r="BR6" i="2" s="1"/>
  <c r="BR10" i="2" a="1"/>
  <c r="BR10" i="2" s="1"/>
  <c r="BR8" i="2" a="1"/>
  <c r="BR8" i="2" s="1"/>
  <c r="BR12" i="2" a="1"/>
  <c r="BR12" i="2" s="1"/>
  <c r="BR14" i="2" a="1"/>
  <c r="BR14" i="2" s="1"/>
  <c r="BR5" i="2" a="1"/>
  <c r="BR5" i="2" s="1"/>
  <c r="BR17" i="2" a="1"/>
  <c r="BR17" i="2" s="1"/>
  <c r="BR18" i="2" a="1"/>
  <c r="BR18" i="2" s="1"/>
  <c r="BR21" i="2" a="1"/>
  <c r="BR21" i="2" s="1"/>
  <c r="BR22" i="2" a="1"/>
  <c r="BR22" i="2" s="1"/>
  <c r="BR16" i="2" a="1"/>
  <c r="BR16" i="2" s="1"/>
  <c r="BR13" i="2" a="1"/>
  <c r="BR13" i="2" s="1"/>
  <c r="BR29" i="2" a="1"/>
  <c r="BR29" i="2" s="1"/>
  <c r="BR27" i="2" a="1"/>
  <c r="BR27" i="2" s="1"/>
  <c r="BR34" i="2" a="1"/>
  <c r="BR34" i="2" s="1"/>
  <c r="BR33" i="2" a="1"/>
  <c r="BR33" i="2" s="1"/>
  <c r="BR37" i="2" a="1"/>
  <c r="BR37" i="2" s="1"/>
  <c r="BR41" i="2" a="1"/>
  <c r="BR41" i="2" s="1"/>
  <c r="BR47" i="2" a="1"/>
  <c r="BR47" i="2" s="1"/>
  <c r="BR25" i="2" a="1"/>
  <c r="BR25" i="2" s="1"/>
  <c r="BR57" i="2" a="1"/>
  <c r="BR57" i="2" s="1"/>
  <c r="BR32" i="2" a="1"/>
  <c r="BR32" i="2" s="1"/>
  <c r="BR9" i="2" a="1"/>
  <c r="BR9" i="2" s="1"/>
  <c r="BR46" i="2" a="1"/>
  <c r="BR46" i="2" s="1"/>
  <c r="BR43" i="2" a="1"/>
  <c r="BR43" i="2" s="1"/>
  <c r="BR42" i="2" a="1"/>
  <c r="BR42" i="2" s="1"/>
  <c r="BR40" i="2" a="1"/>
  <c r="BR40" i="2" s="1"/>
  <c r="BR30" i="2" a="1"/>
  <c r="BR30" i="2" s="1"/>
  <c r="BR20" i="2" a="1"/>
  <c r="BR20" i="2" s="1"/>
  <c r="BR24" i="2" a="1"/>
  <c r="BR24" i="2" s="1"/>
  <c r="BR66" i="2" a="1"/>
  <c r="BR66" i="2" s="1"/>
  <c r="BR45" i="2" a="1"/>
  <c r="BR45" i="2" s="1"/>
  <c r="BR49" i="2" a="1"/>
  <c r="BR49" i="2" s="1"/>
  <c r="BR11" i="2" a="1"/>
  <c r="BR11" i="2" s="1"/>
  <c r="BR44" i="2" a="1"/>
  <c r="BR44" i="2" s="1"/>
  <c r="BR63" i="2" a="1"/>
  <c r="BR63" i="2" s="1"/>
  <c r="BR54" i="2" a="1"/>
  <c r="BR54" i="2" s="1"/>
  <c r="BR50" i="2" a="1"/>
  <c r="BR50" i="2" s="1"/>
  <c r="BR38" i="2" a="1"/>
  <c r="BR38" i="2" s="1"/>
  <c r="BR53" i="2" a="1"/>
  <c r="BR53" i="2" s="1"/>
  <c r="BR58" i="2" a="1"/>
  <c r="BR58" i="2" s="1"/>
  <c r="BR36" i="2" a="1"/>
  <c r="BR36" i="2" s="1"/>
  <c r="BR23" i="2" a="1"/>
  <c r="BR23" i="2" s="1"/>
  <c r="BR52" i="2" a="1"/>
  <c r="BR52" i="2" s="1"/>
  <c r="BR26" i="2" a="1"/>
  <c r="BR26" i="2" s="1"/>
  <c r="BR28" i="2" a="1"/>
  <c r="BR28" i="2" s="1"/>
  <c r="BR56" i="2" a="1"/>
  <c r="BR56" i="2" s="1"/>
  <c r="BR65" i="2" a="1"/>
  <c r="BR65" i="2" s="1"/>
  <c r="BR64" i="2" a="1"/>
  <c r="BR64" i="2" s="1"/>
  <c r="BR61" i="2" a="1"/>
  <c r="BR61" i="2" s="1"/>
  <c r="BR69" i="2" a="1"/>
  <c r="BR69" i="2" s="1"/>
  <c r="BR48" i="2" a="1"/>
  <c r="BR48" i="2" s="1"/>
  <c r="BR31" i="2" a="1"/>
  <c r="BR31" i="2" s="1"/>
  <c r="BR72" i="2" a="1"/>
  <c r="BR72" i="2" s="1"/>
  <c r="BR81" i="2" a="1"/>
  <c r="BR81" i="2" s="1"/>
  <c r="BR60" i="2" a="1"/>
  <c r="BR60" i="2" s="1"/>
  <c r="BR62" i="2" a="1"/>
  <c r="BR62" i="2" s="1"/>
  <c r="BR80" i="2" a="1"/>
  <c r="BR80" i="2" s="1"/>
  <c r="BR78" i="2" a="1"/>
  <c r="BR78" i="2" s="1"/>
  <c r="BR70" i="2" a="1"/>
  <c r="BR70" i="2" s="1"/>
  <c r="BR82" i="2" a="1"/>
  <c r="BR82" i="2" s="1"/>
  <c r="BR67" i="2" a="1"/>
  <c r="BR67" i="2" s="1"/>
  <c r="BR15" i="2" a="1"/>
  <c r="BR15" i="2" s="1"/>
  <c r="BR76" i="2" a="1"/>
  <c r="BR76" i="2" s="1"/>
  <c r="BR73" i="2" a="1"/>
  <c r="BR73" i="2" s="1"/>
  <c r="BR74" i="2" a="1"/>
  <c r="BR74" i="2" s="1"/>
  <c r="BR35" i="2" a="1"/>
  <c r="BR35" i="2" s="1"/>
  <c r="BR77" i="2" a="1"/>
  <c r="BR77" i="2" s="1"/>
  <c r="BR68" i="2" a="1"/>
  <c r="BR68" i="2" s="1"/>
  <c r="BR19" i="2" a="1"/>
  <c r="BR19" i="2" s="1"/>
  <c r="BR51" i="2" a="1"/>
  <c r="BR51" i="2" s="1"/>
  <c r="BR55" i="2" a="1"/>
  <c r="BR55" i="2" s="1"/>
  <c r="BR39" i="2" a="1"/>
  <c r="BR39" i="2" s="1"/>
  <c r="BR71" i="2" a="1"/>
  <c r="BR71" i="2" s="1"/>
  <c r="BR75" i="2" a="1"/>
  <c r="BR75" i="2" s="1"/>
  <c r="BR59" i="2" a="1"/>
  <c r="BR59" i="2" s="1"/>
  <c r="BR79" i="2" a="1"/>
  <c r="BR79" i="2" s="1"/>
  <c r="BT2" i="2" l="1"/>
  <c r="BS5" i="2" a="1"/>
  <c r="BS5" i="2" s="1"/>
  <c r="BS3" i="2" a="1"/>
  <c r="BS3" i="2" s="1"/>
  <c r="BS4" i="2" a="1"/>
  <c r="BS4" i="2" s="1"/>
  <c r="BS6" i="2" a="1"/>
  <c r="BS6" i="2" s="1"/>
  <c r="BS10" i="2" a="1"/>
  <c r="BS10" i="2" s="1"/>
  <c r="BS12" i="2" a="1"/>
  <c r="BS12" i="2" s="1"/>
  <c r="BS13" i="2" a="1"/>
  <c r="BS13" i="2" s="1"/>
  <c r="BS17" i="2" a="1"/>
  <c r="BS17" i="2" s="1"/>
  <c r="BS8" i="2" a="1"/>
  <c r="BS8" i="2" s="1"/>
  <c r="BS22" i="2" a="1"/>
  <c r="BS22" i="2" s="1"/>
  <c r="BS14" i="2" a="1"/>
  <c r="BS14" i="2" s="1"/>
  <c r="BS16" i="2" a="1"/>
  <c r="BS16" i="2" s="1"/>
  <c r="BS21" i="2" a="1"/>
  <c r="BS21" i="2" s="1"/>
  <c r="BS25" i="2" a="1"/>
  <c r="BS25" i="2" s="1"/>
  <c r="BS27" i="2" a="1"/>
  <c r="BS27" i="2" s="1"/>
  <c r="BS33" i="2" a="1"/>
  <c r="BS33" i="2" s="1"/>
  <c r="BS23" i="2" a="1"/>
  <c r="BS23" i="2" s="1"/>
  <c r="BS29" i="2" a="1"/>
  <c r="BS29" i="2" s="1"/>
  <c r="BS24" i="2" a="1"/>
  <c r="BS24" i="2" s="1"/>
  <c r="BS41" i="2" a="1"/>
  <c r="BS41" i="2" s="1"/>
  <c r="BS43" i="2" a="1"/>
  <c r="BS43" i="2" s="1"/>
  <c r="BS45" i="2" a="1"/>
  <c r="BS45" i="2" s="1"/>
  <c r="BS50" i="2" a="1"/>
  <c r="BS50" i="2" s="1"/>
  <c r="BS38" i="2" a="1"/>
  <c r="BS38" i="2" s="1"/>
  <c r="BS53" i="2" a="1"/>
  <c r="BS53" i="2" s="1"/>
  <c r="BS57" i="2" a="1"/>
  <c r="BS57" i="2" s="1"/>
  <c r="BS20" i="2" a="1"/>
  <c r="BS20" i="2" s="1"/>
  <c r="BS26" i="2" a="1"/>
  <c r="BS26" i="2" s="1"/>
  <c r="BS9" i="2" a="1"/>
  <c r="BS9" i="2" s="1"/>
  <c r="BS44" i="2" a="1"/>
  <c r="BS44" i="2" s="1"/>
  <c r="BS32" i="2" a="1"/>
  <c r="BS32" i="2" s="1"/>
  <c r="BS40" i="2" a="1"/>
  <c r="BS40" i="2" s="1"/>
  <c r="BS52" i="2" a="1"/>
  <c r="BS52" i="2" s="1"/>
  <c r="BS18" i="2" a="1"/>
  <c r="BS18" i="2" s="1"/>
  <c r="BS11" i="2" a="1"/>
  <c r="BS11" i="2" s="1"/>
  <c r="BS72" i="2" a="1"/>
  <c r="BS72" i="2" s="1"/>
  <c r="BS42" i="2" a="1"/>
  <c r="BS42" i="2" s="1"/>
  <c r="BS36" i="2" a="1"/>
  <c r="BS36" i="2" s="1"/>
  <c r="BS30" i="2" a="1"/>
  <c r="BS30" i="2" s="1"/>
  <c r="BS47" i="2" a="1"/>
  <c r="BS47" i="2" s="1"/>
  <c r="BS37" i="2" a="1"/>
  <c r="BS37" i="2" s="1"/>
  <c r="BS49" i="2" a="1"/>
  <c r="BS49" i="2" s="1"/>
  <c r="BS70" i="2" a="1"/>
  <c r="BS70" i="2" s="1"/>
  <c r="BS67" i="2" a="1"/>
  <c r="BS67" i="2" s="1"/>
  <c r="BS66" i="2" a="1"/>
  <c r="BS66" i="2" s="1"/>
  <c r="BS73" i="2" a="1"/>
  <c r="BS73" i="2" s="1"/>
  <c r="BS65" i="2" a="1"/>
  <c r="BS65" i="2" s="1"/>
  <c r="BS28" i="2" a="1"/>
  <c r="BS28" i="2" s="1"/>
  <c r="BS7" i="2" a="1"/>
  <c r="BS7" i="2" s="1"/>
  <c r="BS54" i="2" a="1"/>
  <c r="BS54" i="2" s="1"/>
  <c r="BS34" i="2" a="1"/>
  <c r="BS34" i="2" s="1"/>
  <c r="BS46" i="2" a="1"/>
  <c r="BS46" i="2" s="1"/>
  <c r="BS31" i="2" a="1"/>
  <c r="BS31" i="2" s="1"/>
  <c r="BS64" i="2" a="1"/>
  <c r="BS64" i="2" s="1"/>
  <c r="BS15" i="2" a="1"/>
  <c r="BS15" i="2" s="1"/>
  <c r="BS61" i="2" a="1"/>
  <c r="BS61" i="2" s="1"/>
  <c r="BS48" i="2" a="1"/>
  <c r="BS48" i="2" s="1"/>
  <c r="BS69" i="2" a="1"/>
  <c r="BS69" i="2" s="1"/>
  <c r="BS58" i="2" a="1"/>
  <c r="BS58" i="2" s="1"/>
  <c r="BS63" i="2" a="1"/>
  <c r="BS63" i="2" s="1"/>
  <c r="BS60" i="2" a="1"/>
  <c r="BS60" i="2" s="1"/>
  <c r="BS74" i="2" a="1"/>
  <c r="BS74" i="2" s="1"/>
  <c r="BS56" i="2" a="1"/>
  <c r="BS56" i="2" s="1"/>
  <c r="BS80" i="2" a="1"/>
  <c r="BS80" i="2" s="1"/>
  <c r="BS76" i="2" a="1"/>
  <c r="BS76" i="2" s="1"/>
  <c r="BS62" i="2" a="1"/>
  <c r="BS62" i="2" s="1"/>
  <c r="BS77" i="2" a="1"/>
  <c r="BS77" i="2" s="1"/>
  <c r="BS68" i="2" a="1"/>
  <c r="BS68" i="2" s="1"/>
  <c r="BS81" i="2" a="1"/>
  <c r="BS81" i="2" s="1"/>
  <c r="BS78" i="2" a="1"/>
  <c r="BS78" i="2" s="1"/>
  <c r="BS51" i="2" a="1"/>
  <c r="BS51" i="2" s="1"/>
  <c r="BS82" i="2" a="1"/>
  <c r="BS82" i="2" s="1"/>
  <c r="BS19" i="2" a="1"/>
  <c r="BS19" i="2" s="1"/>
  <c r="BS35" i="2" a="1"/>
  <c r="BS35" i="2" s="1"/>
  <c r="BS71" i="2" a="1"/>
  <c r="BS71" i="2" s="1"/>
  <c r="BS39" i="2" a="1"/>
  <c r="BS39" i="2" s="1"/>
  <c r="BS55" i="2" a="1"/>
  <c r="BS55" i="2" s="1"/>
  <c r="BS59" i="2" a="1"/>
  <c r="BS59" i="2" s="1"/>
  <c r="BS75" i="2" a="1"/>
  <c r="BS75" i="2" s="1"/>
  <c r="BS79" i="2" a="1"/>
  <c r="BS79" i="2" s="1"/>
  <c r="BT3" i="2" l="1" a="1"/>
  <c r="BT3" i="2" s="1"/>
  <c r="T3" i="2" s="1"/>
  <c r="BT4" i="2" a="1"/>
  <c r="BT4" i="2" s="1"/>
  <c r="T4" i="2" s="1"/>
  <c r="BT5" i="2" a="1"/>
  <c r="BT5" i="2" s="1"/>
  <c r="T5" i="2" s="1"/>
  <c r="BT7" i="2" a="1"/>
  <c r="BT7" i="2" s="1"/>
  <c r="T7" i="2" s="1"/>
  <c r="BT10" i="2" a="1"/>
  <c r="BT10" i="2" s="1"/>
  <c r="T10" i="2" s="1"/>
  <c r="BT6" i="2" a="1"/>
  <c r="BT6" i="2" s="1"/>
  <c r="T6" i="2" s="1"/>
  <c r="BT14" i="2" a="1"/>
  <c r="BT14" i="2" s="1"/>
  <c r="T14" i="2" s="1"/>
  <c r="BT17" i="2" a="1"/>
  <c r="BT17" i="2" s="1"/>
  <c r="T17" i="2" s="1"/>
  <c r="BT27" i="2" a="1"/>
  <c r="BT27" i="2" s="1"/>
  <c r="T27" i="2" s="1"/>
  <c r="BT12" i="2" a="1"/>
  <c r="BT12" i="2" s="1"/>
  <c r="T12" i="2" s="1"/>
  <c r="BT16" i="2" a="1"/>
  <c r="BT16" i="2" s="1"/>
  <c r="T16" i="2" s="1"/>
  <c r="BT21" i="2" a="1"/>
  <c r="BT21" i="2" s="1"/>
  <c r="T21" i="2" s="1"/>
  <c r="BT22" i="2" a="1"/>
  <c r="BT22" i="2" s="1"/>
  <c r="T22" i="2" s="1"/>
  <c r="BT25" i="2" a="1"/>
  <c r="BT25" i="2" s="1"/>
  <c r="T25" i="2" s="1"/>
  <c r="BT26" i="2" a="1"/>
  <c r="BT26" i="2" s="1"/>
  <c r="T26" i="2" s="1"/>
  <c r="BT29" i="2" a="1"/>
  <c r="BT29" i="2" s="1"/>
  <c r="T29" i="2" s="1"/>
  <c r="BT33" i="2" a="1"/>
  <c r="BT33" i="2" s="1"/>
  <c r="T33" i="2" s="1"/>
  <c r="BT34" i="2" a="1"/>
  <c r="BT34" i="2" s="1"/>
  <c r="T34" i="2" s="1"/>
  <c r="BT32" i="2" a="1"/>
  <c r="BT32" i="2" s="1"/>
  <c r="T32" i="2" s="1"/>
  <c r="BT30" i="2" a="1"/>
  <c r="BT30" i="2" s="1"/>
  <c r="T30" i="2" s="1"/>
  <c r="BT38" i="2" a="1"/>
  <c r="BT38" i="2" s="1"/>
  <c r="T38" i="2" s="1"/>
  <c r="BT53" i="2" a="1"/>
  <c r="BT53" i="2" s="1"/>
  <c r="T53" i="2" s="1"/>
  <c r="BT46" i="2" a="1"/>
  <c r="BT46" i="2" s="1"/>
  <c r="T46" i="2" s="1"/>
  <c r="BT70" i="2" a="1"/>
  <c r="BT70" i="2" s="1"/>
  <c r="T70" i="2" s="1"/>
  <c r="BT67" i="2" a="1"/>
  <c r="BT67" i="2" s="1"/>
  <c r="T67" i="2" s="1"/>
  <c r="BT23" i="2" a="1"/>
  <c r="BT23" i="2" s="1"/>
  <c r="T23" i="2" s="1"/>
  <c r="BT50" i="2" a="1"/>
  <c r="BT50" i="2" s="1"/>
  <c r="T50" i="2" s="1"/>
  <c r="BT40" i="2" a="1"/>
  <c r="BT40" i="2" s="1"/>
  <c r="T40" i="2" s="1"/>
  <c r="BT58" i="2" a="1"/>
  <c r="BT58" i="2" s="1"/>
  <c r="T58" i="2" s="1"/>
  <c r="BT49" i="2" a="1"/>
  <c r="BT49" i="2" s="1"/>
  <c r="T49" i="2" s="1"/>
  <c r="BT64" i="2" a="1"/>
  <c r="BT64" i="2" s="1"/>
  <c r="T64" i="2" s="1"/>
  <c r="BT11" i="2" a="1"/>
  <c r="BT11" i="2" s="1"/>
  <c r="T11" i="2" s="1"/>
  <c r="BT36" i="2" a="1"/>
  <c r="BT36" i="2" s="1"/>
  <c r="T36" i="2" s="1"/>
  <c r="BT45" i="2" a="1"/>
  <c r="BT45" i="2" s="1"/>
  <c r="T45" i="2" s="1"/>
  <c r="BT60" i="2" a="1"/>
  <c r="BT60" i="2" s="1"/>
  <c r="T60" i="2" s="1"/>
  <c r="BT20" i="2" a="1"/>
  <c r="BT20" i="2" s="1"/>
  <c r="T20" i="2" s="1"/>
  <c r="BT24" i="2" a="1"/>
  <c r="BT24" i="2" s="1"/>
  <c r="T24" i="2" s="1"/>
  <c r="BT18" i="2" a="1"/>
  <c r="BT18" i="2" s="1"/>
  <c r="T18" i="2" s="1"/>
  <c r="BT73" i="2" a="1"/>
  <c r="BT73" i="2" s="1"/>
  <c r="T73" i="2" s="1"/>
  <c r="BT41" i="2" a="1"/>
  <c r="BT41" i="2" s="1"/>
  <c r="T41" i="2" s="1"/>
  <c r="BT54" i="2" a="1"/>
  <c r="BT54" i="2" s="1"/>
  <c r="T54" i="2" s="1"/>
  <c r="BT44" i="2" a="1"/>
  <c r="BT44" i="2" s="1"/>
  <c r="T44" i="2" s="1"/>
  <c r="BT42" i="2" a="1"/>
  <c r="BT42" i="2" s="1"/>
  <c r="T42" i="2" s="1"/>
  <c r="BT43" i="2" a="1"/>
  <c r="BT43" i="2" s="1"/>
  <c r="T43" i="2" s="1"/>
  <c r="BT57" i="2" a="1"/>
  <c r="BT57" i="2" s="1"/>
  <c r="T57" i="2" s="1"/>
  <c r="BT28" i="2" a="1"/>
  <c r="BT28" i="2" s="1"/>
  <c r="T28" i="2" s="1"/>
  <c r="BT74" i="2" a="1"/>
  <c r="BT74" i="2" s="1"/>
  <c r="T74" i="2" s="1"/>
  <c r="BT9" i="2" a="1"/>
  <c r="BT9" i="2" s="1"/>
  <c r="T9" i="2" s="1"/>
  <c r="BT13" i="2" a="1"/>
  <c r="BT13" i="2" s="1"/>
  <c r="T13" i="2" s="1"/>
  <c r="BT69" i="2" a="1"/>
  <c r="BT69" i="2" s="1"/>
  <c r="T69" i="2" s="1"/>
  <c r="BT52" i="2" a="1"/>
  <c r="BT52" i="2" s="1"/>
  <c r="T52" i="2" s="1"/>
  <c r="BT47" i="2" a="1"/>
  <c r="BT47" i="2" s="1"/>
  <c r="T47" i="2" s="1"/>
  <c r="BT37" i="2" a="1"/>
  <c r="BT37" i="2" s="1"/>
  <c r="T37" i="2" s="1"/>
  <c r="BT66" i="2" a="1"/>
  <c r="BT66" i="2" s="1"/>
  <c r="T66" i="2" s="1"/>
  <c r="BT8" i="2" a="1"/>
  <c r="BT8" i="2" s="1"/>
  <c r="T8" i="2" s="1"/>
  <c r="BT72" i="2" a="1"/>
  <c r="BT72" i="2" s="1"/>
  <c r="T72" i="2" s="1"/>
  <c r="BT48" i="2" a="1"/>
  <c r="BT48" i="2" s="1"/>
  <c r="T48" i="2" s="1"/>
  <c r="BT62" i="2" a="1"/>
  <c r="BT62" i="2" s="1"/>
  <c r="T62" i="2" s="1"/>
  <c r="BT31" i="2" a="1"/>
  <c r="BT31" i="2" s="1"/>
  <c r="T31" i="2" s="1"/>
  <c r="BT82" i="2" a="1"/>
  <c r="BT82" i="2" s="1"/>
  <c r="T82" i="2" s="1"/>
  <c r="BT15" i="2" a="1"/>
  <c r="BT15" i="2" s="1"/>
  <c r="T15" i="2" s="1"/>
  <c r="BT63" i="2" a="1"/>
  <c r="BT63" i="2" s="1"/>
  <c r="T63" i="2" s="1"/>
  <c r="BT76" i="2" a="1"/>
  <c r="BT76" i="2" s="1"/>
  <c r="T76" i="2" s="1"/>
  <c r="BT77" i="2" a="1"/>
  <c r="BT77" i="2" s="1"/>
  <c r="T77" i="2" s="1"/>
  <c r="BT61" i="2" a="1"/>
  <c r="BT61" i="2" s="1"/>
  <c r="T61" i="2" s="1"/>
  <c r="BT65" i="2" a="1"/>
  <c r="BT65" i="2" s="1"/>
  <c r="T65" i="2" s="1"/>
  <c r="BT80" i="2" a="1"/>
  <c r="BT80" i="2" s="1"/>
  <c r="T80" i="2" s="1"/>
  <c r="BT56" i="2" a="1"/>
  <c r="BT56" i="2" s="1"/>
  <c r="T56" i="2" s="1"/>
  <c r="BT35" i="2" a="1"/>
  <c r="BT35" i="2" s="1"/>
  <c r="T35" i="2" s="1"/>
  <c r="BT68" i="2" a="1"/>
  <c r="BT68" i="2" s="1"/>
  <c r="T68" i="2" s="1"/>
  <c r="BT81" i="2" a="1"/>
  <c r="BT81" i="2" s="1"/>
  <c r="T81" i="2" s="1"/>
  <c r="BT78" i="2" a="1"/>
  <c r="BT78" i="2" s="1"/>
  <c r="T78" i="2" s="1"/>
  <c r="BT51" i="2" a="1"/>
  <c r="BT51" i="2" s="1"/>
  <c r="T51" i="2" s="1"/>
  <c r="BT19" i="2" a="1"/>
  <c r="BT19" i="2" s="1"/>
  <c r="T19" i="2" s="1"/>
  <c r="BT55" i="2" a="1"/>
  <c r="BT55" i="2" s="1"/>
  <c r="T55" i="2" s="1"/>
  <c r="BT39" i="2" a="1"/>
  <c r="BT39" i="2" s="1"/>
  <c r="T39" i="2" s="1"/>
  <c r="BT71" i="2" a="1"/>
  <c r="BT71" i="2" s="1"/>
  <c r="T71" i="2" s="1"/>
  <c r="BT75" i="2" a="1"/>
  <c r="BT75" i="2" s="1"/>
  <c r="T75" i="2" s="1"/>
  <c r="BT59" i="2" a="1"/>
  <c r="BT59" i="2" s="1"/>
  <c r="T59" i="2" s="1"/>
  <c r="BT79" i="2" a="1"/>
  <c r="BT79" i="2" s="1"/>
  <c r="T7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<sst xmlns="http://schemas.openxmlformats.org/spreadsheetml/2006/main" count="184" uniqueCount="76">
  <si>
    <t>购买到装备的id</t>
    <phoneticPr fontId="2" type="noConversion"/>
  </si>
  <si>
    <t>部位备注</t>
    <phoneticPr fontId="2" type="noConversion"/>
  </si>
  <si>
    <t>部位id</t>
    <phoneticPr fontId="2" type="noConversion"/>
  </si>
  <si>
    <t>队列id</t>
    <phoneticPr fontId="2" type="noConversion"/>
  </si>
  <si>
    <t>序号</t>
    <phoneticPr fontId="2" type="noConversion"/>
  </si>
  <si>
    <t>equip_id</t>
    <phoneticPr fontId="2" type="noConversion"/>
  </si>
  <si>
    <t>desc</t>
    <phoneticPr fontId="2" type="noConversion"/>
  </si>
  <si>
    <t>pos_id</t>
    <phoneticPr fontId="2" type="noConversion"/>
  </si>
  <si>
    <t>list_id</t>
    <phoneticPr fontId="2" type="noConversion"/>
  </si>
  <si>
    <t>order</t>
    <phoneticPr fontId="2" type="noConversion"/>
  </si>
  <si>
    <t>LIST&lt;INT&gt;_S</t>
    <phoneticPr fontId="2" type="noConversion"/>
  </si>
  <si>
    <t>STRING</t>
    <phoneticPr fontId="2" type="noConversion"/>
  </si>
  <si>
    <t>INT_S</t>
    <phoneticPr fontId="2" type="noConversion"/>
  </si>
  <si>
    <t>INT_K</t>
    <phoneticPr fontId="2" type="noConversion"/>
  </si>
  <si>
    <t>paipaiworld_config</t>
    <phoneticPr fontId="2" type="noConversion"/>
  </si>
  <si>
    <t>鞋</t>
    <phoneticPr fontId="2" type="noConversion"/>
  </si>
  <si>
    <t>衣服</t>
    <phoneticPr fontId="2" type="noConversion"/>
  </si>
  <si>
    <t>帽子</t>
    <phoneticPr fontId="2" type="noConversion"/>
  </si>
  <si>
    <t>武器</t>
    <phoneticPr fontId="2" type="noConversion"/>
  </si>
  <si>
    <t>配表队列</t>
    <phoneticPr fontId="2" type="noConversion"/>
  </si>
  <si>
    <t>装备基底</t>
    <phoneticPr fontId="2" type="noConversion"/>
  </si>
  <si>
    <t>类型</t>
    <phoneticPr fontId="2" type="noConversion"/>
  </si>
  <si>
    <t>区域对应等级</t>
    <phoneticPr fontId="2" type="noConversion"/>
  </si>
  <si>
    <t>区域id</t>
    <phoneticPr fontId="2" type="noConversion"/>
  </si>
  <si>
    <t>次购买4件橙装</t>
    <phoneticPr fontId="2" type="noConversion"/>
  </si>
  <si>
    <t>1000000</t>
  </si>
  <si>
    <t>1010000</t>
  </si>
  <si>
    <t>1020000</t>
  </si>
  <si>
    <t>1030000</t>
  </si>
  <si>
    <t>1040000</t>
  </si>
  <si>
    <t>2000000</t>
  </si>
  <si>
    <t>2010000</t>
  </si>
  <si>
    <t>2020000</t>
  </si>
  <si>
    <t>2030000</t>
  </si>
  <si>
    <t>2040000</t>
  </si>
  <si>
    <t>3000000</t>
  </si>
  <si>
    <t>3010000</t>
  </si>
  <si>
    <t>3020000</t>
  </si>
  <si>
    <t>3030000</t>
  </si>
  <si>
    <t>3040000</t>
  </si>
  <si>
    <t>4000000</t>
  </si>
  <si>
    <t>4010000</t>
  </si>
  <si>
    <t>4020000</t>
  </si>
  <si>
    <t>4030000</t>
  </si>
  <si>
    <t>4040000</t>
  </si>
  <si>
    <t>5000000</t>
  </si>
  <si>
    <t>5010000</t>
  </si>
  <si>
    <t>5020000</t>
  </si>
  <si>
    <t>5030000</t>
  </si>
  <si>
    <t>5040000</t>
  </si>
  <si>
    <t>6000000</t>
  </si>
  <si>
    <t>6010000</t>
  </si>
  <si>
    <t>6020000</t>
  </si>
  <si>
    <t>6030000</t>
  </si>
  <si>
    <t>6040000</t>
  </si>
  <si>
    <t>7000000</t>
  </si>
  <si>
    <t>7010000</t>
  </si>
  <si>
    <t>7020000</t>
  </si>
  <si>
    <t>7030000</t>
  </si>
  <si>
    <t>7040000</t>
  </si>
  <si>
    <t>8000000</t>
  </si>
  <si>
    <t>8010000</t>
  </si>
  <si>
    <t>8020000</t>
  </si>
  <si>
    <t>8030000</t>
  </si>
  <si>
    <t>8040000</t>
  </si>
  <si>
    <t>42711002,42632002,42613002,42616002,42635002,42618002,42654002,42617002,42613002,42636002,42615002,42618002,42634002,42617002,42751002,42612002,42615002,42638002,42614002,42617002,42731002,42612002,42653002,42616002,42711002,42632002,42613002,42616002,42635002,42614002,42658002,42617002,42613002,42636002,42615002,42618002,42634002,42711002,42657002,42612002,42615002,42638002,42614002,42617002,42731002,42612002,42656002,42613002,42711002,42632002,42613002,42616002,42634002,42618002,42655002,42617002,42613002,42636002,42615002,42618002,42634002,42617002,42652002,42711002</t>
  </si>
  <si>
    <t>42614002,42638002,42615002,42632002,42731002,42617002,42613002,42637002,42656002,42618002,42711002,42635002,42612002,42614002,42618002,42751002,42616002</t>
  </si>
  <si>
    <t>42711003,42632003,42613003,42616003,42635003,42618003,42654003,42617003,42613003,42636003,42615003,42618003,42634003,42617003,42751003,42612003,42615003,42638003,42614003,42617003,42731003,42612003,42653003,42616003,42711003,42632003,42613003,42616003,42635003,42614003,42658003,42617003,42613003,42636003,42655003,42618003,42634003,42711003,42657003,42612003,42615003,42638003,42614003,42617003,42731003,42612003,42656003,42613003,42711003,42632003,42613003,42616003,42634003,42618003,42655003,42617003,42613003,42636003,42615003,42618003,42634003,42617003,42652003,42711003</t>
  </si>
  <si>
    <t>42637003,42711003,42618003,42635003,42654003,42612003,42638003,42617003,42616003,42655003,42614003,42632003,42633003,42711003,42656003,42615003,42634003</t>
  </si>
  <si>
    <t>42711004,42632004,42613004,42616004,42635004,42618004,42654004,42617004,42613004,42636004,42615004,42618004,42634004,42617004,42751004,42612004,42615004,42638004,42614004,42617004,42731004,42612004,42653004,42616004,42711004,42632004,42613004,42616004,42635004,42614004,42658004,42617004,42613004,42636004,42655004,42618004,42634004,42711004,42657004,42612004,42615004,42638004,42654004,42617004,42731004,42612004,42656004,42613004,42711004,42632004,42613004,42616004,42634004,42618004,42655004,42617004,42613004,42636004,42615004,42618004,42634004,42617004,42652004,42711004</t>
  </si>
  <si>
    <t>42711005,42632005,42613005,42616005,42635005,42618005,42654005,42617005,42613005,42636005,42615005,42618005,42634005,42617005,42751005,42612005,42615005,42638005,42614005,42617005,42731005,42612005,42663005,42616005,42711005,42632005,42613005,42616005,42635005,42614005,42658005,42617005,42613005,42636005,42655005,42618005,42634005,42711005,42657005,42612005,42615005,42638005,42654005,42667005,42731005,42612005,42656005,42613005,42711005,42632005,42613005,42616005,42634005,42618005,42655005,42617005,42613005,42636005,42615005,42618005,42634005,42617005,42652005,42711005</t>
  </si>
  <si>
    <t>42711006,42632006,42613006,42616006,42635006,42618006,42654006,42617006,42613006,42636006,42615006,42618006,42634006,42617006,42751006,42612006,42615006,42638006,42614006,42617006,42731006,42662006,42653006,42616006,42711006,42632006,42613006,42616006,42635006,42614006,42658006,42617006,42613006,42636006,42655006,42618006,42634006,42711006,42657006,42612006,42615006,42638006,42654006,42637006,42761006,42612006,42656006,42613006,42711006,42632006,42613006,42616006,42634006,42618006,42655006,42617006,42613006,42636006,42615006,42618006,42634006,42617006,42652006,42711006</t>
  </si>
  <si>
    <t>42711007,42632007,42613007,42616007,42635007,42618007,42654007,42617007,42613007,42636007,42615007,42618007,42634007,42617007,42751007,42612007,42665007,42638007,42614007,42617007,42731007,42652007,42653007,42616007,42711007,42632007,42613007,42616007,42635007,42614007,42658007,42617007,42613007,42636007,42655007,42618007,42664007,42711007,42657007,42612007,42615007,42638007,42654007,42637007,42731007,42612007,42656007,42613007,42711007,42632007,42613007,42616007,42634007,42618007,42655007,42617007,42613007,42666007,42615007,42618007,42634007,42617007,42652007,42711007</t>
  </si>
  <si>
    <t>42711008,42632008,42613008,42616008,42635008,42618008,42654008,42617008,42613008,42636008,42615008,42618008,42634008,42617008,42751008,42612008,42615008,42638008,42614008,42617008,42731008,42612008,42663008,42616008,42711008,42632008,42613008,42616008,42635008,42614008,42658008,42617008,42613008,42636008,42655008,42668008,42634008,42711008,42657008,42612008,42615008,42638008,42654008,42667008,42731008,42612008,42656008,42613008,42711008,42632008,42613008,42616008,42634008,42618008,42655008,42617008,42613008,42636008,42615008,42618008,42634008,42617008,42652008,42711008</t>
  </si>
  <si>
    <t>42618001,42633001,42614001,42657001,42636001,42615001,42618001,42634001,42617001,42656001,42612001,42615001,42638001,42614001,42617001,42731001,42612001,42658001,42616001,42617001,42731001,42612001,42633001,42616001</t>
  </si>
  <si>
    <t>42615001,42616001,42632001,42613001,42637001,42711001,42634001,42618001,42613001,42634001,42616001,42751001,42633001,42615001,42638001,42614001,42657001,42632001,42731001,42614001,42653001,42637001,42618001,42616001,42655001,42632001,42731001,42636001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</si>
</sst>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0051C-2BB5-4E8C-8465-B87C9768DAA7}">
  <dimension ref="A1:E44"/>
  <sheetViews>
    <sheetView tabSelected="1" workbookViewId="0">
      <pane ySplit="4" topLeftCell="A5" activePane="bottomLeft" state="frozen"/>
      <selection activeCell="E9" sqref="E9"/>
      <selection pane="bottomLeft" activeCell="E6" sqref="E6:E9"/>
    </sheetView>
  </sheetViews>
  <sheetFormatPr defaultRowHeight="13.5" x14ac:dyDescent="0.15"/>
  <cols>
    <col min="1" max="1" width="9.5" style="1" customWidth="1"/>
    <col min="2" max="2" width="8.5" style="1" bestFit="1" customWidth="1"/>
    <col min="3" max="4" width="7.5" style="1" bestFit="1" customWidth="1"/>
    <col min="5" max="5" width="16.125" style="1" customWidth="1"/>
    <col min="6" max="16384" width="9" style="1"/>
  </cols>
  <sheetData>
    <row r="1" spans="1:5" x14ac:dyDescent="0.15">
      <c r="A1" s="1" t="s">
        <v>14</v>
      </c>
    </row>
    <row r="2" spans="1:5" x14ac:dyDescent="0.15">
      <c r="A2" s="1" t="s">
        <v>13</v>
      </c>
      <c r="B2" s="1" t="s">
        <v>12</v>
      </c>
      <c r="C2" s="1" t="s">
        <v>12</v>
      </c>
      <c r="D2" s="2" t="s">
        <v>11</v>
      </c>
      <c r="E2" s="1" t="s">
        <v>10</v>
      </c>
    </row>
    <row r="3" spans="1:5" x14ac:dyDescent="0.15">
      <c r="A3" s="1" t="s">
        <v>9</v>
      </c>
      <c r="B3" s="1" t="s">
        <v>8</v>
      </c>
      <c r="C3" s="1" t="s">
        <v>7</v>
      </c>
      <c r="D3" s="2" t="s">
        <v>6</v>
      </c>
      <c r="E3" s="1" t="s">
        <v>5</v>
      </c>
    </row>
    <row r="4" spans="1:5" x14ac:dyDescent="0.15">
      <c r="A4" s="1" t="s">
        <v>4</v>
      </c>
      <c r="B4" s="1" t="s">
        <v>3</v>
      </c>
      <c r="C4" s="1" t="s">
        <v>2</v>
      </c>
      <c r="D4" s="2" t="s">
        <v>1</v>
      </c>
      <c r="E4" s="1" t="s">
        <v>0</v>
      </c>
    </row>
    <row r="5" spans="1:5" ht="14.25" x14ac:dyDescent="0.15">
      <c r="A5" s="3" t="s">
        <v>25</v>
      </c>
      <c r="B5" s="4">
        <v>100</v>
      </c>
      <c r="C5" s="4">
        <v>0</v>
      </c>
      <c r="D5" s="3"/>
      <c r="E5" s="5" t="s">
        <v>74</v>
      </c>
    </row>
    <row r="6" spans="1:5" ht="14.25" x14ac:dyDescent="0.15">
      <c r="A6" s="3" t="s">
        <v>26</v>
      </c>
      <c r="B6" s="4">
        <v>101</v>
      </c>
      <c r="C6" s="4">
        <v>0</v>
      </c>
      <c r="D6" s="3"/>
      <c r="E6" s="5" t="s">
        <v>75</v>
      </c>
    </row>
    <row r="7" spans="1:5" ht="14.25" x14ac:dyDescent="0.15">
      <c r="A7" s="3" t="s">
        <v>27</v>
      </c>
      <c r="B7" s="4">
        <v>102</v>
      </c>
      <c r="C7" s="4">
        <v>0</v>
      </c>
      <c r="D7" s="3"/>
      <c r="E7" s="5" t="s">
        <v>75</v>
      </c>
    </row>
    <row r="8" spans="1:5" ht="14.25" x14ac:dyDescent="0.15">
      <c r="A8" s="3" t="s">
        <v>28</v>
      </c>
      <c r="B8" s="4">
        <v>103</v>
      </c>
      <c r="C8" s="4">
        <v>0</v>
      </c>
      <c r="D8" s="3"/>
      <c r="E8" s="5" t="s">
        <v>75</v>
      </c>
    </row>
    <row r="9" spans="1:5" ht="14.25" x14ac:dyDescent="0.15">
      <c r="A9" s="3" t="s">
        <v>29</v>
      </c>
      <c r="B9" s="4">
        <v>104</v>
      </c>
      <c r="C9" s="4">
        <v>0</v>
      </c>
      <c r="D9" s="3"/>
      <c r="E9" s="5" t="s">
        <v>75</v>
      </c>
    </row>
    <row r="10" spans="1:5" ht="14.25" x14ac:dyDescent="0.15">
      <c r="A10" s="3" t="s">
        <v>30</v>
      </c>
      <c r="B10" s="3">
        <v>200</v>
      </c>
      <c r="C10" s="4">
        <v>0</v>
      </c>
      <c r="D10" s="3"/>
      <c r="E10" s="5" t="s">
        <v>65</v>
      </c>
    </row>
    <row r="11" spans="1:5" ht="14.25" x14ac:dyDescent="0.15">
      <c r="A11" s="3" t="s">
        <v>31</v>
      </c>
      <c r="B11" s="3">
        <v>201</v>
      </c>
      <c r="C11" s="4">
        <v>0</v>
      </c>
      <c r="D11" s="3"/>
      <c r="E11" s="5" t="s">
        <v>66</v>
      </c>
    </row>
    <row r="12" spans="1:5" ht="14.25" x14ac:dyDescent="0.15">
      <c r="A12" s="3" t="s">
        <v>32</v>
      </c>
      <c r="B12" s="3">
        <v>202</v>
      </c>
      <c r="C12" s="4">
        <v>0</v>
      </c>
      <c r="D12" s="3"/>
      <c r="E12" s="5" t="s">
        <v>66</v>
      </c>
    </row>
    <row r="13" spans="1:5" ht="14.25" x14ac:dyDescent="0.15">
      <c r="A13" s="3" t="s">
        <v>33</v>
      </c>
      <c r="B13" s="3">
        <v>203</v>
      </c>
      <c r="C13" s="4">
        <v>0</v>
      </c>
      <c r="D13" s="3"/>
      <c r="E13" s="5" t="s">
        <v>66</v>
      </c>
    </row>
    <row r="14" spans="1:5" ht="14.25" x14ac:dyDescent="0.15">
      <c r="A14" s="3" t="s">
        <v>34</v>
      </c>
      <c r="B14" s="3">
        <v>204</v>
      </c>
      <c r="C14" s="4">
        <v>0</v>
      </c>
      <c r="D14" s="3"/>
      <c r="E14" s="5" t="s">
        <v>66</v>
      </c>
    </row>
    <row r="15" spans="1:5" ht="14.25" x14ac:dyDescent="0.15">
      <c r="A15" s="3" t="s">
        <v>35</v>
      </c>
      <c r="B15" s="3">
        <v>300</v>
      </c>
      <c r="C15" s="4">
        <v>0</v>
      </c>
      <c r="D15" s="3"/>
      <c r="E15" s="5" t="s">
        <v>67</v>
      </c>
    </row>
    <row r="16" spans="1:5" ht="14.25" x14ac:dyDescent="0.15">
      <c r="A16" s="3" t="s">
        <v>36</v>
      </c>
      <c r="B16" s="3">
        <v>301</v>
      </c>
      <c r="C16" s="4">
        <v>0</v>
      </c>
      <c r="D16" s="3"/>
      <c r="E16" s="5" t="s">
        <v>68</v>
      </c>
    </row>
    <row r="17" spans="1:5" ht="14.25" x14ac:dyDescent="0.15">
      <c r="A17" s="3" t="s">
        <v>37</v>
      </c>
      <c r="B17" s="3">
        <v>302</v>
      </c>
      <c r="C17" s="4">
        <v>0</v>
      </c>
      <c r="D17" s="3"/>
      <c r="E17" s="5" t="s">
        <v>68</v>
      </c>
    </row>
    <row r="18" spans="1:5" ht="14.25" x14ac:dyDescent="0.15">
      <c r="A18" s="3" t="s">
        <v>38</v>
      </c>
      <c r="B18" s="3">
        <v>303</v>
      </c>
      <c r="C18" s="4">
        <v>0</v>
      </c>
      <c r="D18" s="3"/>
      <c r="E18" s="5" t="s">
        <v>68</v>
      </c>
    </row>
    <row r="19" spans="1:5" ht="14.25" x14ac:dyDescent="0.15">
      <c r="A19" s="3" t="s">
        <v>39</v>
      </c>
      <c r="B19" s="3">
        <v>304</v>
      </c>
      <c r="C19" s="4">
        <v>0</v>
      </c>
      <c r="D19" s="3"/>
      <c r="E19" s="5" t="s">
        <v>68</v>
      </c>
    </row>
    <row r="20" spans="1:5" ht="14.25" x14ac:dyDescent="0.15">
      <c r="A20" s="3" t="s">
        <v>40</v>
      </c>
      <c r="B20" s="3">
        <v>400</v>
      </c>
      <c r="C20" s="4">
        <v>0</v>
      </c>
      <c r="D20" s="3"/>
      <c r="E20" s="5" t="s">
        <v>69</v>
      </c>
    </row>
    <row r="21" spans="1:5" ht="14.25" x14ac:dyDescent="0.15">
      <c r="A21" s="3" t="s">
        <v>41</v>
      </c>
      <c r="B21" s="3">
        <v>401</v>
      </c>
      <c r="C21" s="4">
        <v>0</v>
      </c>
      <c r="D21" s="3"/>
      <c r="E21" s="5" t="s">
        <v>69</v>
      </c>
    </row>
    <row r="22" spans="1:5" ht="14.25" x14ac:dyDescent="0.15">
      <c r="A22" s="3" t="s">
        <v>42</v>
      </c>
      <c r="B22" s="3">
        <v>402</v>
      </c>
      <c r="C22" s="4">
        <v>0</v>
      </c>
      <c r="D22" s="3"/>
      <c r="E22" s="5" t="s">
        <v>69</v>
      </c>
    </row>
    <row r="23" spans="1:5" ht="14.25" x14ac:dyDescent="0.15">
      <c r="A23" s="3" t="s">
        <v>43</v>
      </c>
      <c r="B23" s="3">
        <v>403</v>
      </c>
      <c r="C23" s="4">
        <v>0</v>
      </c>
      <c r="D23" s="3"/>
      <c r="E23" s="5" t="s">
        <v>69</v>
      </c>
    </row>
    <row r="24" spans="1:5" ht="14.25" x14ac:dyDescent="0.15">
      <c r="A24" s="3" t="s">
        <v>44</v>
      </c>
      <c r="B24" s="3">
        <v>404</v>
      </c>
      <c r="C24" s="4">
        <v>0</v>
      </c>
      <c r="D24" s="3"/>
      <c r="E24" s="5" t="s">
        <v>69</v>
      </c>
    </row>
    <row r="25" spans="1:5" ht="14.25" x14ac:dyDescent="0.15">
      <c r="A25" s="3" t="s">
        <v>45</v>
      </c>
      <c r="B25" s="3">
        <v>500</v>
      </c>
      <c r="C25" s="4">
        <v>0</v>
      </c>
      <c r="D25" s="3"/>
      <c r="E25" s="5" t="s">
        <v>70</v>
      </c>
    </row>
    <row r="26" spans="1:5" ht="14.25" x14ac:dyDescent="0.15">
      <c r="A26" s="3" t="s">
        <v>46</v>
      </c>
      <c r="B26" s="3">
        <v>501</v>
      </c>
      <c r="C26" s="4">
        <v>0</v>
      </c>
      <c r="D26" s="3"/>
      <c r="E26" s="5" t="s">
        <v>70</v>
      </c>
    </row>
    <row r="27" spans="1:5" ht="14.25" x14ac:dyDescent="0.15">
      <c r="A27" s="3" t="s">
        <v>47</v>
      </c>
      <c r="B27" s="3">
        <v>502</v>
      </c>
      <c r="C27" s="4">
        <v>0</v>
      </c>
      <c r="D27" s="3"/>
      <c r="E27" s="5" t="s">
        <v>70</v>
      </c>
    </row>
    <row r="28" spans="1:5" ht="14.25" x14ac:dyDescent="0.15">
      <c r="A28" s="3" t="s">
        <v>48</v>
      </c>
      <c r="B28" s="3">
        <v>503</v>
      </c>
      <c r="C28" s="4">
        <v>0</v>
      </c>
      <c r="D28" s="3"/>
      <c r="E28" s="5" t="s">
        <v>70</v>
      </c>
    </row>
    <row r="29" spans="1:5" ht="14.25" x14ac:dyDescent="0.15">
      <c r="A29" s="3" t="s">
        <v>49</v>
      </c>
      <c r="B29" s="3">
        <v>504</v>
      </c>
      <c r="C29" s="4">
        <v>0</v>
      </c>
      <c r="D29" s="3"/>
      <c r="E29" s="5" t="s">
        <v>70</v>
      </c>
    </row>
    <row r="30" spans="1:5" ht="14.25" x14ac:dyDescent="0.15">
      <c r="A30" s="3" t="s">
        <v>50</v>
      </c>
      <c r="B30" s="3">
        <v>600</v>
      </c>
      <c r="C30" s="4">
        <v>0</v>
      </c>
      <c r="D30" s="3"/>
      <c r="E30" s="5" t="s">
        <v>71</v>
      </c>
    </row>
    <row r="31" spans="1:5" ht="14.25" x14ac:dyDescent="0.15">
      <c r="A31" s="3" t="s">
        <v>51</v>
      </c>
      <c r="B31" s="3">
        <v>601</v>
      </c>
      <c r="C31" s="4">
        <v>0</v>
      </c>
      <c r="D31" s="3"/>
      <c r="E31" s="5" t="s">
        <v>71</v>
      </c>
    </row>
    <row r="32" spans="1:5" ht="14.25" x14ac:dyDescent="0.15">
      <c r="A32" s="3" t="s">
        <v>52</v>
      </c>
      <c r="B32" s="3">
        <v>602</v>
      </c>
      <c r="C32" s="4">
        <v>0</v>
      </c>
      <c r="D32" s="3"/>
      <c r="E32" s="5" t="s">
        <v>71</v>
      </c>
    </row>
    <row r="33" spans="1:5" ht="14.25" x14ac:dyDescent="0.15">
      <c r="A33" s="3" t="s">
        <v>53</v>
      </c>
      <c r="B33" s="3">
        <v>603</v>
      </c>
      <c r="C33" s="4">
        <v>0</v>
      </c>
      <c r="D33" s="3"/>
      <c r="E33" s="5" t="s">
        <v>71</v>
      </c>
    </row>
    <row r="34" spans="1:5" ht="14.25" x14ac:dyDescent="0.15">
      <c r="A34" s="3" t="s">
        <v>54</v>
      </c>
      <c r="B34" s="3">
        <v>604</v>
      </c>
      <c r="C34" s="4">
        <v>0</v>
      </c>
      <c r="D34" s="3"/>
      <c r="E34" s="5" t="s">
        <v>71</v>
      </c>
    </row>
    <row r="35" spans="1:5" ht="14.25" x14ac:dyDescent="0.15">
      <c r="A35" s="3" t="s">
        <v>55</v>
      </c>
      <c r="B35" s="3">
        <v>700</v>
      </c>
      <c r="C35" s="4">
        <v>0</v>
      </c>
      <c r="D35" s="3"/>
      <c r="E35" s="5" t="s">
        <v>72</v>
      </c>
    </row>
    <row r="36" spans="1:5" ht="14.25" x14ac:dyDescent="0.15">
      <c r="A36" s="3" t="s">
        <v>56</v>
      </c>
      <c r="B36" s="3">
        <v>701</v>
      </c>
      <c r="C36" s="4">
        <v>0</v>
      </c>
      <c r="D36" s="3"/>
      <c r="E36" s="5" t="s">
        <v>72</v>
      </c>
    </row>
    <row r="37" spans="1:5" ht="14.25" x14ac:dyDescent="0.15">
      <c r="A37" s="3" t="s">
        <v>57</v>
      </c>
      <c r="B37" s="3">
        <v>702</v>
      </c>
      <c r="C37" s="4">
        <v>0</v>
      </c>
      <c r="D37" s="3"/>
      <c r="E37" s="5" t="s">
        <v>72</v>
      </c>
    </row>
    <row r="38" spans="1:5" ht="14.25" x14ac:dyDescent="0.15">
      <c r="A38" s="3" t="s">
        <v>58</v>
      </c>
      <c r="B38" s="3">
        <v>703</v>
      </c>
      <c r="C38" s="4">
        <v>0</v>
      </c>
      <c r="D38" s="3"/>
      <c r="E38" s="5" t="s">
        <v>72</v>
      </c>
    </row>
    <row r="39" spans="1:5" ht="14.25" x14ac:dyDescent="0.15">
      <c r="A39" s="3" t="s">
        <v>59</v>
      </c>
      <c r="B39" s="3">
        <v>704</v>
      </c>
      <c r="C39" s="4">
        <v>0</v>
      </c>
      <c r="D39" s="3"/>
      <c r="E39" s="5" t="s">
        <v>72</v>
      </c>
    </row>
    <row r="40" spans="1:5" ht="14.25" x14ac:dyDescent="0.15">
      <c r="A40" s="3" t="s">
        <v>60</v>
      </c>
      <c r="B40" s="3">
        <v>800</v>
      </c>
      <c r="C40" s="4">
        <v>0</v>
      </c>
      <c r="D40" s="3"/>
      <c r="E40" s="5" t="s">
        <v>73</v>
      </c>
    </row>
    <row r="41" spans="1:5" ht="14.25" x14ac:dyDescent="0.15">
      <c r="A41" s="3" t="s">
        <v>61</v>
      </c>
      <c r="B41" s="3">
        <v>801</v>
      </c>
      <c r="C41" s="4">
        <v>0</v>
      </c>
      <c r="D41" s="3"/>
      <c r="E41" s="5" t="s">
        <v>73</v>
      </c>
    </row>
    <row r="42" spans="1:5" ht="14.25" x14ac:dyDescent="0.15">
      <c r="A42" s="3" t="s">
        <v>62</v>
      </c>
      <c r="B42" s="3">
        <v>802</v>
      </c>
      <c r="C42" s="4">
        <v>0</v>
      </c>
      <c r="D42" s="3"/>
      <c r="E42" s="5" t="s">
        <v>73</v>
      </c>
    </row>
    <row r="43" spans="1:5" ht="14.25" x14ac:dyDescent="0.15">
      <c r="A43" s="3" t="s">
        <v>63</v>
      </c>
      <c r="B43" s="3">
        <v>803</v>
      </c>
      <c r="C43" s="4">
        <v>0</v>
      </c>
      <c r="D43" s="3"/>
      <c r="E43" s="5" t="s">
        <v>73</v>
      </c>
    </row>
    <row r="44" spans="1:5" ht="14.25" x14ac:dyDescent="0.15">
      <c r="A44" s="3" t="s">
        <v>64</v>
      </c>
      <c r="B44" s="3">
        <v>804</v>
      </c>
      <c r="C44" s="4">
        <v>0</v>
      </c>
      <c r="D44" s="3"/>
      <c r="E44" s="5" t="s">
        <v>73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1EF3D-CE49-4DC8-8DE3-4F925CFEB6F4}">
  <dimension ref="A1:BT82"/>
  <sheetViews>
    <sheetView workbookViewId="0">
      <pane ySplit="2" topLeftCell="A3" activePane="bottomLeft" state="frozen"/>
      <selection activeCell="E9" sqref="E9"/>
      <selection pane="bottomLeft" activeCell="C3" sqref="C3"/>
    </sheetView>
  </sheetViews>
  <sheetFormatPr defaultRowHeight="13.5" x14ac:dyDescent="0.15"/>
  <cols>
    <col min="1" max="1" width="2.5" style="1" bestFit="1" customWidth="1"/>
    <col min="2" max="2" width="6.875" style="1" bestFit="1" customWidth="1"/>
    <col min="3" max="6" width="3.5" style="1" bestFit="1" customWidth="1"/>
    <col min="7" max="7" width="4.5" style="1" bestFit="1" customWidth="1"/>
    <col min="8" max="13" width="3.5" style="1" bestFit="1" customWidth="1"/>
    <col min="14" max="14" width="6.75" style="1" bestFit="1" customWidth="1"/>
    <col min="15" max="15" width="13" style="1" bestFit="1" customWidth="1"/>
    <col min="16" max="17" width="6.75" style="1" bestFit="1" customWidth="1"/>
    <col min="18" max="18" width="5.25" style="1" bestFit="1" customWidth="1"/>
    <col min="19" max="19" width="9.5" style="1" bestFit="1" customWidth="1"/>
    <col min="20" max="22" width="9.5" style="1" customWidth="1"/>
    <col min="23" max="25" width="9.625" style="1" bestFit="1" customWidth="1"/>
    <col min="26" max="26" width="9.5" style="1" bestFit="1" customWidth="1"/>
    <col min="27" max="30" width="9.625" style="1" bestFit="1" customWidth="1"/>
    <col min="31" max="31" width="9.5" style="1" bestFit="1" customWidth="1"/>
    <col min="32" max="35" width="10.625" style="1" bestFit="1" customWidth="1"/>
    <col min="36" max="36" width="9.5" style="1" bestFit="1" customWidth="1"/>
    <col min="37" max="40" width="10.625" style="1" bestFit="1" customWidth="1"/>
    <col min="41" max="41" width="9.5" style="1" bestFit="1" customWidth="1"/>
    <col min="42" max="45" width="10.625" style="1" bestFit="1" customWidth="1"/>
    <col min="46" max="46" width="9.5" style="1" bestFit="1" customWidth="1"/>
    <col min="47" max="50" width="10.625" style="1" bestFit="1" customWidth="1"/>
    <col min="51" max="51" width="9.5" style="1" bestFit="1" customWidth="1"/>
    <col min="52" max="55" width="10.625" style="1" bestFit="1" customWidth="1"/>
    <col min="56" max="56" width="9.5" style="1" bestFit="1" customWidth="1"/>
    <col min="57" max="60" width="10.625" style="1" bestFit="1" customWidth="1"/>
    <col min="61" max="61" width="9.5" style="1" bestFit="1" customWidth="1"/>
    <col min="62" max="65" width="10.625" style="1" bestFit="1" customWidth="1"/>
    <col min="66" max="66" width="9.5" style="1" bestFit="1" customWidth="1"/>
    <col min="67" max="70" width="10.625" style="1" bestFit="1" customWidth="1"/>
    <col min="71" max="71" width="9.5" style="1" bestFit="1" customWidth="1"/>
    <col min="72" max="72" width="10.625" style="1" bestFit="1" customWidth="1"/>
    <col min="73" max="77" width="3.5" style="1" bestFit="1" customWidth="1"/>
    <col min="78" max="78" width="6.875" style="1" bestFit="1" customWidth="1"/>
    <col min="79" max="121" width="3.5" style="1" bestFit="1" customWidth="1"/>
    <col min="122" max="172" width="4.5" style="1" bestFit="1" customWidth="1"/>
    <col min="173" max="16384" width="9" style="1"/>
  </cols>
  <sheetData>
    <row r="1" spans="1:72" x14ac:dyDescent="0.15">
      <c r="B1" s="1">
        <v>100</v>
      </c>
      <c r="C1" s="1" t="s">
        <v>24</v>
      </c>
    </row>
    <row r="2" spans="1:72" x14ac:dyDescent="0.15">
      <c r="N2" s="1" t="s">
        <v>23</v>
      </c>
      <c r="O2" s="1" t="s">
        <v>22</v>
      </c>
      <c r="P2" s="1" t="s">
        <v>3</v>
      </c>
      <c r="Q2" s="1" t="s">
        <v>2</v>
      </c>
      <c r="R2" s="1" t="s">
        <v>21</v>
      </c>
      <c r="S2" s="1" t="s">
        <v>20</v>
      </c>
      <c r="T2" s="1" t="s">
        <v>19</v>
      </c>
      <c r="W2" s="1">
        <v>1</v>
      </c>
      <c r="X2" s="1">
        <f t="shared" ref="X2:BC2" si="0">W2+1</f>
        <v>2</v>
      </c>
      <c r="Y2" s="1">
        <f t="shared" si="0"/>
        <v>3</v>
      </c>
      <c r="Z2" s="1">
        <f t="shared" si="0"/>
        <v>4</v>
      </c>
      <c r="AA2" s="1">
        <f t="shared" si="0"/>
        <v>5</v>
      </c>
      <c r="AB2" s="1">
        <f t="shared" si="0"/>
        <v>6</v>
      </c>
      <c r="AC2" s="1">
        <f t="shared" si="0"/>
        <v>7</v>
      </c>
      <c r="AD2" s="1">
        <f t="shared" si="0"/>
        <v>8</v>
      </c>
      <c r="AE2" s="1">
        <f t="shared" si="0"/>
        <v>9</v>
      </c>
      <c r="AF2" s="1">
        <f t="shared" si="0"/>
        <v>10</v>
      </c>
      <c r="AG2" s="1">
        <f t="shared" si="0"/>
        <v>11</v>
      </c>
      <c r="AH2" s="1">
        <f t="shared" si="0"/>
        <v>12</v>
      </c>
      <c r="AI2" s="1">
        <f t="shared" si="0"/>
        <v>13</v>
      </c>
      <c r="AJ2" s="1">
        <f t="shared" si="0"/>
        <v>14</v>
      </c>
      <c r="AK2" s="1">
        <f t="shared" si="0"/>
        <v>15</v>
      </c>
      <c r="AL2" s="1">
        <f t="shared" si="0"/>
        <v>16</v>
      </c>
      <c r="AM2" s="1">
        <f t="shared" si="0"/>
        <v>17</v>
      </c>
      <c r="AN2" s="1">
        <f t="shared" si="0"/>
        <v>18</v>
      </c>
      <c r="AO2" s="1">
        <f t="shared" si="0"/>
        <v>19</v>
      </c>
      <c r="AP2" s="1">
        <f t="shared" si="0"/>
        <v>20</v>
      </c>
      <c r="AQ2" s="1">
        <f t="shared" si="0"/>
        <v>21</v>
      </c>
      <c r="AR2" s="1">
        <f t="shared" si="0"/>
        <v>22</v>
      </c>
      <c r="AS2" s="1">
        <f t="shared" si="0"/>
        <v>23</v>
      </c>
      <c r="AT2" s="1">
        <f t="shared" si="0"/>
        <v>24</v>
      </c>
      <c r="AU2" s="1">
        <f t="shared" si="0"/>
        <v>25</v>
      </c>
      <c r="AV2" s="1">
        <f t="shared" si="0"/>
        <v>26</v>
      </c>
      <c r="AW2" s="1">
        <f t="shared" si="0"/>
        <v>27</v>
      </c>
      <c r="AX2" s="1">
        <f t="shared" si="0"/>
        <v>28</v>
      </c>
      <c r="AY2" s="1">
        <f t="shared" si="0"/>
        <v>29</v>
      </c>
      <c r="AZ2" s="1">
        <f t="shared" si="0"/>
        <v>30</v>
      </c>
      <c r="BA2" s="1">
        <f t="shared" si="0"/>
        <v>31</v>
      </c>
      <c r="BB2" s="1">
        <f t="shared" si="0"/>
        <v>32</v>
      </c>
      <c r="BC2" s="1">
        <f t="shared" si="0"/>
        <v>33</v>
      </c>
      <c r="BD2" s="1">
        <f t="shared" ref="BD2:BT2" si="1">BC2+1</f>
        <v>34</v>
      </c>
      <c r="BE2" s="1">
        <f t="shared" si="1"/>
        <v>35</v>
      </c>
      <c r="BF2" s="1">
        <f t="shared" si="1"/>
        <v>36</v>
      </c>
      <c r="BG2" s="1">
        <f t="shared" si="1"/>
        <v>37</v>
      </c>
      <c r="BH2" s="1">
        <f t="shared" si="1"/>
        <v>38</v>
      </c>
      <c r="BI2" s="1">
        <f t="shared" si="1"/>
        <v>39</v>
      </c>
      <c r="BJ2" s="1">
        <f t="shared" si="1"/>
        <v>40</v>
      </c>
      <c r="BK2" s="1">
        <f t="shared" si="1"/>
        <v>41</v>
      </c>
      <c r="BL2" s="1">
        <f t="shared" si="1"/>
        <v>42</v>
      </c>
      <c r="BM2" s="1">
        <f t="shared" si="1"/>
        <v>43</v>
      </c>
      <c r="BN2" s="1">
        <f t="shared" si="1"/>
        <v>44</v>
      </c>
      <c r="BO2" s="1">
        <f t="shared" si="1"/>
        <v>45</v>
      </c>
      <c r="BP2" s="1">
        <f t="shared" si="1"/>
        <v>46</v>
      </c>
      <c r="BQ2" s="1">
        <f t="shared" si="1"/>
        <v>47</v>
      </c>
      <c r="BR2" s="1">
        <f t="shared" si="1"/>
        <v>48</v>
      </c>
      <c r="BS2" s="1">
        <f t="shared" si="1"/>
        <v>49</v>
      </c>
      <c r="BT2" s="1">
        <f t="shared" si="1"/>
        <v>50</v>
      </c>
    </row>
    <row r="3" spans="1:72" x14ac:dyDescent="0.15">
      <c r="A3" s="1">
        <v>0</v>
      </c>
      <c r="B3" s="1" cm="1">
        <f t="array" aca="1" ref="B3:E3" ca="1">_xlfn.RANDARRAY(1,4,1,50,TRUE)</f>
        <v>11</v>
      </c>
      <c r="C3" s="1">
        <f ca="1"/>
        <v>21</v>
      </c>
      <c r="D3" s="1">
        <f ca="1"/>
        <v>21</v>
      </c>
      <c r="E3" s="1">
        <f ca="1"/>
        <v>32</v>
      </c>
      <c r="G3" s="1">
        <v>100</v>
      </c>
      <c r="H3" s="1">
        <v>1</v>
      </c>
      <c r="I3" s="1">
        <v>46</v>
      </c>
      <c r="J3" s="1">
        <v>31</v>
      </c>
      <c r="K3" s="1">
        <v>23</v>
      </c>
      <c r="L3" s="1">
        <v>44</v>
      </c>
      <c r="N3" s="1">
        <v>30001</v>
      </c>
      <c r="O3" s="1">
        <v>1</v>
      </c>
      <c r="P3" s="1">
        <v>100</v>
      </c>
      <c r="Q3" s="1">
        <v>1</v>
      </c>
      <c r="R3" s="1" t="s">
        <v>18</v>
      </c>
      <c r="S3" s="1">
        <v>42711000</v>
      </c>
      <c r="T3" s="1" t="str">
        <f t="shared" ref="T3:T34" si="2">_xlfn.TEXTJOIN(",",TRUE,W3:BT3)</f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</v>
      </c>
      <c r="W3" s="1" cm="1">
        <f t="array" ref="W3">IF(INDEX($I$3:$L$22,MATCH($P3,$G$3:$G$22,0),$Q3)=W$2,$S3+$O3+9,$S3+$O3)</f>
        <v>42711001</v>
      </c>
      <c r="X3" s="1" cm="1">
        <f t="array" ref="X3">IF(INDEX($I$3:$L$22,MATCH($P3,$G$3:$G$22,0),$Q3)=X$2,$S3+$O3+9,$S3+$O3)</f>
        <v>42711001</v>
      </c>
      <c r="Y3" s="1" cm="1">
        <f t="array" ref="Y3">IF(INDEX($I$3:$L$22,MATCH($P3,$G$3:$G$22,0),$Q3)=Y$2,$S3+$O3+9,$S3+$O3)</f>
        <v>42711001</v>
      </c>
      <c r="Z3" s="1">
        <f>IF(INDEX($I$3:$L$22,MATCH($P3,$G$3:$G$22,0),$Q3)=Z$2,$S3+$O3+9,$S3+$O3)</f>
        <v>42711001</v>
      </c>
      <c r="AA3" s="1" cm="1">
        <f t="array" ref="AA3">IF(INDEX($I$3:$L$22,MATCH($P3,$G$3:$G$22,0),$Q3)=AA$2,$S3+$O3+9,$S3+$O3)</f>
        <v>42711001</v>
      </c>
      <c r="AB3" s="1" cm="1">
        <f t="array" ref="AB3">IF(INDEX($I$3:$L$22,MATCH($P3,$G$3:$G$22,0),$Q3)=AB$2,$S3+$O3+9,$S3+$O3)</f>
        <v>42711001</v>
      </c>
      <c r="AC3" s="1" cm="1">
        <f t="array" ref="AC3">IF(INDEX($I$3:$L$22,MATCH($P3,$G$3:$G$22,0),$Q3)=AC$2,$S3+$O3+9,$S3+$O3)</f>
        <v>42711001</v>
      </c>
      <c r="AD3" s="1" cm="1">
        <f t="array" ref="AD3">IF(INDEX($I$3:$L$22,MATCH($P3,$G$3:$G$22,0),$Q3)=AD$2,$S3+$O3+9,$S3+$O3)</f>
        <v>42711001</v>
      </c>
      <c r="AE3" s="1" cm="1">
        <f t="array" ref="AE3">IF(INDEX($I$3:$L$22,MATCH($P3,$G$3:$G$22,0),$Q3)=AE$2,$S3+$O3+9,$S3+$O3)</f>
        <v>42711001</v>
      </c>
      <c r="AF3" s="1" cm="1">
        <f t="array" ref="AF3">IF(INDEX($I$3:$L$22,MATCH($P3,$G$3:$G$22,0),$Q3)=AF$2,$S3+$O3+9,$S3+$O3)</f>
        <v>42711001</v>
      </c>
      <c r="AG3" s="1" cm="1">
        <f t="array" ref="AG3">IF(INDEX($I$3:$L$22,MATCH($P3,$G$3:$G$22,0),$Q3)=AG$2,$S3+$O3+9,$S3+$O3)</f>
        <v>42711001</v>
      </c>
      <c r="AH3" s="1" cm="1">
        <f t="array" ref="AH3">IF(INDEX($I$3:$L$22,MATCH($P3,$G$3:$G$22,0),$Q3)=AH$2,$S3+$O3+9,$S3+$O3)</f>
        <v>42711001</v>
      </c>
      <c r="AI3" s="1" cm="1">
        <f t="array" ref="AI3">IF(INDEX($I$3:$L$22,MATCH($P3,$G$3:$G$22,0),$Q3)=AI$2,$S3+$O3+9,$S3+$O3)</f>
        <v>42711001</v>
      </c>
      <c r="AJ3" s="1" cm="1">
        <f t="array" ref="AJ3">IF(INDEX($I$3:$L$22,MATCH($P3,$G$3:$G$22,0),$Q3)=AJ$2,$S3+$O3+9,$S3+$O3)</f>
        <v>42711001</v>
      </c>
      <c r="AK3" s="1" cm="1">
        <f t="array" ref="AK3">IF(INDEX($I$3:$L$22,MATCH($P3,$G$3:$G$22,0),$Q3)=AK$2,$S3+$O3+9,$S3+$O3)</f>
        <v>42711001</v>
      </c>
      <c r="AL3" s="1" cm="1">
        <f t="array" ref="AL3">IF(INDEX($I$3:$L$22,MATCH($P3,$G$3:$G$22,0),$Q3)=AL$2,$S3+$O3+9,$S3+$O3)</f>
        <v>42711001</v>
      </c>
      <c r="AM3" s="1" cm="1">
        <f t="array" ref="AM3">IF(INDEX($I$3:$L$22,MATCH($P3,$G$3:$G$22,0),$Q3)=AM$2,$S3+$O3+9,$S3+$O3)</f>
        <v>42711001</v>
      </c>
      <c r="AN3" s="1" cm="1">
        <f t="array" ref="AN3">IF(INDEX($I$3:$L$22,MATCH($P3,$G$3:$G$22,0),$Q3)=AN$2,$S3+$O3+9,$S3+$O3)</f>
        <v>42711001</v>
      </c>
      <c r="AO3" s="1" cm="1">
        <f t="array" ref="AO3">IF(INDEX($I$3:$L$22,MATCH($P3,$G$3:$G$22,0),$Q3)=AO$2,$S3+$O3+9,$S3+$O3)</f>
        <v>42711001</v>
      </c>
      <c r="AP3" s="1" cm="1">
        <f t="array" ref="AP3">IF(INDEX($I$3:$L$22,MATCH($P3,$G$3:$G$22,0),$Q3)=AP$2,$S3+$O3+9,$S3+$O3)</f>
        <v>42711001</v>
      </c>
      <c r="AQ3" s="1" cm="1">
        <f t="array" ref="AQ3">IF(INDEX($I$3:$L$22,MATCH($P3,$G$3:$G$22,0),$Q3)=AQ$2,$S3+$O3+9,$S3+$O3)</f>
        <v>42711001</v>
      </c>
      <c r="AR3" s="1" cm="1">
        <f t="array" ref="AR3">IF(INDEX($I$3:$L$22,MATCH($P3,$G$3:$G$22,0),$Q3)=AR$2,$S3+$O3+9,$S3+$O3)</f>
        <v>42711001</v>
      </c>
      <c r="AS3" s="1" cm="1">
        <f t="array" ref="AS3">IF(INDEX($I$3:$L$22,MATCH($P3,$G$3:$G$22,0),$Q3)=AS$2,$S3+$O3+9,$S3+$O3)</f>
        <v>42711001</v>
      </c>
      <c r="AT3" s="1" cm="1">
        <f t="array" ref="AT3">IF(INDEX($I$3:$L$22,MATCH($P3,$G$3:$G$22,0),$Q3)=AT$2,$S3+$O3+9,$S3+$O3)</f>
        <v>42711001</v>
      </c>
      <c r="AU3" s="1" cm="1">
        <f t="array" ref="AU3">IF(INDEX($I$3:$L$22,MATCH($P3,$G$3:$G$22,0),$Q3)=AU$2,$S3+$O3+9,$S3+$O3)</f>
        <v>42711001</v>
      </c>
      <c r="AV3" s="1" cm="1">
        <f t="array" ref="AV3">IF(INDEX($I$3:$L$22,MATCH($P3,$G$3:$G$22,0),$Q3)=AV$2,$S3+$O3+9,$S3+$O3)</f>
        <v>42711001</v>
      </c>
      <c r="AW3" s="1" cm="1">
        <f t="array" ref="AW3">IF(INDEX($I$3:$L$22,MATCH($P3,$G$3:$G$22,0),$Q3)=AW$2,$S3+$O3+9,$S3+$O3)</f>
        <v>42711001</v>
      </c>
      <c r="AX3" s="1" cm="1">
        <f t="array" ref="AX3">IF(INDEX($I$3:$L$22,MATCH($P3,$G$3:$G$22,0),$Q3)=AX$2,$S3+$O3+9,$S3+$O3)</f>
        <v>42711001</v>
      </c>
      <c r="AY3" s="1" cm="1">
        <f t="array" ref="AY3">IF(INDEX($I$3:$L$22,MATCH($P3,$G$3:$G$22,0),$Q3)=AY$2,$S3+$O3+9,$S3+$O3)</f>
        <v>42711001</v>
      </c>
      <c r="AZ3" s="1" cm="1">
        <f t="array" ref="AZ3">IF(INDEX($I$3:$L$22,MATCH($P3,$G$3:$G$22,0),$Q3)=AZ$2,$S3+$O3+9,$S3+$O3)</f>
        <v>42711001</v>
      </c>
      <c r="BA3" s="1" cm="1">
        <f t="array" ref="BA3">IF(INDEX($I$3:$L$22,MATCH($P3,$G$3:$G$22,0),$Q3)=BA$2,$S3+$O3+9,$S3+$O3)</f>
        <v>42711001</v>
      </c>
      <c r="BB3" s="1" cm="1">
        <f t="array" ref="BB3">IF(INDEX($I$3:$L$22,MATCH($P3,$G$3:$G$22,0),$Q3)=BB$2,$S3+$O3+9,$S3+$O3)</f>
        <v>42711001</v>
      </c>
      <c r="BC3" s="1" cm="1">
        <f t="array" ref="BC3">IF(INDEX($I$3:$L$22,MATCH($P3,$G$3:$G$22,0),$Q3)=BC$2,$S3+$O3+9,$S3+$O3)</f>
        <v>42711001</v>
      </c>
      <c r="BD3" s="1" cm="1">
        <f t="array" ref="BD3">IF(INDEX($I$3:$L$22,MATCH($P3,$G$3:$G$22,0),$Q3)=BD$2,$S3+$O3+9,$S3+$O3)</f>
        <v>42711001</v>
      </c>
      <c r="BE3" s="1" cm="1">
        <f t="array" ref="BE3">IF(INDEX($I$3:$L$22,MATCH($P3,$G$3:$G$22,0),$Q3)=BE$2,$S3+$O3+9,$S3+$O3)</f>
        <v>42711001</v>
      </c>
      <c r="BF3" s="1" cm="1">
        <f t="array" ref="BF3">IF(INDEX($I$3:$L$22,MATCH($P3,$G$3:$G$22,0),$Q3)=BF$2,$S3+$O3+9,$S3+$O3)</f>
        <v>42711001</v>
      </c>
      <c r="BG3" s="1" cm="1">
        <f t="array" ref="BG3">IF(INDEX($I$3:$L$22,MATCH($P3,$G$3:$G$22,0),$Q3)=BG$2,$S3+$O3+9,$S3+$O3)</f>
        <v>42711001</v>
      </c>
      <c r="BH3" s="1" cm="1">
        <f t="array" ref="BH3">IF(INDEX($I$3:$L$22,MATCH($P3,$G$3:$G$22,0),$Q3)=BH$2,$S3+$O3+9,$S3+$O3)</f>
        <v>42711001</v>
      </c>
      <c r="BI3" s="1" cm="1">
        <f t="array" ref="BI3">IF(INDEX($I$3:$L$22,MATCH($P3,$G$3:$G$22,0),$Q3)=BI$2,$S3+$O3+9,$S3+$O3)</f>
        <v>42711001</v>
      </c>
      <c r="BJ3" s="1" cm="1">
        <f t="array" ref="BJ3">IF(INDEX($I$3:$L$22,MATCH($P3,$G$3:$G$22,0),$Q3)=BJ$2,$S3+$O3+9,$S3+$O3)</f>
        <v>42711001</v>
      </c>
      <c r="BK3" s="1" cm="1">
        <f t="array" ref="BK3">IF(INDEX($I$3:$L$22,MATCH($P3,$G$3:$G$22,0),$Q3)=BK$2,$S3+$O3+9,$S3+$O3)</f>
        <v>42711001</v>
      </c>
      <c r="BL3" s="1" cm="1">
        <f t="array" ref="BL3">IF(INDEX($I$3:$L$22,MATCH($P3,$G$3:$G$22,0),$Q3)=BL$2,$S3+$O3+9,$S3+$O3)</f>
        <v>42711001</v>
      </c>
      <c r="BM3" s="1" cm="1">
        <f t="array" ref="BM3">IF(INDEX($I$3:$L$22,MATCH($P3,$G$3:$G$22,0),$Q3)=BM$2,$S3+$O3+9,$S3+$O3)</f>
        <v>42711001</v>
      </c>
      <c r="BN3" s="1" cm="1">
        <f t="array" ref="BN3">IF(INDEX($I$3:$L$22,MATCH($P3,$G$3:$G$22,0),$Q3)=BN$2,$S3+$O3+9,$S3+$O3)</f>
        <v>42711001</v>
      </c>
      <c r="BO3" s="1" cm="1">
        <f t="array" ref="BO3">IF(INDEX($I$3:$L$22,MATCH($P3,$G$3:$G$22,0),$Q3)=BO$2,$S3+$O3+9,$S3+$O3)</f>
        <v>42711001</v>
      </c>
      <c r="BP3" s="1" cm="1">
        <f t="array" ref="BP3">IF(INDEX($I$3:$L$22,MATCH($P3,$G$3:$G$22,0),$Q3)=BP$2,$S3+$O3+9,$S3+$O3)</f>
        <v>42711010</v>
      </c>
      <c r="BQ3" s="1" cm="1">
        <f t="array" ref="BQ3">IF(INDEX($I$3:$L$22,MATCH($P3,$G$3:$G$22,0),$Q3)=BQ$2,$S3+$O3+9,$S3+$O3)</f>
        <v>42711001</v>
      </c>
      <c r="BR3" s="1" cm="1">
        <f t="array" ref="BR3">IF(INDEX($I$3:$L$22,MATCH($P3,$G$3:$G$22,0),$Q3)=BR$2,$S3+$O3+9,$S3+$O3)</f>
        <v>42711001</v>
      </c>
      <c r="BS3" s="1" cm="1">
        <f t="array" ref="BS3">IF(INDEX($I$3:$L$22,MATCH($P3,$G$3:$G$22,0),$Q3)=BS$2,$S3+$O3+9,$S3+$O3)</f>
        <v>42711001</v>
      </c>
      <c r="BT3" s="1" cm="1">
        <f t="array" ref="BT3">IF(INDEX($I$3:$L$22,MATCH($P3,$G$3:$G$22,0),$Q3)=BT$2,$S3+$O3+9,$S3+$O3)</f>
        <v>42711001</v>
      </c>
    </row>
    <row r="4" spans="1:72" x14ac:dyDescent="0.15">
      <c r="A4" s="1">
        <v>0</v>
      </c>
      <c r="B4" s="1" cm="1">
        <f t="array" aca="1" ref="B4:E4" ca="1">_xlfn.RANDARRAY(1,4,1,50,TRUE)</f>
        <v>30</v>
      </c>
      <c r="C4" s="1">
        <f ca="1"/>
        <v>50</v>
      </c>
      <c r="D4" s="1">
        <f ca="1"/>
        <v>22</v>
      </c>
      <c r="E4" s="1">
        <f ca="1"/>
        <v>15</v>
      </c>
      <c r="G4" s="1">
        <f>G3+1</f>
        <v>101</v>
      </c>
      <c r="H4" s="1">
        <v>1</v>
      </c>
      <c r="I4" s="1">
        <v>49</v>
      </c>
      <c r="J4" s="1">
        <v>19</v>
      </c>
      <c r="K4" s="1">
        <v>32</v>
      </c>
      <c r="L4" s="1">
        <v>18</v>
      </c>
      <c r="N4" s="1">
        <v>30001</v>
      </c>
      <c r="O4" s="1">
        <v>1</v>
      </c>
      <c r="P4" s="1">
        <v>100</v>
      </c>
      <c r="Q4" s="1">
        <v>2</v>
      </c>
      <c r="R4" s="1" t="s">
        <v>17</v>
      </c>
      <c r="S4" s="1">
        <v>42612000</v>
      </c>
      <c r="T4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</v>
      </c>
      <c r="W4" s="1" cm="1">
        <f t="array" ref="W4">IF(INDEX($I$3:$L$22,MATCH($P4,$G$3:$G$22,0),$Q4)=W$2,$S4+$O4+9,$S4+$O4)</f>
        <v>42612001</v>
      </c>
      <c r="X4" s="1" cm="1">
        <f t="array" ref="X4">IF(INDEX($I$3:$L$22,MATCH($P4,$G$3:$G$22,0),$Q4)=X$2,$S4+$O4+9,$S4+$O4)</f>
        <v>42612001</v>
      </c>
      <c r="Y4" s="1" cm="1">
        <f t="array" ref="Y4">IF(INDEX($I$3:$L$22,MATCH($P4,$G$3:$G$22,0),$Q4)=Y$2,$S4+$O4+9,$S4+$O4)</f>
        <v>42612001</v>
      </c>
      <c r="Z4" s="1" cm="1">
        <f t="array" ref="Z4">IF(INDEX($I$3:$L$22,MATCH($P4,$G$3:$G$22,0),$Q4)=Z$2,$S4+$O4+9,$S4+$O4)</f>
        <v>42612001</v>
      </c>
      <c r="AA4" s="1" cm="1">
        <f t="array" ref="AA4">IF(INDEX($I$3:$L$22,MATCH($P4,$G$3:$G$22,0),$Q4)=AA$2,$S4+$O4+9,$S4+$O4)</f>
        <v>42612001</v>
      </c>
      <c r="AB4" s="1" cm="1">
        <f t="array" ref="AB4">IF(INDEX($I$3:$L$22,MATCH($P4,$G$3:$G$22,0),$Q4)=AB$2,$S4+$O4+9,$S4+$O4)</f>
        <v>42612001</v>
      </c>
      <c r="AC4" s="1" cm="1">
        <f t="array" ref="AC4">IF(INDEX($I$3:$L$22,MATCH($P4,$G$3:$G$22,0),$Q4)=AC$2,$S4+$O4+9,$S4+$O4)</f>
        <v>42612001</v>
      </c>
      <c r="AD4" s="1" cm="1">
        <f t="array" ref="AD4">IF(INDEX($I$3:$L$22,MATCH($P4,$G$3:$G$22,0),$Q4)=AD$2,$S4+$O4+9,$S4+$O4)</f>
        <v>42612001</v>
      </c>
      <c r="AE4" s="1" cm="1">
        <f t="array" ref="AE4">IF(INDEX($I$3:$L$22,MATCH($P4,$G$3:$G$22,0),$Q4)=AE$2,$S4+$O4+9,$S4+$O4)</f>
        <v>42612001</v>
      </c>
      <c r="AF4" s="1" cm="1">
        <f t="array" ref="AF4">IF(INDEX($I$3:$L$22,MATCH($P4,$G$3:$G$22,0),$Q4)=AF$2,$S4+$O4+9,$S4+$O4)</f>
        <v>42612001</v>
      </c>
      <c r="AG4" s="1" cm="1">
        <f t="array" ref="AG4">IF(INDEX($I$3:$L$22,MATCH($P4,$G$3:$G$22,0),$Q4)=AG$2,$S4+$O4+9,$S4+$O4)</f>
        <v>42612001</v>
      </c>
      <c r="AH4" s="1" cm="1">
        <f t="array" ref="AH4">IF(INDEX($I$3:$L$22,MATCH($P4,$G$3:$G$22,0),$Q4)=AH$2,$S4+$O4+9,$S4+$O4)</f>
        <v>42612001</v>
      </c>
      <c r="AI4" s="1" cm="1">
        <f t="array" ref="AI4">IF(INDEX($I$3:$L$22,MATCH($P4,$G$3:$G$22,0),$Q4)=AI$2,$S4+$O4+9,$S4+$O4)</f>
        <v>42612001</v>
      </c>
      <c r="AJ4" s="1" cm="1">
        <f t="array" ref="AJ4">IF(INDEX($I$3:$L$22,MATCH($P4,$G$3:$G$22,0),$Q4)=AJ$2,$S4+$O4+9,$S4+$O4)</f>
        <v>42612001</v>
      </c>
      <c r="AK4" s="1" cm="1">
        <f t="array" ref="AK4">IF(INDEX($I$3:$L$22,MATCH($P4,$G$3:$G$22,0),$Q4)=AK$2,$S4+$O4+9,$S4+$O4)</f>
        <v>42612001</v>
      </c>
      <c r="AL4" s="1" cm="1">
        <f t="array" ref="AL4">IF(INDEX($I$3:$L$22,MATCH($P4,$G$3:$G$22,0),$Q4)=AL$2,$S4+$O4+9,$S4+$O4)</f>
        <v>42612001</v>
      </c>
      <c r="AM4" s="1" cm="1">
        <f t="array" ref="AM4">IF(INDEX($I$3:$L$22,MATCH($P4,$G$3:$G$22,0),$Q4)=AM$2,$S4+$O4+9,$S4+$O4)</f>
        <v>42612001</v>
      </c>
      <c r="AN4" s="1" cm="1">
        <f t="array" ref="AN4">IF(INDEX($I$3:$L$22,MATCH($P4,$G$3:$G$22,0),$Q4)=AN$2,$S4+$O4+9,$S4+$O4)</f>
        <v>42612001</v>
      </c>
      <c r="AO4" s="1" cm="1">
        <f t="array" ref="AO4">IF(INDEX($I$3:$L$22,MATCH($P4,$G$3:$G$22,0),$Q4)=AO$2,$S4+$O4+9,$S4+$O4)</f>
        <v>42612001</v>
      </c>
      <c r="AP4" s="1" cm="1">
        <f t="array" ref="AP4">IF(INDEX($I$3:$L$22,MATCH($P4,$G$3:$G$22,0),$Q4)=AP$2,$S4+$O4+9,$S4+$O4)</f>
        <v>42612001</v>
      </c>
      <c r="AQ4" s="1" cm="1">
        <f t="array" ref="AQ4">IF(INDEX($I$3:$L$22,MATCH($P4,$G$3:$G$22,0),$Q4)=AQ$2,$S4+$O4+9,$S4+$O4)</f>
        <v>42612001</v>
      </c>
      <c r="AR4" s="1" cm="1">
        <f t="array" ref="AR4">IF(INDEX($I$3:$L$22,MATCH($P4,$G$3:$G$22,0),$Q4)=AR$2,$S4+$O4+9,$S4+$O4)</f>
        <v>42612001</v>
      </c>
      <c r="AS4" s="1" cm="1">
        <f t="array" ref="AS4">IF(INDEX($I$3:$L$22,MATCH($P4,$G$3:$G$22,0),$Q4)=AS$2,$S4+$O4+9,$S4+$O4)</f>
        <v>42612001</v>
      </c>
      <c r="AT4" s="1" cm="1">
        <f t="array" ref="AT4">IF(INDEX($I$3:$L$22,MATCH($P4,$G$3:$G$22,0),$Q4)=AT$2,$S4+$O4+9,$S4+$O4)</f>
        <v>42612001</v>
      </c>
      <c r="AU4" s="1" cm="1">
        <f t="array" ref="AU4">IF(INDEX($I$3:$L$22,MATCH($P4,$G$3:$G$22,0),$Q4)=AU$2,$S4+$O4+9,$S4+$O4)</f>
        <v>42612001</v>
      </c>
      <c r="AV4" s="1" cm="1">
        <f t="array" ref="AV4">IF(INDEX($I$3:$L$22,MATCH($P4,$G$3:$G$22,0),$Q4)=AV$2,$S4+$O4+9,$S4+$O4)</f>
        <v>42612001</v>
      </c>
      <c r="AW4" s="1" cm="1">
        <f t="array" ref="AW4">IF(INDEX($I$3:$L$22,MATCH($P4,$G$3:$G$22,0),$Q4)=AW$2,$S4+$O4+9,$S4+$O4)</f>
        <v>42612001</v>
      </c>
      <c r="AX4" s="1" cm="1">
        <f t="array" ref="AX4">IF(INDEX($I$3:$L$22,MATCH($P4,$G$3:$G$22,0),$Q4)=AX$2,$S4+$O4+9,$S4+$O4)</f>
        <v>42612001</v>
      </c>
      <c r="AY4" s="1" cm="1">
        <f t="array" ref="AY4">IF(INDEX($I$3:$L$22,MATCH($P4,$G$3:$G$22,0),$Q4)=AY$2,$S4+$O4+9,$S4+$O4)</f>
        <v>42612001</v>
      </c>
      <c r="AZ4" s="1" cm="1">
        <f t="array" ref="AZ4">IF(INDEX($I$3:$L$22,MATCH($P4,$G$3:$G$22,0),$Q4)=AZ$2,$S4+$O4+9,$S4+$O4)</f>
        <v>42612001</v>
      </c>
      <c r="BA4" s="1" cm="1">
        <f t="array" ref="BA4">IF(INDEX($I$3:$L$22,MATCH($P4,$G$3:$G$22,0),$Q4)=BA$2,$S4+$O4+9,$S4+$O4)</f>
        <v>42612010</v>
      </c>
      <c r="BB4" s="1" cm="1">
        <f t="array" ref="BB4">IF(INDEX($I$3:$L$22,MATCH($P4,$G$3:$G$22,0),$Q4)=BB$2,$S4+$O4+9,$S4+$O4)</f>
        <v>42612001</v>
      </c>
      <c r="BC4" s="1" cm="1">
        <f t="array" ref="BC4">IF(INDEX($I$3:$L$22,MATCH($P4,$G$3:$G$22,0),$Q4)=BC$2,$S4+$O4+9,$S4+$O4)</f>
        <v>42612001</v>
      </c>
      <c r="BD4" s="1" cm="1">
        <f t="array" ref="BD4">IF(INDEX($I$3:$L$22,MATCH($P4,$G$3:$G$22,0),$Q4)=BD$2,$S4+$O4+9,$S4+$O4)</f>
        <v>42612001</v>
      </c>
      <c r="BE4" s="1" cm="1">
        <f t="array" ref="BE4">IF(INDEX($I$3:$L$22,MATCH($P4,$G$3:$G$22,0),$Q4)=BE$2,$S4+$O4+9,$S4+$O4)</f>
        <v>42612001</v>
      </c>
      <c r="BF4" s="1" cm="1">
        <f t="array" ref="BF4">IF(INDEX($I$3:$L$22,MATCH($P4,$G$3:$G$22,0),$Q4)=BF$2,$S4+$O4+9,$S4+$O4)</f>
        <v>42612001</v>
      </c>
      <c r="BG4" s="1" cm="1">
        <f t="array" ref="BG4">IF(INDEX($I$3:$L$22,MATCH($P4,$G$3:$G$22,0),$Q4)=BG$2,$S4+$O4+9,$S4+$O4)</f>
        <v>42612001</v>
      </c>
      <c r="BH4" s="1" cm="1">
        <f t="array" ref="BH4">IF(INDEX($I$3:$L$22,MATCH($P4,$G$3:$G$22,0),$Q4)=BH$2,$S4+$O4+9,$S4+$O4)</f>
        <v>42612001</v>
      </c>
      <c r="BI4" s="1" cm="1">
        <f t="array" ref="BI4">IF(INDEX($I$3:$L$22,MATCH($P4,$G$3:$G$22,0),$Q4)=BI$2,$S4+$O4+9,$S4+$O4)</f>
        <v>42612001</v>
      </c>
      <c r="BJ4" s="1" cm="1">
        <f t="array" ref="BJ4">IF(INDEX($I$3:$L$22,MATCH($P4,$G$3:$G$22,0),$Q4)=BJ$2,$S4+$O4+9,$S4+$O4)</f>
        <v>42612001</v>
      </c>
      <c r="BK4" s="1" cm="1">
        <f t="array" ref="BK4">IF(INDEX($I$3:$L$22,MATCH($P4,$G$3:$G$22,0),$Q4)=BK$2,$S4+$O4+9,$S4+$O4)</f>
        <v>42612001</v>
      </c>
      <c r="BL4" s="1" cm="1">
        <f t="array" ref="BL4">IF(INDEX($I$3:$L$22,MATCH($P4,$G$3:$G$22,0),$Q4)=BL$2,$S4+$O4+9,$S4+$O4)</f>
        <v>42612001</v>
      </c>
      <c r="BM4" s="1" cm="1">
        <f t="array" ref="BM4">IF(INDEX($I$3:$L$22,MATCH($P4,$G$3:$G$22,0),$Q4)=BM$2,$S4+$O4+9,$S4+$O4)</f>
        <v>42612001</v>
      </c>
      <c r="BN4" s="1" cm="1">
        <f t="array" ref="BN4">IF(INDEX($I$3:$L$22,MATCH($P4,$G$3:$G$22,0),$Q4)=BN$2,$S4+$O4+9,$S4+$O4)</f>
        <v>42612001</v>
      </c>
      <c r="BO4" s="1" cm="1">
        <f t="array" ref="BO4">IF(INDEX($I$3:$L$22,MATCH($P4,$G$3:$G$22,0),$Q4)=BO$2,$S4+$O4+9,$S4+$O4)</f>
        <v>42612001</v>
      </c>
      <c r="BP4" s="1" cm="1">
        <f t="array" ref="BP4">IF(INDEX($I$3:$L$22,MATCH($P4,$G$3:$G$22,0),$Q4)=BP$2,$S4+$O4+9,$S4+$O4)</f>
        <v>42612001</v>
      </c>
      <c r="BQ4" s="1" cm="1">
        <f t="array" ref="BQ4">IF(INDEX($I$3:$L$22,MATCH($P4,$G$3:$G$22,0),$Q4)=BQ$2,$S4+$O4+9,$S4+$O4)</f>
        <v>42612001</v>
      </c>
      <c r="BR4" s="1" cm="1">
        <f t="array" ref="BR4">IF(INDEX($I$3:$L$22,MATCH($P4,$G$3:$G$22,0),$Q4)=BR$2,$S4+$O4+9,$S4+$O4)</f>
        <v>42612001</v>
      </c>
      <c r="BS4" s="1" cm="1">
        <f t="array" ref="BS4">IF(INDEX($I$3:$L$22,MATCH($P4,$G$3:$G$22,0),$Q4)=BS$2,$S4+$O4+9,$S4+$O4)</f>
        <v>42612001</v>
      </c>
      <c r="BT4" s="1" cm="1">
        <f t="array" ref="BT4">IF(INDEX($I$3:$L$22,MATCH($P4,$G$3:$G$22,0),$Q4)=BT$2,$S4+$O4+9,$S4+$O4)</f>
        <v>42612001</v>
      </c>
    </row>
    <row r="5" spans="1:72" x14ac:dyDescent="0.15">
      <c r="A5" s="1">
        <v>0</v>
      </c>
      <c r="B5" s="1" cm="1">
        <f t="array" aca="1" ref="B5:E5" ca="1">_xlfn.RANDARRAY(1,4,1,50,TRUE)</f>
        <v>20</v>
      </c>
      <c r="C5" s="1">
        <f ca="1"/>
        <v>10</v>
      </c>
      <c r="D5" s="1">
        <f ca="1"/>
        <v>10</v>
      </c>
      <c r="E5" s="1">
        <f ca="1"/>
        <v>3</v>
      </c>
      <c r="G5" s="1">
        <f>G4+1</f>
        <v>102</v>
      </c>
      <c r="H5" s="1">
        <v>1</v>
      </c>
      <c r="I5" s="1">
        <v>2</v>
      </c>
      <c r="J5" s="1">
        <v>50</v>
      </c>
      <c r="K5" s="1">
        <v>48</v>
      </c>
      <c r="L5" s="1">
        <v>30</v>
      </c>
      <c r="N5" s="1">
        <v>30001</v>
      </c>
      <c r="O5" s="1">
        <v>1</v>
      </c>
      <c r="P5" s="1">
        <v>100</v>
      </c>
      <c r="Q5" s="1">
        <v>3</v>
      </c>
      <c r="R5" s="1" t="s">
        <v>16</v>
      </c>
      <c r="S5" s="1">
        <v>42713000</v>
      </c>
      <c r="T5" s="1" t="str">
        <f t="shared" si="2"/>
        <v>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</v>
      </c>
      <c r="W5" s="1" cm="1">
        <f t="array" ref="W5">IF(INDEX($I$3:$L$22,MATCH($P5,$G$3:$G$22,0),$Q5)=W$2,$S5+$O5+9,$S5+$O5)</f>
        <v>42713001</v>
      </c>
      <c r="X5" s="1" cm="1">
        <f t="array" ref="X5">IF(INDEX($I$3:$L$22,MATCH($P5,$G$3:$G$22,0),$Q5)=X$2,$S5+$O5+9,$S5+$O5)</f>
        <v>42713001</v>
      </c>
      <c r="Y5" s="1" cm="1">
        <f t="array" ref="Y5">IF(INDEX($I$3:$L$22,MATCH($P5,$G$3:$G$22,0),$Q5)=Y$2,$S5+$O5+9,$S5+$O5)</f>
        <v>42713001</v>
      </c>
      <c r="Z5" s="1" cm="1">
        <f t="array" ref="Z5">IF(INDEX($I$3:$L$22,MATCH($P5,$G$3:$G$22,0),$Q5)=Z$2,$S5+$O5+9,$S5+$O5)</f>
        <v>42713001</v>
      </c>
      <c r="AA5" s="1" cm="1">
        <f t="array" ref="AA5">IF(INDEX($I$3:$L$22,MATCH($P5,$G$3:$G$22,0),$Q5)=AA$2,$S5+$O5+9,$S5+$O5)</f>
        <v>42713001</v>
      </c>
      <c r="AB5" s="1" cm="1">
        <f t="array" ref="AB5">IF(INDEX($I$3:$L$22,MATCH($P5,$G$3:$G$22,0),$Q5)=AB$2,$S5+$O5+9,$S5+$O5)</f>
        <v>42713001</v>
      </c>
      <c r="AC5" s="1" cm="1">
        <f t="array" ref="AC5">IF(INDEX($I$3:$L$22,MATCH($P5,$G$3:$G$22,0),$Q5)=AC$2,$S5+$O5+9,$S5+$O5)</f>
        <v>42713001</v>
      </c>
      <c r="AD5" s="1" cm="1">
        <f t="array" ref="AD5">IF(INDEX($I$3:$L$22,MATCH($P5,$G$3:$G$22,0),$Q5)=AD$2,$S5+$O5+9,$S5+$O5)</f>
        <v>42713001</v>
      </c>
      <c r="AE5" s="1" cm="1">
        <f t="array" ref="AE5">IF(INDEX($I$3:$L$22,MATCH($P5,$G$3:$G$22,0),$Q5)=AE$2,$S5+$O5+9,$S5+$O5)</f>
        <v>42713001</v>
      </c>
      <c r="AF5" s="1" cm="1">
        <f t="array" ref="AF5">IF(INDEX($I$3:$L$22,MATCH($P5,$G$3:$G$22,0),$Q5)=AF$2,$S5+$O5+9,$S5+$O5)</f>
        <v>42713001</v>
      </c>
      <c r="AG5" s="1" cm="1">
        <f t="array" ref="AG5">IF(INDEX($I$3:$L$22,MATCH($P5,$G$3:$G$22,0),$Q5)=AG$2,$S5+$O5+9,$S5+$O5)</f>
        <v>42713001</v>
      </c>
      <c r="AH5" s="1" cm="1">
        <f t="array" ref="AH5">IF(INDEX($I$3:$L$22,MATCH($P5,$G$3:$G$22,0),$Q5)=AH$2,$S5+$O5+9,$S5+$O5)</f>
        <v>42713001</v>
      </c>
      <c r="AI5" s="1" cm="1">
        <f t="array" ref="AI5">IF(INDEX($I$3:$L$22,MATCH($P5,$G$3:$G$22,0),$Q5)=AI$2,$S5+$O5+9,$S5+$O5)</f>
        <v>42713001</v>
      </c>
      <c r="AJ5" s="1" cm="1">
        <f t="array" ref="AJ5">IF(INDEX($I$3:$L$22,MATCH($P5,$G$3:$G$22,0),$Q5)=AJ$2,$S5+$O5+9,$S5+$O5)</f>
        <v>42713001</v>
      </c>
      <c r="AK5" s="1" cm="1">
        <f t="array" ref="AK5">IF(INDEX($I$3:$L$22,MATCH($P5,$G$3:$G$22,0),$Q5)=AK$2,$S5+$O5+9,$S5+$O5)</f>
        <v>42713001</v>
      </c>
      <c r="AL5" s="1" cm="1">
        <f t="array" ref="AL5">IF(INDEX($I$3:$L$22,MATCH($P5,$G$3:$G$22,0),$Q5)=AL$2,$S5+$O5+9,$S5+$O5)</f>
        <v>42713001</v>
      </c>
      <c r="AM5" s="1" cm="1">
        <f t="array" ref="AM5">IF(INDEX($I$3:$L$22,MATCH($P5,$G$3:$G$22,0),$Q5)=AM$2,$S5+$O5+9,$S5+$O5)</f>
        <v>42713001</v>
      </c>
      <c r="AN5" s="1" cm="1">
        <f t="array" ref="AN5">IF(INDEX($I$3:$L$22,MATCH($P5,$G$3:$G$22,0),$Q5)=AN$2,$S5+$O5+9,$S5+$O5)</f>
        <v>42713001</v>
      </c>
      <c r="AO5" s="1" cm="1">
        <f t="array" ref="AO5">IF(INDEX($I$3:$L$22,MATCH($P5,$G$3:$G$22,0),$Q5)=AO$2,$S5+$O5+9,$S5+$O5)</f>
        <v>42713001</v>
      </c>
      <c r="AP5" s="1" cm="1">
        <f t="array" ref="AP5">IF(INDEX($I$3:$L$22,MATCH($P5,$G$3:$G$22,0),$Q5)=AP$2,$S5+$O5+9,$S5+$O5)</f>
        <v>42713001</v>
      </c>
      <c r="AQ5" s="1" cm="1">
        <f t="array" ref="AQ5">IF(INDEX($I$3:$L$22,MATCH($P5,$G$3:$G$22,0),$Q5)=AQ$2,$S5+$O5+9,$S5+$O5)</f>
        <v>42713001</v>
      </c>
      <c r="AR5" s="1" cm="1">
        <f t="array" ref="AR5">IF(INDEX($I$3:$L$22,MATCH($P5,$G$3:$G$22,0),$Q5)=AR$2,$S5+$O5+9,$S5+$O5)</f>
        <v>42713001</v>
      </c>
      <c r="AS5" s="1" cm="1">
        <f t="array" ref="AS5">IF(INDEX($I$3:$L$22,MATCH($P5,$G$3:$G$22,0),$Q5)=AS$2,$S5+$O5+9,$S5+$O5)</f>
        <v>42713010</v>
      </c>
      <c r="AT5" s="1" cm="1">
        <f t="array" ref="AT5">IF(INDEX($I$3:$L$22,MATCH($P5,$G$3:$G$22,0),$Q5)=AT$2,$S5+$O5+9,$S5+$O5)</f>
        <v>42713001</v>
      </c>
      <c r="AU5" s="1" cm="1">
        <f t="array" ref="AU5">IF(INDEX($I$3:$L$22,MATCH($P5,$G$3:$G$22,0),$Q5)=AU$2,$S5+$O5+9,$S5+$O5)</f>
        <v>42713001</v>
      </c>
      <c r="AV5" s="1" cm="1">
        <f t="array" ref="AV5">IF(INDEX($I$3:$L$22,MATCH($P5,$G$3:$G$22,0),$Q5)=AV$2,$S5+$O5+9,$S5+$O5)</f>
        <v>42713001</v>
      </c>
      <c r="AW5" s="1" cm="1">
        <f t="array" ref="AW5">IF(INDEX($I$3:$L$22,MATCH($P5,$G$3:$G$22,0),$Q5)=AW$2,$S5+$O5+9,$S5+$O5)</f>
        <v>42713001</v>
      </c>
      <c r="AX5" s="1" cm="1">
        <f t="array" ref="AX5">IF(INDEX($I$3:$L$22,MATCH($P5,$G$3:$G$22,0),$Q5)=AX$2,$S5+$O5+9,$S5+$O5)</f>
        <v>42713001</v>
      </c>
      <c r="AY5" s="1" cm="1">
        <f t="array" ref="AY5">IF(INDEX($I$3:$L$22,MATCH($P5,$G$3:$G$22,0),$Q5)=AY$2,$S5+$O5+9,$S5+$O5)</f>
        <v>42713001</v>
      </c>
      <c r="AZ5" s="1" cm="1">
        <f t="array" ref="AZ5">IF(INDEX($I$3:$L$22,MATCH($P5,$G$3:$G$22,0),$Q5)=AZ$2,$S5+$O5+9,$S5+$O5)</f>
        <v>42713001</v>
      </c>
      <c r="BA5" s="1" cm="1">
        <f t="array" ref="BA5">IF(INDEX($I$3:$L$22,MATCH($P5,$G$3:$G$22,0),$Q5)=BA$2,$S5+$O5+9,$S5+$O5)</f>
        <v>42713001</v>
      </c>
      <c r="BB5" s="1" cm="1">
        <f t="array" ref="BB5">IF(INDEX($I$3:$L$22,MATCH($P5,$G$3:$G$22,0),$Q5)=BB$2,$S5+$O5+9,$S5+$O5)</f>
        <v>42713001</v>
      </c>
      <c r="BC5" s="1" cm="1">
        <f t="array" ref="BC5">IF(INDEX($I$3:$L$22,MATCH($P5,$G$3:$G$22,0),$Q5)=BC$2,$S5+$O5+9,$S5+$O5)</f>
        <v>42713001</v>
      </c>
      <c r="BD5" s="1" cm="1">
        <f t="array" ref="BD5">IF(INDEX($I$3:$L$22,MATCH($P5,$G$3:$G$22,0),$Q5)=BD$2,$S5+$O5+9,$S5+$O5)</f>
        <v>42713001</v>
      </c>
      <c r="BE5" s="1" cm="1">
        <f t="array" ref="BE5">IF(INDEX($I$3:$L$22,MATCH($P5,$G$3:$G$22,0),$Q5)=BE$2,$S5+$O5+9,$S5+$O5)</f>
        <v>42713001</v>
      </c>
      <c r="BF5" s="1" cm="1">
        <f t="array" ref="BF5">IF(INDEX($I$3:$L$22,MATCH($P5,$G$3:$G$22,0),$Q5)=BF$2,$S5+$O5+9,$S5+$O5)</f>
        <v>42713001</v>
      </c>
      <c r="BG5" s="1" cm="1">
        <f t="array" ref="BG5">IF(INDEX($I$3:$L$22,MATCH($P5,$G$3:$G$22,0),$Q5)=BG$2,$S5+$O5+9,$S5+$O5)</f>
        <v>42713001</v>
      </c>
      <c r="BH5" s="1" cm="1">
        <f t="array" ref="BH5">IF(INDEX($I$3:$L$22,MATCH($P5,$G$3:$G$22,0),$Q5)=BH$2,$S5+$O5+9,$S5+$O5)</f>
        <v>42713001</v>
      </c>
      <c r="BI5" s="1" cm="1">
        <f t="array" ref="BI5">IF(INDEX($I$3:$L$22,MATCH($P5,$G$3:$G$22,0),$Q5)=BI$2,$S5+$O5+9,$S5+$O5)</f>
        <v>42713001</v>
      </c>
      <c r="BJ5" s="1" cm="1">
        <f t="array" ref="BJ5">IF(INDEX($I$3:$L$22,MATCH($P5,$G$3:$G$22,0),$Q5)=BJ$2,$S5+$O5+9,$S5+$O5)</f>
        <v>42713001</v>
      </c>
      <c r="BK5" s="1" cm="1">
        <f t="array" ref="BK5">IF(INDEX($I$3:$L$22,MATCH($P5,$G$3:$G$22,0),$Q5)=BK$2,$S5+$O5+9,$S5+$O5)</f>
        <v>42713001</v>
      </c>
      <c r="BL5" s="1" cm="1">
        <f t="array" ref="BL5">IF(INDEX($I$3:$L$22,MATCH($P5,$G$3:$G$22,0),$Q5)=BL$2,$S5+$O5+9,$S5+$O5)</f>
        <v>42713001</v>
      </c>
      <c r="BM5" s="1" cm="1">
        <f t="array" ref="BM5">IF(INDEX($I$3:$L$22,MATCH($P5,$G$3:$G$22,0),$Q5)=BM$2,$S5+$O5+9,$S5+$O5)</f>
        <v>42713001</v>
      </c>
      <c r="BN5" s="1" cm="1">
        <f t="array" ref="BN5">IF(INDEX($I$3:$L$22,MATCH($P5,$G$3:$G$22,0),$Q5)=BN$2,$S5+$O5+9,$S5+$O5)</f>
        <v>42713001</v>
      </c>
      <c r="BO5" s="1" cm="1">
        <f t="array" ref="BO5">IF(INDEX($I$3:$L$22,MATCH($P5,$G$3:$G$22,0),$Q5)=BO$2,$S5+$O5+9,$S5+$O5)</f>
        <v>42713001</v>
      </c>
      <c r="BP5" s="1" cm="1">
        <f t="array" ref="BP5">IF(INDEX($I$3:$L$22,MATCH($P5,$G$3:$G$22,0),$Q5)=BP$2,$S5+$O5+9,$S5+$O5)</f>
        <v>42713001</v>
      </c>
      <c r="BQ5" s="1" cm="1">
        <f t="array" ref="BQ5">IF(INDEX($I$3:$L$22,MATCH($P5,$G$3:$G$22,0),$Q5)=BQ$2,$S5+$O5+9,$S5+$O5)</f>
        <v>42713001</v>
      </c>
      <c r="BR5" s="1" cm="1">
        <f t="array" ref="BR5">IF(INDEX($I$3:$L$22,MATCH($P5,$G$3:$G$22,0),$Q5)=BR$2,$S5+$O5+9,$S5+$O5)</f>
        <v>42713001</v>
      </c>
      <c r="BS5" s="1" cm="1">
        <f t="array" ref="BS5">IF(INDEX($I$3:$L$22,MATCH($P5,$G$3:$G$22,0),$Q5)=BS$2,$S5+$O5+9,$S5+$O5)</f>
        <v>42713001</v>
      </c>
      <c r="BT5" s="1" cm="1">
        <f t="array" ref="BT5">IF(INDEX($I$3:$L$22,MATCH($P5,$G$3:$G$22,0),$Q5)=BT$2,$S5+$O5+9,$S5+$O5)</f>
        <v>42713001</v>
      </c>
    </row>
    <row r="6" spans="1:72" x14ac:dyDescent="0.15">
      <c r="A6" s="1">
        <v>0</v>
      </c>
      <c r="B6" s="1" cm="1">
        <f t="array" aca="1" ref="B6:E6" ca="1">_xlfn.RANDARRAY(1,4,1,50,TRUE)</f>
        <v>42</v>
      </c>
      <c r="C6" s="1">
        <f ca="1"/>
        <v>41</v>
      </c>
      <c r="D6" s="1">
        <f ca="1"/>
        <v>49</v>
      </c>
      <c r="E6" s="1">
        <f ca="1"/>
        <v>5</v>
      </c>
      <c r="G6" s="1">
        <f>G5+1</f>
        <v>103</v>
      </c>
      <c r="H6" s="1">
        <v>1</v>
      </c>
      <c r="I6" s="1">
        <v>43</v>
      </c>
      <c r="J6" s="1">
        <v>47</v>
      </c>
      <c r="K6" s="1">
        <v>10</v>
      </c>
      <c r="L6" s="1">
        <v>33</v>
      </c>
      <c r="N6" s="1">
        <v>30001</v>
      </c>
      <c r="O6" s="1">
        <v>1</v>
      </c>
      <c r="P6" s="1">
        <v>100</v>
      </c>
      <c r="Q6" s="1">
        <v>4</v>
      </c>
      <c r="R6" s="1" t="s">
        <v>15</v>
      </c>
      <c r="S6" s="1">
        <v>42716000</v>
      </c>
      <c r="T6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</v>
      </c>
      <c r="W6" s="1" cm="1">
        <f t="array" ref="W6">IF(INDEX($I$3:$L$22,MATCH($P6,$G$3:$G$22,0),$Q6)=W$2,$S6+$O6+9,$S6+$O6)</f>
        <v>42716001</v>
      </c>
      <c r="X6" s="1" cm="1">
        <f t="array" ref="X6">IF(INDEX($I$3:$L$22,MATCH($P6,$G$3:$G$22,0),$Q6)=X$2,$S6+$O6+9,$S6+$O6)</f>
        <v>42716001</v>
      </c>
      <c r="Y6" s="1" cm="1">
        <f t="array" ref="Y6">IF(INDEX($I$3:$L$22,MATCH($P6,$G$3:$G$22,0),$Q6)=Y$2,$S6+$O6+9,$S6+$O6)</f>
        <v>42716001</v>
      </c>
      <c r="Z6" s="1" cm="1">
        <f t="array" ref="Z6">IF(INDEX($I$3:$L$22,MATCH($P6,$G$3:$G$22,0),$Q6)=Z$2,$S6+$O6+9,$S6+$O6)</f>
        <v>42716001</v>
      </c>
      <c r="AA6" s="1" cm="1">
        <f t="array" ref="AA6">IF(INDEX($I$3:$L$22,MATCH($P6,$G$3:$G$22,0),$Q6)=AA$2,$S6+$O6+9,$S6+$O6)</f>
        <v>42716001</v>
      </c>
      <c r="AB6" s="1" cm="1">
        <f t="array" ref="AB6">IF(INDEX($I$3:$L$22,MATCH($P6,$G$3:$G$22,0),$Q6)=AB$2,$S6+$O6+9,$S6+$O6)</f>
        <v>42716001</v>
      </c>
      <c r="AC6" s="1" cm="1">
        <f t="array" ref="AC6">IF(INDEX($I$3:$L$22,MATCH($P6,$G$3:$G$22,0),$Q6)=AC$2,$S6+$O6+9,$S6+$O6)</f>
        <v>42716001</v>
      </c>
      <c r="AD6" s="1" cm="1">
        <f t="array" ref="AD6">IF(INDEX($I$3:$L$22,MATCH($P6,$G$3:$G$22,0),$Q6)=AD$2,$S6+$O6+9,$S6+$O6)</f>
        <v>42716001</v>
      </c>
      <c r="AE6" s="1" cm="1">
        <f t="array" ref="AE6">IF(INDEX($I$3:$L$22,MATCH($P6,$G$3:$G$22,0),$Q6)=AE$2,$S6+$O6+9,$S6+$O6)</f>
        <v>42716001</v>
      </c>
      <c r="AF6" s="1" cm="1">
        <f t="array" ref="AF6">IF(INDEX($I$3:$L$22,MATCH($P6,$G$3:$G$22,0),$Q6)=AF$2,$S6+$O6+9,$S6+$O6)</f>
        <v>42716001</v>
      </c>
      <c r="AG6" s="1" cm="1">
        <f t="array" ref="AG6">IF(INDEX($I$3:$L$22,MATCH($P6,$G$3:$G$22,0),$Q6)=AG$2,$S6+$O6+9,$S6+$O6)</f>
        <v>42716001</v>
      </c>
      <c r="AH6" s="1" cm="1">
        <f t="array" ref="AH6">IF(INDEX($I$3:$L$22,MATCH($P6,$G$3:$G$22,0),$Q6)=AH$2,$S6+$O6+9,$S6+$O6)</f>
        <v>42716001</v>
      </c>
      <c r="AI6" s="1" cm="1">
        <f t="array" ref="AI6">IF(INDEX($I$3:$L$22,MATCH($P6,$G$3:$G$22,0),$Q6)=AI$2,$S6+$O6+9,$S6+$O6)</f>
        <v>42716001</v>
      </c>
      <c r="AJ6" s="1" cm="1">
        <f t="array" ref="AJ6">IF(INDEX($I$3:$L$22,MATCH($P6,$G$3:$G$22,0),$Q6)=AJ$2,$S6+$O6+9,$S6+$O6)</f>
        <v>42716001</v>
      </c>
      <c r="AK6" s="1" cm="1">
        <f t="array" ref="AK6">IF(INDEX($I$3:$L$22,MATCH($P6,$G$3:$G$22,0),$Q6)=AK$2,$S6+$O6+9,$S6+$O6)</f>
        <v>42716001</v>
      </c>
      <c r="AL6" s="1" cm="1">
        <f t="array" ref="AL6">IF(INDEX($I$3:$L$22,MATCH($P6,$G$3:$G$22,0),$Q6)=AL$2,$S6+$O6+9,$S6+$O6)</f>
        <v>42716001</v>
      </c>
      <c r="AM6" s="1" cm="1">
        <f t="array" ref="AM6">IF(INDEX($I$3:$L$22,MATCH($P6,$G$3:$G$22,0),$Q6)=AM$2,$S6+$O6+9,$S6+$O6)</f>
        <v>42716001</v>
      </c>
      <c r="AN6" s="1" cm="1">
        <f t="array" ref="AN6">IF(INDEX($I$3:$L$22,MATCH($P6,$G$3:$G$22,0),$Q6)=AN$2,$S6+$O6+9,$S6+$O6)</f>
        <v>42716001</v>
      </c>
      <c r="AO6" s="1" cm="1">
        <f t="array" ref="AO6">IF(INDEX($I$3:$L$22,MATCH($P6,$G$3:$G$22,0),$Q6)=AO$2,$S6+$O6+9,$S6+$O6)</f>
        <v>42716001</v>
      </c>
      <c r="AP6" s="1" cm="1">
        <f t="array" ref="AP6">IF(INDEX($I$3:$L$22,MATCH($P6,$G$3:$G$22,0),$Q6)=AP$2,$S6+$O6+9,$S6+$O6)</f>
        <v>42716001</v>
      </c>
      <c r="AQ6" s="1" cm="1">
        <f t="array" ref="AQ6">IF(INDEX($I$3:$L$22,MATCH($P6,$G$3:$G$22,0),$Q6)=AQ$2,$S6+$O6+9,$S6+$O6)</f>
        <v>42716001</v>
      </c>
      <c r="AR6" s="1" cm="1">
        <f t="array" ref="AR6">IF(INDEX($I$3:$L$22,MATCH($P6,$G$3:$G$22,0),$Q6)=AR$2,$S6+$O6+9,$S6+$O6)</f>
        <v>42716001</v>
      </c>
      <c r="AS6" s="1" cm="1">
        <f t="array" ref="AS6">IF(INDEX($I$3:$L$22,MATCH($P6,$G$3:$G$22,0),$Q6)=AS$2,$S6+$O6+9,$S6+$O6)</f>
        <v>42716001</v>
      </c>
      <c r="AT6" s="1" cm="1">
        <f t="array" ref="AT6">IF(INDEX($I$3:$L$22,MATCH($P6,$G$3:$G$22,0),$Q6)=AT$2,$S6+$O6+9,$S6+$O6)</f>
        <v>42716001</v>
      </c>
      <c r="AU6" s="1" cm="1">
        <f t="array" ref="AU6">IF(INDEX($I$3:$L$22,MATCH($P6,$G$3:$G$22,0),$Q6)=AU$2,$S6+$O6+9,$S6+$O6)</f>
        <v>42716001</v>
      </c>
      <c r="AV6" s="1" cm="1">
        <f t="array" ref="AV6">IF(INDEX($I$3:$L$22,MATCH($P6,$G$3:$G$22,0),$Q6)=AV$2,$S6+$O6+9,$S6+$O6)</f>
        <v>42716001</v>
      </c>
      <c r="AW6" s="1" cm="1">
        <f t="array" ref="AW6">IF(INDEX($I$3:$L$22,MATCH($P6,$G$3:$G$22,0),$Q6)=AW$2,$S6+$O6+9,$S6+$O6)</f>
        <v>42716001</v>
      </c>
      <c r="AX6" s="1" cm="1">
        <f t="array" ref="AX6">IF(INDEX($I$3:$L$22,MATCH($P6,$G$3:$G$22,0),$Q6)=AX$2,$S6+$O6+9,$S6+$O6)</f>
        <v>42716001</v>
      </c>
      <c r="AY6" s="1" cm="1">
        <f t="array" ref="AY6">IF(INDEX($I$3:$L$22,MATCH($P6,$G$3:$G$22,0),$Q6)=AY$2,$S6+$O6+9,$S6+$O6)</f>
        <v>42716001</v>
      </c>
      <c r="AZ6" s="1" cm="1">
        <f t="array" ref="AZ6">IF(INDEX($I$3:$L$22,MATCH($P6,$G$3:$G$22,0),$Q6)=AZ$2,$S6+$O6+9,$S6+$O6)</f>
        <v>42716001</v>
      </c>
      <c r="BA6" s="1" cm="1">
        <f t="array" ref="BA6">IF(INDEX($I$3:$L$22,MATCH($P6,$G$3:$G$22,0),$Q6)=BA$2,$S6+$O6+9,$S6+$O6)</f>
        <v>42716001</v>
      </c>
      <c r="BB6" s="1" cm="1">
        <f t="array" ref="BB6">IF(INDEX($I$3:$L$22,MATCH($P6,$G$3:$G$22,0),$Q6)=BB$2,$S6+$O6+9,$S6+$O6)</f>
        <v>42716001</v>
      </c>
      <c r="BC6" s="1" cm="1">
        <f t="array" ref="BC6">IF(INDEX($I$3:$L$22,MATCH($P6,$G$3:$G$22,0),$Q6)=BC$2,$S6+$O6+9,$S6+$O6)</f>
        <v>42716001</v>
      </c>
      <c r="BD6" s="1" cm="1">
        <f t="array" ref="BD6">IF(INDEX($I$3:$L$22,MATCH($P6,$G$3:$G$22,0),$Q6)=BD$2,$S6+$O6+9,$S6+$O6)</f>
        <v>42716001</v>
      </c>
      <c r="BE6" s="1" cm="1">
        <f t="array" ref="BE6">IF(INDEX($I$3:$L$22,MATCH($P6,$G$3:$G$22,0),$Q6)=BE$2,$S6+$O6+9,$S6+$O6)</f>
        <v>42716001</v>
      </c>
      <c r="BF6" s="1" cm="1">
        <f t="array" ref="BF6">IF(INDEX($I$3:$L$22,MATCH($P6,$G$3:$G$22,0),$Q6)=BF$2,$S6+$O6+9,$S6+$O6)</f>
        <v>42716001</v>
      </c>
      <c r="BG6" s="1" cm="1">
        <f t="array" ref="BG6">IF(INDEX($I$3:$L$22,MATCH($P6,$G$3:$G$22,0),$Q6)=BG$2,$S6+$O6+9,$S6+$O6)</f>
        <v>42716001</v>
      </c>
      <c r="BH6" s="1" cm="1">
        <f t="array" ref="BH6">IF(INDEX($I$3:$L$22,MATCH($P6,$G$3:$G$22,0),$Q6)=BH$2,$S6+$O6+9,$S6+$O6)</f>
        <v>42716001</v>
      </c>
      <c r="BI6" s="1" cm="1">
        <f t="array" ref="BI6">IF(INDEX($I$3:$L$22,MATCH($P6,$G$3:$G$22,0),$Q6)=BI$2,$S6+$O6+9,$S6+$O6)</f>
        <v>42716001</v>
      </c>
      <c r="BJ6" s="1" cm="1">
        <f t="array" ref="BJ6">IF(INDEX($I$3:$L$22,MATCH($P6,$G$3:$G$22,0),$Q6)=BJ$2,$S6+$O6+9,$S6+$O6)</f>
        <v>42716001</v>
      </c>
      <c r="BK6" s="1" cm="1">
        <f t="array" ref="BK6">IF(INDEX($I$3:$L$22,MATCH($P6,$G$3:$G$22,0),$Q6)=BK$2,$S6+$O6+9,$S6+$O6)</f>
        <v>42716001</v>
      </c>
      <c r="BL6" s="1" cm="1">
        <f t="array" ref="BL6">IF(INDEX($I$3:$L$22,MATCH($P6,$G$3:$G$22,0),$Q6)=BL$2,$S6+$O6+9,$S6+$O6)</f>
        <v>42716001</v>
      </c>
      <c r="BM6" s="1" cm="1">
        <f t="array" ref="BM6">IF(INDEX($I$3:$L$22,MATCH($P6,$G$3:$G$22,0),$Q6)=BM$2,$S6+$O6+9,$S6+$O6)</f>
        <v>42716001</v>
      </c>
      <c r="BN6" s="1" cm="1">
        <f t="array" ref="BN6">IF(INDEX($I$3:$L$22,MATCH($P6,$G$3:$G$22,0),$Q6)=BN$2,$S6+$O6+9,$S6+$O6)</f>
        <v>42716010</v>
      </c>
      <c r="BO6" s="1" cm="1">
        <f t="array" ref="BO6">IF(INDEX($I$3:$L$22,MATCH($P6,$G$3:$G$22,0),$Q6)=BO$2,$S6+$O6+9,$S6+$O6)</f>
        <v>42716001</v>
      </c>
      <c r="BP6" s="1" cm="1">
        <f t="array" ref="BP6">IF(INDEX($I$3:$L$22,MATCH($P6,$G$3:$G$22,0),$Q6)=BP$2,$S6+$O6+9,$S6+$O6)</f>
        <v>42716001</v>
      </c>
      <c r="BQ6" s="1" cm="1">
        <f t="array" ref="BQ6">IF(INDEX($I$3:$L$22,MATCH($P6,$G$3:$G$22,0),$Q6)=BQ$2,$S6+$O6+9,$S6+$O6)</f>
        <v>42716001</v>
      </c>
      <c r="BR6" s="1" cm="1">
        <f t="array" ref="BR6">IF(INDEX($I$3:$L$22,MATCH($P6,$G$3:$G$22,0),$Q6)=BR$2,$S6+$O6+9,$S6+$O6)</f>
        <v>42716001</v>
      </c>
      <c r="BS6" s="1" cm="1">
        <f t="array" ref="BS6">IF(INDEX($I$3:$L$22,MATCH($P6,$G$3:$G$22,0),$Q6)=BS$2,$S6+$O6+9,$S6+$O6)</f>
        <v>42716001</v>
      </c>
      <c r="BT6" s="1" cm="1">
        <f t="array" ref="BT6">IF(INDEX($I$3:$L$22,MATCH($P6,$G$3:$G$22,0),$Q6)=BT$2,$S6+$O6+9,$S6+$O6)</f>
        <v>42716001</v>
      </c>
    </row>
    <row r="7" spans="1:72" x14ac:dyDescent="0.15">
      <c r="A7" s="1">
        <v>0</v>
      </c>
      <c r="B7" s="1" cm="1">
        <f t="array" aca="1" ref="B7:E7" ca="1">_xlfn.RANDARRAY(1,4,1,50,TRUE)</f>
        <v>45</v>
      </c>
      <c r="C7" s="1">
        <f ca="1"/>
        <v>16</v>
      </c>
      <c r="D7" s="1">
        <f ca="1"/>
        <v>16</v>
      </c>
      <c r="E7" s="1">
        <f ca="1"/>
        <v>11</v>
      </c>
      <c r="G7" s="1">
        <f>G6+1</f>
        <v>104</v>
      </c>
      <c r="H7" s="1">
        <v>1</v>
      </c>
      <c r="I7" s="1">
        <v>10</v>
      </c>
      <c r="J7" s="1">
        <v>45</v>
      </c>
      <c r="K7" s="1">
        <v>45</v>
      </c>
      <c r="L7" s="1">
        <v>49</v>
      </c>
      <c r="N7" s="1">
        <v>30001</v>
      </c>
      <c r="O7" s="1">
        <v>1</v>
      </c>
      <c r="P7" s="1">
        <f t="shared" ref="P7:P22" si="3">P3+1</f>
        <v>101</v>
      </c>
      <c r="Q7" s="1">
        <v>1</v>
      </c>
      <c r="R7" s="1" t="s">
        <v>18</v>
      </c>
      <c r="S7" s="1">
        <v>42711000</v>
      </c>
      <c r="T7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</v>
      </c>
      <c r="W7" s="1" cm="1">
        <f t="array" ref="W7">IF(INDEX($I$3:$L$22,MATCH($P7,$G$3:$G$22,0),$Q7)=W$2,$S7+$O7+9,$S7+$O7)</f>
        <v>42711001</v>
      </c>
      <c r="X7" s="1" cm="1">
        <f t="array" ref="X7">IF(INDEX($I$3:$L$22,MATCH($P7,$G$3:$G$22,0),$Q7)=X$2,$S7+$O7+9,$S7+$O7)</f>
        <v>42711001</v>
      </c>
      <c r="Y7" s="1" cm="1">
        <f t="array" ref="Y7">IF(INDEX($I$3:$L$22,MATCH($P7,$G$3:$G$22,0),$Q7)=Y$2,$S7+$O7+9,$S7+$O7)</f>
        <v>42711001</v>
      </c>
      <c r="Z7" s="1" cm="1">
        <f t="array" ref="Z7">IF(INDEX($I$3:$L$22,MATCH($P7,$G$3:$G$22,0),$Q7)=Z$2,$S7+$O7+9,$S7+$O7)</f>
        <v>42711001</v>
      </c>
      <c r="AA7" s="1" cm="1">
        <f t="array" ref="AA7">IF(INDEX($I$3:$L$22,MATCH($P7,$G$3:$G$22,0),$Q7)=AA$2,$S7+$O7+9,$S7+$O7)</f>
        <v>42711001</v>
      </c>
      <c r="AB7" s="1" cm="1">
        <f t="array" ref="AB7">IF(INDEX($I$3:$L$22,MATCH($P7,$G$3:$G$22,0),$Q7)=AB$2,$S7+$O7+9,$S7+$O7)</f>
        <v>42711001</v>
      </c>
      <c r="AC7" s="1" cm="1">
        <f t="array" ref="AC7">IF(INDEX($I$3:$L$22,MATCH($P7,$G$3:$G$22,0),$Q7)=AC$2,$S7+$O7+9,$S7+$O7)</f>
        <v>42711001</v>
      </c>
      <c r="AD7" s="1" cm="1">
        <f t="array" ref="AD7">IF(INDEX($I$3:$L$22,MATCH($P7,$G$3:$G$22,0),$Q7)=AD$2,$S7+$O7+9,$S7+$O7)</f>
        <v>42711001</v>
      </c>
      <c r="AE7" s="1" cm="1">
        <f t="array" ref="AE7">IF(INDEX($I$3:$L$22,MATCH($P7,$G$3:$G$22,0),$Q7)=AE$2,$S7+$O7+9,$S7+$O7)</f>
        <v>42711001</v>
      </c>
      <c r="AF7" s="1" cm="1">
        <f t="array" ref="AF7">IF(INDEX($I$3:$L$22,MATCH($P7,$G$3:$G$22,0),$Q7)=AF$2,$S7+$O7+9,$S7+$O7)</f>
        <v>42711001</v>
      </c>
      <c r="AG7" s="1" cm="1">
        <f t="array" ref="AG7">IF(INDEX($I$3:$L$22,MATCH($P7,$G$3:$G$22,0),$Q7)=AG$2,$S7+$O7+9,$S7+$O7)</f>
        <v>42711001</v>
      </c>
      <c r="AH7" s="1" cm="1">
        <f t="array" ref="AH7">IF(INDEX($I$3:$L$22,MATCH($P7,$G$3:$G$22,0),$Q7)=AH$2,$S7+$O7+9,$S7+$O7)</f>
        <v>42711001</v>
      </c>
      <c r="AI7" s="1" cm="1">
        <f t="array" ref="AI7">IF(INDEX($I$3:$L$22,MATCH($P7,$G$3:$G$22,0),$Q7)=AI$2,$S7+$O7+9,$S7+$O7)</f>
        <v>42711001</v>
      </c>
      <c r="AJ7" s="1" cm="1">
        <f t="array" ref="AJ7">IF(INDEX($I$3:$L$22,MATCH($P7,$G$3:$G$22,0),$Q7)=AJ$2,$S7+$O7+9,$S7+$O7)</f>
        <v>42711001</v>
      </c>
      <c r="AK7" s="1" cm="1">
        <f t="array" ref="AK7">IF(INDEX($I$3:$L$22,MATCH($P7,$G$3:$G$22,0),$Q7)=AK$2,$S7+$O7+9,$S7+$O7)</f>
        <v>42711001</v>
      </c>
      <c r="AL7" s="1" cm="1">
        <f t="array" ref="AL7">IF(INDEX($I$3:$L$22,MATCH($P7,$G$3:$G$22,0),$Q7)=AL$2,$S7+$O7+9,$S7+$O7)</f>
        <v>42711001</v>
      </c>
      <c r="AM7" s="1" cm="1">
        <f t="array" ref="AM7">IF(INDEX($I$3:$L$22,MATCH($P7,$G$3:$G$22,0),$Q7)=AM$2,$S7+$O7+9,$S7+$O7)</f>
        <v>42711001</v>
      </c>
      <c r="AN7" s="1" cm="1">
        <f t="array" ref="AN7">IF(INDEX($I$3:$L$22,MATCH($P7,$G$3:$G$22,0),$Q7)=AN$2,$S7+$O7+9,$S7+$O7)</f>
        <v>42711001</v>
      </c>
      <c r="AO7" s="1" cm="1">
        <f t="array" ref="AO7">IF(INDEX($I$3:$L$22,MATCH($P7,$G$3:$G$22,0),$Q7)=AO$2,$S7+$O7+9,$S7+$O7)</f>
        <v>42711001</v>
      </c>
      <c r="AP7" s="1" cm="1">
        <f t="array" ref="AP7">IF(INDEX($I$3:$L$22,MATCH($P7,$G$3:$G$22,0),$Q7)=AP$2,$S7+$O7+9,$S7+$O7)</f>
        <v>42711001</v>
      </c>
      <c r="AQ7" s="1" cm="1">
        <f t="array" ref="AQ7">IF(INDEX($I$3:$L$22,MATCH($P7,$G$3:$G$22,0),$Q7)=AQ$2,$S7+$O7+9,$S7+$O7)</f>
        <v>42711001</v>
      </c>
      <c r="AR7" s="1" cm="1">
        <f t="array" ref="AR7">IF(INDEX($I$3:$L$22,MATCH($P7,$G$3:$G$22,0),$Q7)=AR$2,$S7+$O7+9,$S7+$O7)</f>
        <v>42711001</v>
      </c>
      <c r="AS7" s="1" cm="1">
        <f t="array" ref="AS7">IF(INDEX($I$3:$L$22,MATCH($P7,$G$3:$G$22,0),$Q7)=AS$2,$S7+$O7+9,$S7+$O7)</f>
        <v>42711001</v>
      </c>
      <c r="AT7" s="1" cm="1">
        <f t="array" ref="AT7">IF(INDEX($I$3:$L$22,MATCH($P7,$G$3:$G$22,0),$Q7)=AT$2,$S7+$O7+9,$S7+$O7)</f>
        <v>42711001</v>
      </c>
      <c r="AU7" s="1" cm="1">
        <f t="array" ref="AU7">IF(INDEX($I$3:$L$22,MATCH($P7,$G$3:$G$22,0),$Q7)=AU$2,$S7+$O7+9,$S7+$O7)</f>
        <v>42711001</v>
      </c>
      <c r="AV7" s="1" cm="1">
        <f t="array" ref="AV7">IF(INDEX($I$3:$L$22,MATCH($P7,$G$3:$G$22,0),$Q7)=AV$2,$S7+$O7+9,$S7+$O7)</f>
        <v>42711001</v>
      </c>
      <c r="AW7" s="1" cm="1">
        <f t="array" ref="AW7">IF(INDEX($I$3:$L$22,MATCH($P7,$G$3:$G$22,0),$Q7)=AW$2,$S7+$O7+9,$S7+$O7)</f>
        <v>42711001</v>
      </c>
      <c r="AX7" s="1" cm="1">
        <f t="array" ref="AX7">IF(INDEX($I$3:$L$22,MATCH($P7,$G$3:$G$22,0),$Q7)=AX$2,$S7+$O7+9,$S7+$O7)</f>
        <v>42711001</v>
      </c>
      <c r="AY7" s="1" cm="1">
        <f t="array" ref="AY7">IF(INDEX($I$3:$L$22,MATCH($P7,$G$3:$G$22,0),$Q7)=AY$2,$S7+$O7+9,$S7+$O7)</f>
        <v>42711001</v>
      </c>
      <c r="AZ7" s="1" cm="1">
        <f t="array" ref="AZ7">IF(INDEX($I$3:$L$22,MATCH($P7,$G$3:$G$22,0),$Q7)=AZ$2,$S7+$O7+9,$S7+$O7)</f>
        <v>42711001</v>
      </c>
      <c r="BA7" s="1" cm="1">
        <f t="array" ref="BA7">IF(INDEX($I$3:$L$22,MATCH($P7,$G$3:$G$22,0),$Q7)=BA$2,$S7+$O7+9,$S7+$O7)</f>
        <v>42711001</v>
      </c>
      <c r="BB7" s="1" cm="1">
        <f t="array" ref="BB7">IF(INDEX($I$3:$L$22,MATCH($P7,$G$3:$G$22,0),$Q7)=BB$2,$S7+$O7+9,$S7+$O7)</f>
        <v>42711001</v>
      </c>
      <c r="BC7" s="1" cm="1">
        <f t="array" ref="BC7">IF(INDEX($I$3:$L$22,MATCH($P7,$G$3:$G$22,0),$Q7)=BC$2,$S7+$O7+9,$S7+$O7)</f>
        <v>42711001</v>
      </c>
      <c r="BD7" s="1" cm="1">
        <f t="array" ref="BD7">IF(INDEX($I$3:$L$22,MATCH($P7,$G$3:$G$22,0),$Q7)=BD$2,$S7+$O7+9,$S7+$O7)</f>
        <v>42711001</v>
      </c>
      <c r="BE7" s="1" cm="1">
        <f t="array" ref="BE7">IF(INDEX($I$3:$L$22,MATCH($P7,$G$3:$G$22,0),$Q7)=BE$2,$S7+$O7+9,$S7+$O7)</f>
        <v>42711001</v>
      </c>
      <c r="BF7" s="1" cm="1">
        <f t="array" ref="BF7">IF(INDEX($I$3:$L$22,MATCH($P7,$G$3:$G$22,0),$Q7)=BF$2,$S7+$O7+9,$S7+$O7)</f>
        <v>42711001</v>
      </c>
      <c r="BG7" s="1" cm="1">
        <f t="array" ref="BG7">IF(INDEX($I$3:$L$22,MATCH($P7,$G$3:$G$22,0),$Q7)=BG$2,$S7+$O7+9,$S7+$O7)</f>
        <v>42711001</v>
      </c>
      <c r="BH7" s="1" cm="1">
        <f t="array" ref="BH7">IF(INDEX($I$3:$L$22,MATCH($P7,$G$3:$G$22,0),$Q7)=BH$2,$S7+$O7+9,$S7+$O7)</f>
        <v>42711001</v>
      </c>
      <c r="BI7" s="1" cm="1">
        <f t="array" ref="BI7">IF(INDEX($I$3:$L$22,MATCH($P7,$G$3:$G$22,0),$Q7)=BI$2,$S7+$O7+9,$S7+$O7)</f>
        <v>42711001</v>
      </c>
      <c r="BJ7" s="1" cm="1">
        <f t="array" ref="BJ7">IF(INDEX($I$3:$L$22,MATCH($P7,$G$3:$G$22,0),$Q7)=BJ$2,$S7+$O7+9,$S7+$O7)</f>
        <v>42711001</v>
      </c>
      <c r="BK7" s="1" cm="1">
        <f t="array" ref="BK7">IF(INDEX($I$3:$L$22,MATCH($P7,$G$3:$G$22,0),$Q7)=BK$2,$S7+$O7+9,$S7+$O7)</f>
        <v>42711001</v>
      </c>
      <c r="BL7" s="1" cm="1">
        <f t="array" ref="BL7">IF(INDEX($I$3:$L$22,MATCH($P7,$G$3:$G$22,0),$Q7)=BL$2,$S7+$O7+9,$S7+$O7)</f>
        <v>42711001</v>
      </c>
      <c r="BM7" s="1" cm="1">
        <f t="array" ref="BM7">IF(INDEX($I$3:$L$22,MATCH($P7,$G$3:$G$22,0),$Q7)=BM$2,$S7+$O7+9,$S7+$O7)</f>
        <v>42711001</v>
      </c>
      <c r="BN7" s="1" cm="1">
        <f t="array" ref="BN7">IF(INDEX($I$3:$L$22,MATCH($P7,$G$3:$G$22,0),$Q7)=BN$2,$S7+$O7+9,$S7+$O7)</f>
        <v>42711001</v>
      </c>
      <c r="BO7" s="1" cm="1">
        <f t="array" ref="BO7">IF(INDEX($I$3:$L$22,MATCH($P7,$G$3:$G$22,0),$Q7)=BO$2,$S7+$O7+9,$S7+$O7)</f>
        <v>42711001</v>
      </c>
      <c r="BP7" s="1" cm="1">
        <f t="array" ref="BP7">IF(INDEX($I$3:$L$22,MATCH($P7,$G$3:$G$22,0),$Q7)=BP$2,$S7+$O7+9,$S7+$O7)</f>
        <v>42711001</v>
      </c>
      <c r="BQ7" s="1" cm="1">
        <f t="array" ref="BQ7">IF(INDEX($I$3:$L$22,MATCH($P7,$G$3:$G$22,0),$Q7)=BQ$2,$S7+$O7+9,$S7+$O7)</f>
        <v>42711001</v>
      </c>
      <c r="BR7" s="1" cm="1">
        <f t="array" ref="BR7">IF(INDEX($I$3:$L$22,MATCH($P7,$G$3:$G$22,0),$Q7)=BR$2,$S7+$O7+9,$S7+$O7)</f>
        <v>42711001</v>
      </c>
      <c r="BS7" s="1" cm="1">
        <f t="array" ref="BS7">IF(INDEX($I$3:$L$22,MATCH($P7,$G$3:$G$22,0),$Q7)=BS$2,$S7+$O7+9,$S7+$O7)</f>
        <v>42711010</v>
      </c>
      <c r="BT7" s="1" cm="1">
        <f t="array" ref="BT7">IF(INDEX($I$3:$L$22,MATCH($P7,$G$3:$G$22,0),$Q7)=BT$2,$S7+$O7+9,$S7+$O7)</f>
        <v>42711001</v>
      </c>
    </row>
    <row r="8" spans="1:72" x14ac:dyDescent="0.15">
      <c r="A8" s="1">
        <v>0</v>
      </c>
      <c r="B8" s="1" cm="1">
        <f t="array" aca="1" ref="B8:E8" ca="1">_xlfn.RANDARRAY(1,4,1,50,TRUE)</f>
        <v>12</v>
      </c>
      <c r="C8" s="1">
        <f ca="1"/>
        <v>42</v>
      </c>
      <c r="D8" s="1">
        <f ca="1"/>
        <v>19</v>
      </c>
      <c r="E8" s="1">
        <f ca="1"/>
        <v>18</v>
      </c>
      <c r="G8" s="1">
        <f t="shared" ref="G8:G22" si="4">G3+100</f>
        <v>200</v>
      </c>
      <c r="H8" s="1">
        <v>1</v>
      </c>
      <c r="I8" s="1">
        <v>43</v>
      </c>
      <c r="J8" s="1">
        <v>46</v>
      </c>
      <c r="K8" s="1">
        <v>11</v>
      </c>
      <c r="L8" s="1">
        <v>24</v>
      </c>
      <c r="N8" s="1">
        <v>30001</v>
      </c>
      <c r="O8" s="1">
        <v>1</v>
      </c>
      <c r="P8" s="1">
        <f t="shared" si="3"/>
        <v>101</v>
      </c>
      <c r="Q8" s="1">
        <v>2</v>
      </c>
      <c r="R8" s="1" t="s">
        <v>17</v>
      </c>
      <c r="S8" s="1">
        <v>42612000</v>
      </c>
      <c r="T8" s="1" t="str">
        <f t="shared" si="2"/>
        <v>42612001,42612001,42612001,42612001,42612001,42612001,42612001,42612001,42612001,42612001,42612001,42612001,42612001,42612001,42612001,42612001,42612001,42612001,42612010,42612001,42612001,42612001,42612001,42612001,42612001,42612001,42612001,42612001,42612001,42612001,42612001,42612001,42612001,42612001,42612001,42612001,42612001,42612001,42612001,42612001,42612001,42612001,42612001,42612001,42612001,42612001,42612001,42612001,42612001,42612001</v>
      </c>
      <c r="W8" s="1" cm="1">
        <f t="array" ref="W8">IF(INDEX($I$3:$L$22,MATCH($P8,$G$3:$G$22,0),$Q8)=W$2,$S8+$O8+9,$S8+$O8)</f>
        <v>42612001</v>
      </c>
      <c r="X8" s="1" cm="1">
        <f t="array" ref="X8">IF(INDEX($I$3:$L$22,MATCH($P8,$G$3:$G$22,0),$Q8)=X$2,$S8+$O8+9,$S8+$O8)</f>
        <v>42612001</v>
      </c>
      <c r="Y8" s="1" cm="1">
        <f t="array" ref="Y8">IF(INDEX($I$3:$L$22,MATCH($P8,$G$3:$G$22,0),$Q8)=Y$2,$S8+$O8+9,$S8+$O8)</f>
        <v>42612001</v>
      </c>
      <c r="Z8" s="1" cm="1">
        <f t="array" ref="Z8">IF(INDEX($I$3:$L$22,MATCH($P8,$G$3:$G$22,0),$Q8)=Z$2,$S8+$O8+9,$S8+$O8)</f>
        <v>42612001</v>
      </c>
      <c r="AA8" s="1" cm="1">
        <f t="array" ref="AA8">IF(INDEX($I$3:$L$22,MATCH($P8,$G$3:$G$22,0),$Q8)=AA$2,$S8+$O8+9,$S8+$O8)</f>
        <v>42612001</v>
      </c>
      <c r="AB8" s="1" cm="1">
        <f t="array" ref="AB8">IF(INDEX($I$3:$L$22,MATCH($P8,$G$3:$G$22,0),$Q8)=AB$2,$S8+$O8+9,$S8+$O8)</f>
        <v>42612001</v>
      </c>
      <c r="AC8" s="1" cm="1">
        <f t="array" ref="AC8">IF(INDEX($I$3:$L$22,MATCH($P8,$G$3:$G$22,0),$Q8)=AC$2,$S8+$O8+9,$S8+$O8)</f>
        <v>42612001</v>
      </c>
      <c r="AD8" s="1" cm="1">
        <f t="array" ref="AD8">IF(INDEX($I$3:$L$22,MATCH($P8,$G$3:$G$22,0),$Q8)=AD$2,$S8+$O8+9,$S8+$O8)</f>
        <v>42612001</v>
      </c>
      <c r="AE8" s="1" cm="1">
        <f t="array" ref="AE8">IF(INDEX($I$3:$L$22,MATCH($P8,$G$3:$G$22,0),$Q8)=AE$2,$S8+$O8+9,$S8+$O8)</f>
        <v>42612001</v>
      </c>
      <c r="AF8" s="1" cm="1">
        <f t="array" ref="AF8">IF(INDEX($I$3:$L$22,MATCH($P8,$G$3:$G$22,0),$Q8)=AF$2,$S8+$O8+9,$S8+$O8)</f>
        <v>42612001</v>
      </c>
      <c r="AG8" s="1" cm="1">
        <f t="array" ref="AG8">IF(INDEX($I$3:$L$22,MATCH($P8,$G$3:$G$22,0),$Q8)=AG$2,$S8+$O8+9,$S8+$O8)</f>
        <v>42612001</v>
      </c>
      <c r="AH8" s="1" cm="1">
        <f t="array" ref="AH8">IF(INDEX($I$3:$L$22,MATCH($P8,$G$3:$G$22,0),$Q8)=AH$2,$S8+$O8+9,$S8+$O8)</f>
        <v>42612001</v>
      </c>
      <c r="AI8" s="1" cm="1">
        <f t="array" ref="AI8">IF(INDEX($I$3:$L$22,MATCH($P8,$G$3:$G$22,0),$Q8)=AI$2,$S8+$O8+9,$S8+$O8)</f>
        <v>42612001</v>
      </c>
      <c r="AJ8" s="1" cm="1">
        <f t="array" ref="AJ8">IF(INDEX($I$3:$L$22,MATCH($P8,$G$3:$G$22,0),$Q8)=AJ$2,$S8+$O8+9,$S8+$O8)</f>
        <v>42612001</v>
      </c>
      <c r="AK8" s="1" cm="1">
        <f t="array" ref="AK8">IF(INDEX($I$3:$L$22,MATCH($P8,$G$3:$G$22,0),$Q8)=AK$2,$S8+$O8+9,$S8+$O8)</f>
        <v>42612001</v>
      </c>
      <c r="AL8" s="1" cm="1">
        <f t="array" ref="AL8">IF(INDEX($I$3:$L$22,MATCH($P8,$G$3:$G$22,0),$Q8)=AL$2,$S8+$O8+9,$S8+$O8)</f>
        <v>42612001</v>
      </c>
      <c r="AM8" s="1" cm="1">
        <f t="array" ref="AM8">IF(INDEX($I$3:$L$22,MATCH($P8,$G$3:$G$22,0),$Q8)=AM$2,$S8+$O8+9,$S8+$O8)</f>
        <v>42612001</v>
      </c>
      <c r="AN8" s="1" cm="1">
        <f t="array" ref="AN8">IF(INDEX($I$3:$L$22,MATCH($P8,$G$3:$G$22,0),$Q8)=AN$2,$S8+$O8+9,$S8+$O8)</f>
        <v>42612001</v>
      </c>
      <c r="AO8" s="1" cm="1">
        <f t="array" ref="AO8">IF(INDEX($I$3:$L$22,MATCH($P8,$G$3:$G$22,0),$Q8)=AO$2,$S8+$O8+9,$S8+$O8)</f>
        <v>42612010</v>
      </c>
      <c r="AP8" s="1" cm="1">
        <f t="array" ref="AP8">IF(INDEX($I$3:$L$22,MATCH($P8,$G$3:$G$22,0),$Q8)=AP$2,$S8+$O8+9,$S8+$O8)</f>
        <v>42612001</v>
      </c>
      <c r="AQ8" s="1" cm="1">
        <f t="array" ref="AQ8">IF(INDEX($I$3:$L$22,MATCH($P8,$G$3:$G$22,0),$Q8)=AQ$2,$S8+$O8+9,$S8+$O8)</f>
        <v>42612001</v>
      </c>
      <c r="AR8" s="1" cm="1">
        <f t="array" ref="AR8">IF(INDEX($I$3:$L$22,MATCH($P8,$G$3:$G$22,0),$Q8)=AR$2,$S8+$O8+9,$S8+$O8)</f>
        <v>42612001</v>
      </c>
      <c r="AS8" s="1" cm="1">
        <f t="array" ref="AS8">IF(INDEX($I$3:$L$22,MATCH($P8,$G$3:$G$22,0),$Q8)=AS$2,$S8+$O8+9,$S8+$O8)</f>
        <v>42612001</v>
      </c>
      <c r="AT8" s="1" cm="1">
        <f t="array" ref="AT8">IF(INDEX($I$3:$L$22,MATCH($P8,$G$3:$G$22,0),$Q8)=AT$2,$S8+$O8+9,$S8+$O8)</f>
        <v>42612001</v>
      </c>
      <c r="AU8" s="1" cm="1">
        <f t="array" ref="AU8">IF(INDEX($I$3:$L$22,MATCH($P8,$G$3:$G$22,0),$Q8)=AU$2,$S8+$O8+9,$S8+$O8)</f>
        <v>42612001</v>
      </c>
      <c r="AV8" s="1" cm="1">
        <f t="array" ref="AV8">IF(INDEX($I$3:$L$22,MATCH($P8,$G$3:$G$22,0),$Q8)=AV$2,$S8+$O8+9,$S8+$O8)</f>
        <v>42612001</v>
      </c>
      <c r="AW8" s="1" cm="1">
        <f t="array" ref="AW8">IF(INDEX($I$3:$L$22,MATCH($P8,$G$3:$G$22,0),$Q8)=AW$2,$S8+$O8+9,$S8+$O8)</f>
        <v>42612001</v>
      </c>
      <c r="AX8" s="1" cm="1">
        <f t="array" ref="AX8">IF(INDEX($I$3:$L$22,MATCH($P8,$G$3:$G$22,0),$Q8)=AX$2,$S8+$O8+9,$S8+$O8)</f>
        <v>42612001</v>
      </c>
      <c r="AY8" s="1" cm="1">
        <f t="array" ref="AY8">IF(INDEX($I$3:$L$22,MATCH($P8,$G$3:$G$22,0),$Q8)=AY$2,$S8+$O8+9,$S8+$O8)</f>
        <v>42612001</v>
      </c>
      <c r="AZ8" s="1" cm="1">
        <f t="array" ref="AZ8">IF(INDEX($I$3:$L$22,MATCH($P8,$G$3:$G$22,0),$Q8)=AZ$2,$S8+$O8+9,$S8+$O8)</f>
        <v>42612001</v>
      </c>
      <c r="BA8" s="1" cm="1">
        <f t="array" ref="BA8">IF(INDEX($I$3:$L$22,MATCH($P8,$G$3:$G$22,0),$Q8)=BA$2,$S8+$O8+9,$S8+$O8)</f>
        <v>42612001</v>
      </c>
      <c r="BB8" s="1" cm="1">
        <f t="array" ref="BB8">IF(INDEX($I$3:$L$22,MATCH($P8,$G$3:$G$22,0),$Q8)=BB$2,$S8+$O8+9,$S8+$O8)</f>
        <v>42612001</v>
      </c>
      <c r="BC8" s="1" cm="1">
        <f t="array" ref="BC8">IF(INDEX($I$3:$L$22,MATCH($P8,$G$3:$G$22,0),$Q8)=BC$2,$S8+$O8+9,$S8+$O8)</f>
        <v>42612001</v>
      </c>
      <c r="BD8" s="1" cm="1">
        <f t="array" ref="BD8">IF(INDEX($I$3:$L$22,MATCH($P8,$G$3:$G$22,0),$Q8)=BD$2,$S8+$O8+9,$S8+$O8)</f>
        <v>42612001</v>
      </c>
      <c r="BE8" s="1" cm="1">
        <f t="array" ref="BE8">IF(INDEX($I$3:$L$22,MATCH($P8,$G$3:$G$22,0),$Q8)=BE$2,$S8+$O8+9,$S8+$O8)</f>
        <v>42612001</v>
      </c>
      <c r="BF8" s="1" cm="1">
        <f t="array" ref="BF8">IF(INDEX($I$3:$L$22,MATCH($P8,$G$3:$G$22,0),$Q8)=BF$2,$S8+$O8+9,$S8+$O8)</f>
        <v>42612001</v>
      </c>
      <c r="BG8" s="1" cm="1">
        <f t="array" ref="BG8">IF(INDEX($I$3:$L$22,MATCH($P8,$G$3:$G$22,0),$Q8)=BG$2,$S8+$O8+9,$S8+$O8)</f>
        <v>42612001</v>
      </c>
      <c r="BH8" s="1" cm="1">
        <f t="array" ref="BH8">IF(INDEX($I$3:$L$22,MATCH($P8,$G$3:$G$22,0),$Q8)=BH$2,$S8+$O8+9,$S8+$O8)</f>
        <v>42612001</v>
      </c>
      <c r="BI8" s="1" cm="1">
        <f t="array" ref="BI8">IF(INDEX($I$3:$L$22,MATCH($P8,$G$3:$G$22,0),$Q8)=BI$2,$S8+$O8+9,$S8+$O8)</f>
        <v>42612001</v>
      </c>
      <c r="BJ8" s="1" cm="1">
        <f t="array" ref="BJ8">IF(INDEX($I$3:$L$22,MATCH($P8,$G$3:$G$22,0),$Q8)=BJ$2,$S8+$O8+9,$S8+$O8)</f>
        <v>42612001</v>
      </c>
      <c r="BK8" s="1" cm="1">
        <f t="array" ref="BK8">IF(INDEX($I$3:$L$22,MATCH($P8,$G$3:$G$22,0),$Q8)=BK$2,$S8+$O8+9,$S8+$O8)</f>
        <v>42612001</v>
      </c>
      <c r="BL8" s="1" cm="1">
        <f t="array" ref="BL8">IF(INDEX($I$3:$L$22,MATCH($P8,$G$3:$G$22,0),$Q8)=BL$2,$S8+$O8+9,$S8+$O8)</f>
        <v>42612001</v>
      </c>
      <c r="BM8" s="1" cm="1">
        <f t="array" ref="BM8">IF(INDEX($I$3:$L$22,MATCH($P8,$G$3:$G$22,0),$Q8)=BM$2,$S8+$O8+9,$S8+$O8)</f>
        <v>42612001</v>
      </c>
      <c r="BN8" s="1" cm="1">
        <f t="array" ref="BN8">IF(INDEX($I$3:$L$22,MATCH($P8,$G$3:$G$22,0),$Q8)=BN$2,$S8+$O8+9,$S8+$O8)</f>
        <v>42612001</v>
      </c>
      <c r="BO8" s="1" cm="1">
        <f t="array" ref="BO8">IF(INDEX($I$3:$L$22,MATCH($P8,$G$3:$G$22,0),$Q8)=BO$2,$S8+$O8+9,$S8+$O8)</f>
        <v>42612001</v>
      </c>
      <c r="BP8" s="1" cm="1">
        <f t="array" ref="BP8">IF(INDEX($I$3:$L$22,MATCH($P8,$G$3:$G$22,0),$Q8)=BP$2,$S8+$O8+9,$S8+$O8)</f>
        <v>42612001</v>
      </c>
      <c r="BQ8" s="1" cm="1">
        <f t="array" ref="BQ8">IF(INDEX($I$3:$L$22,MATCH($P8,$G$3:$G$22,0),$Q8)=BQ$2,$S8+$O8+9,$S8+$O8)</f>
        <v>42612001</v>
      </c>
      <c r="BR8" s="1" cm="1">
        <f t="array" ref="BR8">IF(INDEX($I$3:$L$22,MATCH($P8,$G$3:$G$22,0),$Q8)=BR$2,$S8+$O8+9,$S8+$O8)</f>
        <v>42612001</v>
      </c>
      <c r="BS8" s="1" cm="1">
        <f t="array" ref="BS8">IF(INDEX($I$3:$L$22,MATCH($P8,$G$3:$G$22,0),$Q8)=BS$2,$S8+$O8+9,$S8+$O8)</f>
        <v>42612001</v>
      </c>
      <c r="BT8" s="1" cm="1">
        <f t="array" ref="BT8">IF(INDEX($I$3:$L$22,MATCH($P8,$G$3:$G$22,0),$Q8)=BT$2,$S8+$O8+9,$S8+$O8)</f>
        <v>42612001</v>
      </c>
    </row>
    <row r="9" spans="1:72" x14ac:dyDescent="0.15">
      <c r="A9" s="1">
        <v>0</v>
      </c>
      <c r="B9" s="1" cm="1">
        <f t="array" aca="1" ref="B9:E9" ca="1">_xlfn.RANDARRAY(1,4,1,50,TRUE)</f>
        <v>39</v>
      </c>
      <c r="C9" s="1">
        <f ca="1"/>
        <v>26</v>
      </c>
      <c r="D9" s="1">
        <f ca="1"/>
        <v>50</v>
      </c>
      <c r="E9" s="1">
        <f ca="1"/>
        <v>49</v>
      </c>
      <c r="G9" s="1">
        <f t="shared" si="4"/>
        <v>201</v>
      </c>
      <c r="H9" s="1">
        <v>1</v>
      </c>
      <c r="I9" s="1">
        <v>43</v>
      </c>
      <c r="J9" s="1">
        <v>34</v>
      </c>
      <c r="K9" s="1">
        <v>23</v>
      </c>
      <c r="L9" s="1">
        <v>22</v>
      </c>
      <c r="N9" s="1">
        <v>30001</v>
      </c>
      <c r="O9" s="1">
        <v>1</v>
      </c>
      <c r="P9" s="1">
        <f t="shared" si="3"/>
        <v>101</v>
      </c>
      <c r="Q9" s="1">
        <v>3</v>
      </c>
      <c r="R9" s="1" t="s">
        <v>16</v>
      </c>
      <c r="S9" s="1">
        <v>42713000</v>
      </c>
      <c r="T9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,42713001,42713001,42713001,42713001,42713001,42713001,42713001,42713001,42713001,42713001,42713001,42713001,42713001</v>
      </c>
      <c r="W9" s="1" cm="1">
        <f t="array" ref="W9">IF(INDEX($I$3:$L$22,MATCH($P9,$G$3:$G$22,0),$Q9)=W$2,$S9+$O9+9,$S9+$O9)</f>
        <v>42713001</v>
      </c>
      <c r="X9" s="1" cm="1">
        <f t="array" ref="X9">IF(INDEX($I$3:$L$22,MATCH($P9,$G$3:$G$22,0),$Q9)=X$2,$S9+$O9+9,$S9+$O9)</f>
        <v>42713001</v>
      </c>
      <c r="Y9" s="1" cm="1">
        <f t="array" ref="Y9">IF(INDEX($I$3:$L$22,MATCH($P9,$G$3:$G$22,0),$Q9)=Y$2,$S9+$O9+9,$S9+$O9)</f>
        <v>42713001</v>
      </c>
      <c r="Z9" s="1" cm="1">
        <f t="array" ref="Z9">IF(INDEX($I$3:$L$22,MATCH($P9,$G$3:$G$22,0),$Q9)=Z$2,$S9+$O9+9,$S9+$O9)</f>
        <v>42713001</v>
      </c>
      <c r="AA9" s="1" cm="1">
        <f t="array" ref="AA9">IF(INDEX($I$3:$L$22,MATCH($P9,$G$3:$G$22,0),$Q9)=AA$2,$S9+$O9+9,$S9+$O9)</f>
        <v>42713001</v>
      </c>
      <c r="AB9" s="1" cm="1">
        <f t="array" ref="AB9">IF(INDEX($I$3:$L$22,MATCH($P9,$G$3:$G$22,0),$Q9)=AB$2,$S9+$O9+9,$S9+$O9)</f>
        <v>42713001</v>
      </c>
      <c r="AC9" s="1" cm="1">
        <f t="array" ref="AC9">IF(INDEX($I$3:$L$22,MATCH($P9,$G$3:$G$22,0),$Q9)=AC$2,$S9+$O9+9,$S9+$O9)</f>
        <v>42713001</v>
      </c>
      <c r="AD9" s="1" cm="1">
        <f t="array" ref="AD9">IF(INDEX($I$3:$L$22,MATCH($P9,$G$3:$G$22,0),$Q9)=AD$2,$S9+$O9+9,$S9+$O9)</f>
        <v>42713001</v>
      </c>
      <c r="AE9" s="1" cm="1">
        <f t="array" ref="AE9">IF(INDEX($I$3:$L$22,MATCH($P9,$G$3:$G$22,0),$Q9)=AE$2,$S9+$O9+9,$S9+$O9)</f>
        <v>42713001</v>
      </c>
      <c r="AF9" s="1" cm="1">
        <f t="array" ref="AF9">IF(INDEX($I$3:$L$22,MATCH($P9,$G$3:$G$22,0),$Q9)=AF$2,$S9+$O9+9,$S9+$O9)</f>
        <v>42713001</v>
      </c>
      <c r="AG9" s="1" cm="1">
        <f t="array" ref="AG9">IF(INDEX($I$3:$L$22,MATCH($P9,$G$3:$G$22,0),$Q9)=AG$2,$S9+$O9+9,$S9+$O9)</f>
        <v>42713001</v>
      </c>
      <c r="AH9" s="1" cm="1">
        <f t="array" ref="AH9">IF(INDEX($I$3:$L$22,MATCH($P9,$G$3:$G$22,0),$Q9)=AH$2,$S9+$O9+9,$S9+$O9)</f>
        <v>42713001</v>
      </c>
      <c r="AI9" s="1" cm="1">
        <f t="array" ref="AI9">IF(INDEX($I$3:$L$22,MATCH($P9,$G$3:$G$22,0),$Q9)=AI$2,$S9+$O9+9,$S9+$O9)</f>
        <v>42713001</v>
      </c>
      <c r="AJ9" s="1" cm="1">
        <f t="array" ref="AJ9">IF(INDEX($I$3:$L$22,MATCH($P9,$G$3:$G$22,0),$Q9)=AJ$2,$S9+$O9+9,$S9+$O9)</f>
        <v>42713001</v>
      </c>
      <c r="AK9" s="1" cm="1">
        <f t="array" ref="AK9">IF(INDEX($I$3:$L$22,MATCH($P9,$G$3:$G$22,0),$Q9)=AK$2,$S9+$O9+9,$S9+$O9)</f>
        <v>42713001</v>
      </c>
      <c r="AL9" s="1" cm="1">
        <f t="array" ref="AL9">IF(INDEX($I$3:$L$22,MATCH($P9,$G$3:$G$22,0),$Q9)=AL$2,$S9+$O9+9,$S9+$O9)</f>
        <v>42713001</v>
      </c>
      <c r="AM9" s="1" cm="1">
        <f t="array" ref="AM9">IF(INDEX($I$3:$L$22,MATCH($P9,$G$3:$G$22,0),$Q9)=AM$2,$S9+$O9+9,$S9+$O9)</f>
        <v>42713001</v>
      </c>
      <c r="AN9" s="1" cm="1">
        <f t="array" ref="AN9">IF(INDEX($I$3:$L$22,MATCH($P9,$G$3:$G$22,0),$Q9)=AN$2,$S9+$O9+9,$S9+$O9)</f>
        <v>42713001</v>
      </c>
      <c r="AO9" s="1" cm="1">
        <f t="array" ref="AO9">IF(INDEX($I$3:$L$22,MATCH($P9,$G$3:$G$22,0),$Q9)=AO$2,$S9+$O9+9,$S9+$O9)</f>
        <v>42713001</v>
      </c>
      <c r="AP9" s="1" cm="1">
        <f t="array" ref="AP9">IF(INDEX($I$3:$L$22,MATCH($P9,$G$3:$G$22,0),$Q9)=AP$2,$S9+$O9+9,$S9+$O9)</f>
        <v>42713001</v>
      </c>
      <c r="AQ9" s="1" cm="1">
        <f t="array" ref="AQ9">IF(INDEX($I$3:$L$22,MATCH($P9,$G$3:$G$22,0),$Q9)=AQ$2,$S9+$O9+9,$S9+$O9)</f>
        <v>42713001</v>
      </c>
      <c r="AR9" s="1" cm="1">
        <f t="array" ref="AR9">IF(INDEX($I$3:$L$22,MATCH($P9,$G$3:$G$22,0),$Q9)=AR$2,$S9+$O9+9,$S9+$O9)</f>
        <v>42713001</v>
      </c>
      <c r="AS9" s="1" cm="1">
        <f t="array" ref="AS9">IF(INDEX($I$3:$L$22,MATCH($P9,$G$3:$G$22,0),$Q9)=AS$2,$S9+$O9+9,$S9+$O9)</f>
        <v>42713001</v>
      </c>
      <c r="AT9" s="1" cm="1">
        <f t="array" ref="AT9">IF(INDEX($I$3:$L$22,MATCH($P9,$G$3:$G$22,0),$Q9)=AT$2,$S9+$O9+9,$S9+$O9)</f>
        <v>42713001</v>
      </c>
      <c r="AU9" s="1" cm="1">
        <f t="array" ref="AU9">IF(INDEX($I$3:$L$22,MATCH($P9,$G$3:$G$22,0),$Q9)=AU$2,$S9+$O9+9,$S9+$O9)</f>
        <v>42713001</v>
      </c>
      <c r="AV9" s="1" cm="1">
        <f t="array" ref="AV9">IF(INDEX($I$3:$L$22,MATCH($P9,$G$3:$G$22,0),$Q9)=AV$2,$S9+$O9+9,$S9+$O9)</f>
        <v>42713001</v>
      </c>
      <c r="AW9" s="1" cm="1">
        <f t="array" ref="AW9">IF(INDEX($I$3:$L$22,MATCH($P9,$G$3:$G$22,0),$Q9)=AW$2,$S9+$O9+9,$S9+$O9)</f>
        <v>42713001</v>
      </c>
      <c r="AX9" s="1" cm="1">
        <f t="array" ref="AX9">IF(INDEX($I$3:$L$22,MATCH($P9,$G$3:$G$22,0),$Q9)=AX$2,$S9+$O9+9,$S9+$O9)</f>
        <v>42713001</v>
      </c>
      <c r="AY9" s="1" cm="1">
        <f t="array" ref="AY9">IF(INDEX($I$3:$L$22,MATCH($P9,$G$3:$G$22,0),$Q9)=AY$2,$S9+$O9+9,$S9+$O9)</f>
        <v>42713001</v>
      </c>
      <c r="AZ9" s="1" cm="1">
        <f t="array" ref="AZ9">IF(INDEX($I$3:$L$22,MATCH($P9,$G$3:$G$22,0),$Q9)=AZ$2,$S9+$O9+9,$S9+$O9)</f>
        <v>42713001</v>
      </c>
      <c r="BA9" s="1" cm="1">
        <f t="array" ref="BA9">IF(INDEX($I$3:$L$22,MATCH($P9,$G$3:$G$22,0),$Q9)=BA$2,$S9+$O9+9,$S9+$O9)</f>
        <v>42713001</v>
      </c>
      <c r="BB9" s="1" cm="1">
        <f t="array" ref="BB9">IF(INDEX($I$3:$L$22,MATCH($P9,$G$3:$G$22,0),$Q9)=BB$2,$S9+$O9+9,$S9+$O9)</f>
        <v>42713010</v>
      </c>
      <c r="BC9" s="1" cm="1">
        <f t="array" ref="BC9">IF(INDEX($I$3:$L$22,MATCH($P9,$G$3:$G$22,0),$Q9)=BC$2,$S9+$O9+9,$S9+$O9)</f>
        <v>42713001</v>
      </c>
      <c r="BD9" s="1" cm="1">
        <f t="array" ref="BD9">IF(INDEX($I$3:$L$22,MATCH($P9,$G$3:$G$22,0),$Q9)=BD$2,$S9+$O9+9,$S9+$O9)</f>
        <v>42713001</v>
      </c>
      <c r="BE9" s="1" cm="1">
        <f t="array" ref="BE9">IF(INDEX($I$3:$L$22,MATCH($P9,$G$3:$G$22,0),$Q9)=BE$2,$S9+$O9+9,$S9+$O9)</f>
        <v>42713001</v>
      </c>
      <c r="BF9" s="1" cm="1">
        <f t="array" ref="BF9">IF(INDEX($I$3:$L$22,MATCH($P9,$G$3:$G$22,0),$Q9)=BF$2,$S9+$O9+9,$S9+$O9)</f>
        <v>42713001</v>
      </c>
      <c r="BG9" s="1" cm="1">
        <f t="array" ref="BG9">IF(INDEX($I$3:$L$22,MATCH($P9,$G$3:$G$22,0),$Q9)=BG$2,$S9+$O9+9,$S9+$O9)</f>
        <v>42713001</v>
      </c>
      <c r="BH9" s="1" cm="1">
        <f t="array" ref="BH9">IF(INDEX($I$3:$L$22,MATCH($P9,$G$3:$G$22,0),$Q9)=BH$2,$S9+$O9+9,$S9+$O9)</f>
        <v>42713001</v>
      </c>
      <c r="BI9" s="1" cm="1">
        <f t="array" ref="BI9">IF(INDEX($I$3:$L$22,MATCH($P9,$G$3:$G$22,0),$Q9)=BI$2,$S9+$O9+9,$S9+$O9)</f>
        <v>42713001</v>
      </c>
      <c r="BJ9" s="1" cm="1">
        <f t="array" ref="BJ9">IF(INDEX($I$3:$L$22,MATCH($P9,$G$3:$G$22,0),$Q9)=BJ$2,$S9+$O9+9,$S9+$O9)</f>
        <v>42713001</v>
      </c>
      <c r="BK9" s="1" cm="1">
        <f t="array" ref="BK9">IF(INDEX($I$3:$L$22,MATCH($P9,$G$3:$G$22,0),$Q9)=BK$2,$S9+$O9+9,$S9+$O9)</f>
        <v>42713001</v>
      </c>
      <c r="BL9" s="1" cm="1">
        <f t="array" ref="BL9">IF(INDEX($I$3:$L$22,MATCH($P9,$G$3:$G$22,0),$Q9)=BL$2,$S9+$O9+9,$S9+$O9)</f>
        <v>42713001</v>
      </c>
      <c r="BM9" s="1" cm="1">
        <f t="array" ref="BM9">IF(INDEX($I$3:$L$22,MATCH($P9,$G$3:$G$22,0),$Q9)=BM$2,$S9+$O9+9,$S9+$O9)</f>
        <v>42713001</v>
      </c>
      <c r="BN9" s="1" cm="1">
        <f t="array" ref="BN9">IF(INDEX($I$3:$L$22,MATCH($P9,$G$3:$G$22,0),$Q9)=BN$2,$S9+$O9+9,$S9+$O9)</f>
        <v>42713001</v>
      </c>
      <c r="BO9" s="1" cm="1">
        <f t="array" ref="BO9">IF(INDEX($I$3:$L$22,MATCH($P9,$G$3:$G$22,0),$Q9)=BO$2,$S9+$O9+9,$S9+$O9)</f>
        <v>42713001</v>
      </c>
      <c r="BP9" s="1" cm="1">
        <f t="array" ref="BP9">IF(INDEX($I$3:$L$22,MATCH($P9,$G$3:$G$22,0),$Q9)=BP$2,$S9+$O9+9,$S9+$O9)</f>
        <v>42713001</v>
      </c>
      <c r="BQ9" s="1" cm="1">
        <f t="array" ref="BQ9">IF(INDEX($I$3:$L$22,MATCH($P9,$G$3:$G$22,0),$Q9)=BQ$2,$S9+$O9+9,$S9+$O9)</f>
        <v>42713001</v>
      </c>
      <c r="BR9" s="1" cm="1">
        <f t="array" ref="BR9">IF(INDEX($I$3:$L$22,MATCH($P9,$G$3:$G$22,0),$Q9)=BR$2,$S9+$O9+9,$S9+$O9)</f>
        <v>42713001</v>
      </c>
      <c r="BS9" s="1" cm="1">
        <f t="array" ref="BS9">IF(INDEX($I$3:$L$22,MATCH($P9,$G$3:$G$22,0),$Q9)=BS$2,$S9+$O9+9,$S9+$O9)</f>
        <v>42713001</v>
      </c>
      <c r="BT9" s="1" cm="1">
        <f t="array" ref="BT9">IF(INDEX($I$3:$L$22,MATCH($P9,$G$3:$G$22,0),$Q9)=BT$2,$S9+$O9+9,$S9+$O9)</f>
        <v>42713001</v>
      </c>
    </row>
    <row r="10" spans="1:72" x14ac:dyDescent="0.15">
      <c r="A10" s="1">
        <v>0</v>
      </c>
      <c r="B10" s="1" cm="1">
        <f t="array" aca="1" ref="B10:E10" ca="1">_xlfn.RANDARRAY(1,4,1,50,TRUE)</f>
        <v>15</v>
      </c>
      <c r="C10" s="1">
        <f ca="1"/>
        <v>22</v>
      </c>
      <c r="D10" s="1">
        <f ca="1"/>
        <v>47</v>
      </c>
      <c r="E10" s="1">
        <f ca="1"/>
        <v>43</v>
      </c>
      <c r="G10" s="1">
        <f t="shared" si="4"/>
        <v>202</v>
      </c>
      <c r="H10" s="1">
        <v>1</v>
      </c>
      <c r="I10" s="1">
        <v>29</v>
      </c>
      <c r="J10" s="1">
        <v>50</v>
      </c>
      <c r="K10" s="1">
        <v>21</v>
      </c>
      <c r="L10" s="1">
        <v>5</v>
      </c>
      <c r="N10" s="1">
        <v>30001</v>
      </c>
      <c r="O10" s="1">
        <v>1</v>
      </c>
      <c r="P10" s="1">
        <f t="shared" si="3"/>
        <v>101</v>
      </c>
      <c r="Q10" s="1">
        <v>4</v>
      </c>
      <c r="R10" s="1" t="s">
        <v>15</v>
      </c>
      <c r="S10" s="1">
        <v>42716000</v>
      </c>
      <c r="T10" s="1" t="str">
        <f t="shared" si="2"/>
        <v>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</v>
      </c>
      <c r="W10" s="1" cm="1">
        <f t="array" ref="W10">IF(INDEX($I$3:$L$22,MATCH($P10,$G$3:$G$22,0),$Q10)=W$2,$S10+$O10+9,$S10+$O10)</f>
        <v>42716001</v>
      </c>
      <c r="X10" s="1" cm="1">
        <f t="array" ref="X10">IF(INDEX($I$3:$L$22,MATCH($P10,$G$3:$G$22,0),$Q10)=X$2,$S10+$O10+9,$S10+$O10)</f>
        <v>42716001</v>
      </c>
      <c r="Y10" s="1" cm="1">
        <f t="array" ref="Y10">IF(INDEX($I$3:$L$22,MATCH($P10,$G$3:$G$22,0),$Q10)=Y$2,$S10+$O10+9,$S10+$O10)</f>
        <v>42716001</v>
      </c>
      <c r="Z10" s="1" cm="1">
        <f t="array" ref="Z10">IF(INDEX($I$3:$L$22,MATCH($P10,$G$3:$G$22,0),$Q10)=Z$2,$S10+$O10+9,$S10+$O10)</f>
        <v>42716001</v>
      </c>
      <c r="AA10" s="1" cm="1">
        <f t="array" ref="AA10">IF(INDEX($I$3:$L$22,MATCH($P10,$G$3:$G$22,0),$Q10)=AA$2,$S10+$O10+9,$S10+$O10)</f>
        <v>42716001</v>
      </c>
      <c r="AB10" s="1" cm="1">
        <f t="array" ref="AB10">IF(INDEX($I$3:$L$22,MATCH($P10,$G$3:$G$22,0),$Q10)=AB$2,$S10+$O10+9,$S10+$O10)</f>
        <v>42716001</v>
      </c>
      <c r="AC10" s="1" cm="1">
        <f t="array" ref="AC10">IF(INDEX($I$3:$L$22,MATCH($P10,$G$3:$G$22,0),$Q10)=AC$2,$S10+$O10+9,$S10+$O10)</f>
        <v>42716001</v>
      </c>
      <c r="AD10" s="1" cm="1">
        <f t="array" ref="AD10">IF(INDEX($I$3:$L$22,MATCH($P10,$G$3:$G$22,0),$Q10)=AD$2,$S10+$O10+9,$S10+$O10)</f>
        <v>42716001</v>
      </c>
      <c r="AE10" s="1" cm="1">
        <f t="array" ref="AE10">IF(INDEX($I$3:$L$22,MATCH($P10,$G$3:$G$22,0),$Q10)=AE$2,$S10+$O10+9,$S10+$O10)</f>
        <v>42716001</v>
      </c>
      <c r="AF10" s="1" cm="1">
        <f t="array" ref="AF10">IF(INDEX($I$3:$L$22,MATCH($P10,$G$3:$G$22,0),$Q10)=AF$2,$S10+$O10+9,$S10+$O10)</f>
        <v>42716001</v>
      </c>
      <c r="AG10" s="1" cm="1">
        <f t="array" ref="AG10">IF(INDEX($I$3:$L$22,MATCH($P10,$G$3:$G$22,0),$Q10)=AG$2,$S10+$O10+9,$S10+$O10)</f>
        <v>42716001</v>
      </c>
      <c r="AH10" s="1" cm="1">
        <f t="array" ref="AH10">IF(INDEX($I$3:$L$22,MATCH($P10,$G$3:$G$22,0),$Q10)=AH$2,$S10+$O10+9,$S10+$O10)</f>
        <v>42716001</v>
      </c>
      <c r="AI10" s="1" cm="1">
        <f t="array" ref="AI10">IF(INDEX($I$3:$L$22,MATCH($P10,$G$3:$G$22,0),$Q10)=AI$2,$S10+$O10+9,$S10+$O10)</f>
        <v>42716001</v>
      </c>
      <c r="AJ10" s="1" cm="1">
        <f t="array" ref="AJ10">IF(INDEX($I$3:$L$22,MATCH($P10,$G$3:$G$22,0),$Q10)=AJ$2,$S10+$O10+9,$S10+$O10)</f>
        <v>42716001</v>
      </c>
      <c r="AK10" s="1" cm="1">
        <f t="array" ref="AK10">IF(INDEX($I$3:$L$22,MATCH($P10,$G$3:$G$22,0),$Q10)=AK$2,$S10+$O10+9,$S10+$O10)</f>
        <v>42716001</v>
      </c>
      <c r="AL10" s="1" cm="1">
        <f t="array" ref="AL10">IF(INDEX($I$3:$L$22,MATCH($P10,$G$3:$G$22,0),$Q10)=AL$2,$S10+$O10+9,$S10+$O10)</f>
        <v>42716001</v>
      </c>
      <c r="AM10" s="1" cm="1">
        <f t="array" ref="AM10">IF(INDEX($I$3:$L$22,MATCH($P10,$G$3:$G$22,0),$Q10)=AM$2,$S10+$O10+9,$S10+$O10)</f>
        <v>42716001</v>
      </c>
      <c r="AN10" s="1" cm="1">
        <f t="array" ref="AN10">IF(INDEX($I$3:$L$22,MATCH($P10,$G$3:$G$22,0),$Q10)=AN$2,$S10+$O10+9,$S10+$O10)</f>
        <v>42716010</v>
      </c>
      <c r="AO10" s="1" cm="1">
        <f t="array" ref="AO10">IF(INDEX($I$3:$L$22,MATCH($P10,$G$3:$G$22,0),$Q10)=AO$2,$S10+$O10+9,$S10+$O10)</f>
        <v>42716001</v>
      </c>
      <c r="AP10" s="1" cm="1">
        <f t="array" ref="AP10">IF(INDEX($I$3:$L$22,MATCH($P10,$G$3:$G$22,0),$Q10)=AP$2,$S10+$O10+9,$S10+$O10)</f>
        <v>42716001</v>
      </c>
      <c r="AQ10" s="1" cm="1">
        <f t="array" ref="AQ10">IF(INDEX($I$3:$L$22,MATCH($P10,$G$3:$G$22,0),$Q10)=AQ$2,$S10+$O10+9,$S10+$O10)</f>
        <v>42716001</v>
      </c>
      <c r="AR10" s="1" cm="1">
        <f t="array" ref="AR10">IF(INDEX($I$3:$L$22,MATCH($P10,$G$3:$G$22,0),$Q10)=AR$2,$S10+$O10+9,$S10+$O10)</f>
        <v>42716001</v>
      </c>
      <c r="AS10" s="1" cm="1">
        <f t="array" ref="AS10">IF(INDEX($I$3:$L$22,MATCH($P10,$G$3:$G$22,0),$Q10)=AS$2,$S10+$O10+9,$S10+$O10)</f>
        <v>42716001</v>
      </c>
      <c r="AT10" s="1" cm="1">
        <f t="array" ref="AT10">IF(INDEX($I$3:$L$22,MATCH($P10,$G$3:$G$22,0),$Q10)=AT$2,$S10+$O10+9,$S10+$O10)</f>
        <v>42716001</v>
      </c>
      <c r="AU10" s="1" cm="1">
        <f t="array" ref="AU10">IF(INDEX($I$3:$L$22,MATCH($P10,$G$3:$G$22,0),$Q10)=AU$2,$S10+$O10+9,$S10+$O10)</f>
        <v>42716001</v>
      </c>
      <c r="AV10" s="1" cm="1">
        <f t="array" ref="AV10">IF(INDEX($I$3:$L$22,MATCH($P10,$G$3:$G$22,0),$Q10)=AV$2,$S10+$O10+9,$S10+$O10)</f>
        <v>42716001</v>
      </c>
      <c r="AW10" s="1" cm="1">
        <f t="array" ref="AW10">IF(INDEX($I$3:$L$22,MATCH($P10,$G$3:$G$22,0),$Q10)=AW$2,$S10+$O10+9,$S10+$O10)</f>
        <v>42716001</v>
      </c>
      <c r="AX10" s="1" cm="1">
        <f t="array" ref="AX10">IF(INDEX($I$3:$L$22,MATCH($P10,$G$3:$G$22,0),$Q10)=AX$2,$S10+$O10+9,$S10+$O10)</f>
        <v>42716001</v>
      </c>
      <c r="AY10" s="1" cm="1">
        <f t="array" ref="AY10">IF(INDEX($I$3:$L$22,MATCH($P10,$G$3:$G$22,0),$Q10)=AY$2,$S10+$O10+9,$S10+$O10)</f>
        <v>42716001</v>
      </c>
      <c r="AZ10" s="1" cm="1">
        <f t="array" ref="AZ10">IF(INDEX($I$3:$L$22,MATCH($P10,$G$3:$G$22,0),$Q10)=AZ$2,$S10+$O10+9,$S10+$O10)</f>
        <v>42716001</v>
      </c>
      <c r="BA10" s="1" cm="1">
        <f t="array" ref="BA10">IF(INDEX($I$3:$L$22,MATCH($P10,$G$3:$G$22,0),$Q10)=BA$2,$S10+$O10+9,$S10+$O10)</f>
        <v>42716001</v>
      </c>
      <c r="BB10" s="1" cm="1">
        <f t="array" ref="BB10">IF(INDEX($I$3:$L$22,MATCH($P10,$G$3:$G$22,0),$Q10)=BB$2,$S10+$O10+9,$S10+$O10)</f>
        <v>42716001</v>
      </c>
      <c r="BC10" s="1" cm="1">
        <f t="array" ref="BC10">IF(INDEX($I$3:$L$22,MATCH($P10,$G$3:$G$22,0),$Q10)=BC$2,$S10+$O10+9,$S10+$O10)</f>
        <v>42716001</v>
      </c>
      <c r="BD10" s="1" cm="1">
        <f t="array" ref="BD10">IF(INDEX($I$3:$L$22,MATCH($P10,$G$3:$G$22,0),$Q10)=BD$2,$S10+$O10+9,$S10+$O10)</f>
        <v>42716001</v>
      </c>
      <c r="BE10" s="1" cm="1">
        <f t="array" ref="BE10">IF(INDEX($I$3:$L$22,MATCH($P10,$G$3:$G$22,0),$Q10)=BE$2,$S10+$O10+9,$S10+$O10)</f>
        <v>42716001</v>
      </c>
      <c r="BF10" s="1" cm="1">
        <f t="array" ref="BF10">IF(INDEX($I$3:$L$22,MATCH($P10,$G$3:$G$22,0),$Q10)=BF$2,$S10+$O10+9,$S10+$O10)</f>
        <v>42716001</v>
      </c>
      <c r="BG10" s="1" cm="1">
        <f t="array" ref="BG10">IF(INDEX($I$3:$L$22,MATCH($P10,$G$3:$G$22,0),$Q10)=BG$2,$S10+$O10+9,$S10+$O10)</f>
        <v>42716001</v>
      </c>
      <c r="BH10" s="1" cm="1">
        <f t="array" ref="BH10">IF(INDEX($I$3:$L$22,MATCH($P10,$G$3:$G$22,0),$Q10)=BH$2,$S10+$O10+9,$S10+$O10)</f>
        <v>42716001</v>
      </c>
      <c r="BI10" s="1" cm="1">
        <f t="array" ref="BI10">IF(INDEX($I$3:$L$22,MATCH($P10,$G$3:$G$22,0),$Q10)=BI$2,$S10+$O10+9,$S10+$O10)</f>
        <v>42716001</v>
      </c>
      <c r="BJ10" s="1" cm="1">
        <f t="array" ref="BJ10">IF(INDEX($I$3:$L$22,MATCH($P10,$G$3:$G$22,0),$Q10)=BJ$2,$S10+$O10+9,$S10+$O10)</f>
        <v>42716001</v>
      </c>
      <c r="BK10" s="1" cm="1">
        <f t="array" ref="BK10">IF(INDEX($I$3:$L$22,MATCH($P10,$G$3:$G$22,0),$Q10)=BK$2,$S10+$O10+9,$S10+$O10)</f>
        <v>42716001</v>
      </c>
      <c r="BL10" s="1" cm="1">
        <f t="array" ref="BL10">IF(INDEX($I$3:$L$22,MATCH($P10,$G$3:$G$22,0),$Q10)=BL$2,$S10+$O10+9,$S10+$O10)</f>
        <v>42716001</v>
      </c>
      <c r="BM10" s="1" cm="1">
        <f t="array" ref="BM10">IF(INDEX($I$3:$L$22,MATCH($P10,$G$3:$G$22,0),$Q10)=BM$2,$S10+$O10+9,$S10+$O10)</f>
        <v>42716001</v>
      </c>
      <c r="BN10" s="1" cm="1">
        <f t="array" ref="BN10">IF(INDEX($I$3:$L$22,MATCH($P10,$G$3:$G$22,0),$Q10)=BN$2,$S10+$O10+9,$S10+$O10)</f>
        <v>42716001</v>
      </c>
      <c r="BO10" s="1" cm="1">
        <f t="array" ref="BO10">IF(INDEX($I$3:$L$22,MATCH($P10,$G$3:$G$22,0),$Q10)=BO$2,$S10+$O10+9,$S10+$O10)</f>
        <v>42716001</v>
      </c>
      <c r="BP10" s="1" cm="1">
        <f t="array" ref="BP10">IF(INDEX($I$3:$L$22,MATCH($P10,$G$3:$G$22,0),$Q10)=BP$2,$S10+$O10+9,$S10+$O10)</f>
        <v>42716001</v>
      </c>
      <c r="BQ10" s="1" cm="1">
        <f t="array" ref="BQ10">IF(INDEX($I$3:$L$22,MATCH($P10,$G$3:$G$22,0),$Q10)=BQ$2,$S10+$O10+9,$S10+$O10)</f>
        <v>42716001</v>
      </c>
      <c r="BR10" s="1" cm="1">
        <f t="array" ref="BR10">IF(INDEX($I$3:$L$22,MATCH($P10,$G$3:$G$22,0),$Q10)=BR$2,$S10+$O10+9,$S10+$O10)</f>
        <v>42716001</v>
      </c>
      <c r="BS10" s="1" cm="1">
        <f t="array" ref="BS10">IF(INDEX($I$3:$L$22,MATCH($P10,$G$3:$G$22,0),$Q10)=BS$2,$S10+$O10+9,$S10+$O10)</f>
        <v>42716001</v>
      </c>
      <c r="BT10" s="1" cm="1">
        <f t="array" ref="BT10">IF(INDEX($I$3:$L$22,MATCH($P10,$G$3:$G$22,0),$Q10)=BT$2,$S10+$O10+9,$S10+$O10)</f>
        <v>42716001</v>
      </c>
    </row>
    <row r="11" spans="1:72" x14ac:dyDescent="0.15">
      <c r="A11" s="1">
        <v>0</v>
      </c>
      <c r="B11" s="1" cm="1">
        <f t="array" aca="1" ref="B11:E11" ca="1">_xlfn.RANDARRAY(1,4,1,50,TRUE)</f>
        <v>11</v>
      </c>
      <c r="C11" s="1">
        <f ca="1"/>
        <v>26</v>
      </c>
      <c r="D11" s="1">
        <f ca="1"/>
        <v>30</v>
      </c>
      <c r="E11" s="1">
        <f ca="1"/>
        <v>38</v>
      </c>
      <c r="G11" s="1">
        <f t="shared" si="4"/>
        <v>203</v>
      </c>
      <c r="H11" s="1">
        <v>1</v>
      </c>
      <c r="I11" s="1">
        <v>44</v>
      </c>
      <c r="J11" s="1">
        <v>19</v>
      </c>
      <c r="K11" s="1">
        <v>37</v>
      </c>
      <c r="L11" s="1">
        <v>5</v>
      </c>
      <c r="N11" s="1">
        <v>30001</v>
      </c>
      <c r="O11" s="1">
        <v>1</v>
      </c>
      <c r="P11" s="1">
        <f t="shared" si="3"/>
        <v>102</v>
      </c>
      <c r="Q11" s="1">
        <v>1</v>
      </c>
      <c r="R11" s="1" t="s">
        <v>18</v>
      </c>
      <c r="S11" s="1">
        <v>42711000</v>
      </c>
      <c r="T11" s="1" t="str">
        <f t="shared" si="2"/>
        <v>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1" s="1" cm="1">
        <f t="array" ref="W11">IF(INDEX($I$3:$L$22,MATCH($P11,$G$3:$G$22,0),$Q11)=W$2,$S11+$O11+9,$S11+$O11)</f>
        <v>42711001</v>
      </c>
      <c r="X11" s="1" cm="1">
        <f t="array" ref="X11">IF(INDEX($I$3:$L$22,MATCH($P11,$G$3:$G$22,0),$Q11)=X$2,$S11+$O11+9,$S11+$O11)</f>
        <v>42711010</v>
      </c>
      <c r="Y11" s="1" cm="1">
        <f t="array" ref="Y11">IF(INDEX($I$3:$L$22,MATCH($P11,$G$3:$G$22,0),$Q11)=Y$2,$S11+$O11+9,$S11+$O11)</f>
        <v>42711001</v>
      </c>
      <c r="Z11" s="1" cm="1">
        <f t="array" ref="Z11">IF(INDEX($I$3:$L$22,MATCH($P11,$G$3:$G$22,0),$Q11)=Z$2,$S11+$O11+9,$S11+$O11)</f>
        <v>42711001</v>
      </c>
      <c r="AA11" s="1" cm="1">
        <f t="array" ref="AA11">IF(INDEX($I$3:$L$22,MATCH($P11,$G$3:$G$22,0),$Q11)=AA$2,$S11+$O11+9,$S11+$O11)</f>
        <v>42711001</v>
      </c>
      <c r="AB11" s="1" cm="1">
        <f t="array" ref="AB11">IF(INDEX($I$3:$L$22,MATCH($P11,$G$3:$G$22,0),$Q11)=AB$2,$S11+$O11+9,$S11+$O11)</f>
        <v>42711001</v>
      </c>
      <c r="AC11" s="1" cm="1">
        <f t="array" ref="AC11">IF(INDEX($I$3:$L$22,MATCH($P11,$G$3:$G$22,0),$Q11)=AC$2,$S11+$O11+9,$S11+$O11)</f>
        <v>42711001</v>
      </c>
      <c r="AD11" s="1" cm="1">
        <f t="array" ref="AD11">IF(INDEX($I$3:$L$22,MATCH($P11,$G$3:$G$22,0),$Q11)=AD$2,$S11+$O11+9,$S11+$O11)</f>
        <v>42711001</v>
      </c>
      <c r="AE11" s="1" cm="1">
        <f t="array" ref="AE11">IF(INDEX($I$3:$L$22,MATCH($P11,$G$3:$G$22,0),$Q11)=AE$2,$S11+$O11+9,$S11+$O11)</f>
        <v>42711001</v>
      </c>
      <c r="AF11" s="1" cm="1">
        <f t="array" ref="AF11">IF(INDEX($I$3:$L$22,MATCH($P11,$G$3:$G$22,0),$Q11)=AF$2,$S11+$O11+9,$S11+$O11)</f>
        <v>42711001</v>
      </c>
      <c r="AG11" s="1" cm="1">
        <f t="array" ref="AG11">IF(INDEX($I$3:$L$22,MATCH($P11,$G$3:$G$22,0),$Q11)=AG$2,$S11+$O11+9,$S11+$O11)</f>
        <v>42711001</v>
      </c>
      <c r="AH11" s="1" cm="1">
        <f t="array" ref="AH11">IF(INDEX($I$3:$L$22,MATCH($P11,$G$3:$G$22,0),$Q11)=AH$2,$S11+$O11+9,$S11+$O11)</f>
        <v>42711001</v>
      </c>
      <c r="AI11" s="1" cm="1">
        <f t="array" ref="AI11">IF(INDEX($I$3:$L$22,MATCH($P11,$G$3:$G$22,0),$Q11)=AI$2,$S11+$O11+9,$S11+$O11)</f>
        <v>42711001</v>
      </c>
      <c r="AJ11" s="1" cm="1">
        <f t="array" ref="AJ11">IF(INDEX($I$3:$L$22,MATCH($P11,$G$3:$G$22,0),$Q11)=AJ$2,$S11+$O11+9,$S11+$O11)</f>
        <v>42711001</v>
      </c>
      <c r="AK11" s="1" cm="1">
        <f t="array" ref="AK11">IF(INDEX($I$3:$L$22,MATCH($P11,$G$3:$G$22,0),$Q11)=AK$2,$S11+$O11+9,$S11+$O11)</f>
        <v>42711001</v>
      </c>
      <c r="AL11" s="1" cm="1">
        <f t="array" ref="AL11">IF(INDEX($I$3:$L$22,MATCH($P11,$G$3:$G$22,0),$Q11)=AL$2,$S11+$O11+9,$S11+$O11)</f>
        <v>42711001</v>
      </c>
      <c r="AM11" s="1" cm="1">
        <f t="array" ref="AM11">IF(INDEX($I$3:$L$22,MATCH($P11,$G$3:$G$22,0),$Q11)=AM$2,$S11+$O11+9,$S11+$O11)</f>
        <v>42711001</v>
      </c>
      <c r="AN11" s="1" cm="1">
        <f t="array" ref="AN11">IF(INDEX($I$3:$L$22,MATCH($P11,$G$3:$G$22,0),$Q11)=AN$2,$S11+$O11+9,$S11+$O11)</f>
        <v>42711001</v>
      </c>
      <c r="AO11" s="1" cm="1">
        <f t="array" ref="AO11">IF(INDEX($I$3:$L$22,MATCH($P11,$G$3:$G$22,0),$Q11)=AO$2,$S11+$O11+9,$S11+$O11)</f>
        <v>42711001</v>
      </c>
      <c r="AP11" s="1" cm="1">
        <f t="array" ref="AP11">IF(INDEX($I$3:$L$22,MATCH($P11,$G$3:$G$22,0),$Q11)=AP$2,$S11+$O11+9,$S11+$O11)</f>
        <v>42711001</v>
      </c>
      <c r="AQ11" s="1" cm="1">
        <f t="array" ref="AQ11">IF(INDEX($I$3:$L$22,MATCH($P11,$G$3:$G$22,0),$Q11)=AQ$2,$S11+$O11+9,$S11+$O11)</f>
        <v>42711001</v>
      </c>
      <c r="AR11" s="1" cm="1">
        <f t="array" ref="AR11">IF(INDEX($I$3:$L$22,MATCH($P11,$G$3:$G$22,0),$Q11)=AR$2,$S11+$O11+9,$S11+$O11)</f>
        <v>42711001</v>
      </c>
      <c r="AS11" s="1" cm="1">
        <f t="array" ref="AS11">IF(INDEX($I$3:$L$22,MATCH($P11,$G$3:$G$22,0),$Q11)=AS$2,$S11+$O11+9,$S11+$O11)</f>
        <v>42711001</v>
      </c>
      <c r="AT11" s="1" cm="1">
        <f t="array" ref="AT11">IF(INDEX($I$3:$L$22,MATCH($P11,$G$3:$G$22,0),$Q11)=AT$2,$S11+$O11+9,$S11+$O11)</f>
        <v>42711001</v>
      </c>
      <c r="AU11" s="1" cm="1">
        <f t="array" ref="AU11">IF(INDEX($I$3:$L$22,MATCH($P11,$G$3:$G$22,0),$Q11)=AU$2,$S11+$O11+9,$S11+$O11)</f>
        <v>42711001</v>
      </c>
      <c r="AV11" s="1" cm="1">
        <f t="array" ref="AV11">IF(INDEX($I$3:$L$22,MATCH($P11,$G$3:$G$22,0),$Q11)=AV$2,$S11+$O11+9,$S11+$O11)</f>
        <v>42711001</v>
      </c>
      <c r="AW11" s="1" cm="1">
        <f t="array" ref="AW11">IF(INDEX($I$3:$L$22,MATCH($P11,$G$3:$G$22,0),$Q11)=AW$2,$S11+$O11+9,$S11+$O11)</f>
        <v>42711001</v>
      </c>
      <c r="AX11" s="1" cm="1">
        <f t="array" ref="AX11">IF(INDEX($I$3:$L$22,MATCH($P11,$G$3:$G$22,0),$Q11)=AX$2,$S11+$O11+9,$S11+$O11)</f>
        <v>42711001</v>
      </c>
      <c r="AY11" s="1" cm="1">
        <f t="array" ref="AY11">IF(INDEX($I$3:$L$22,MATCH($P11,$G$3:$G$22,0),$Q11)=AY$2,$S11+$O11+9,$S11+$O11)</f>
        <v>42711001</v>
      </c>
      <c r="AZ11" s="1" cm="1">
        <f t="array" ref="AZ11">IF(INDEX($I$3:$L$22,MATCH($P11,$G$3:$G$22,0),$Q11)=AZ$2,$S11+$O11+9,$S11+$O11)</f>
        <v>42711001</v>
      </c>
      <c r="BA11" s="1" cm="1">
        <f t="array" ref="BA11">IF(INDEX($I$3:$L$22,MATCH($P11,$G$3:$G$22,0),$Q11)=BA$2,$S11+$O11+9,$S11+$O11)</f>
        <v>42711001</v>
      </c>
      <c r="BB11" s="1" cm="1">
        <f t="array" ref="BB11">IF(INDEX($I$3:$L$22,MATCH($P11,$G$3:$G$22,0),$Q11)=BB$2,$S11+$O11+9,$S11+$O11)</f>
        <v>42711001</v>
      </c>
      <c r="BC11" s="1" cm="1">
        <f t="array" ref="BC11">IF(INDEX($I$3:$L$22,MATCH($P11,$G$3:$G$22,0),$Q11)=BC$2,$S11+$O11+9,$S11+$O11)</f>
        <v>42711001</v>
      </c>
      <c r="BD11" s="1" cm="1">
        <f t="array" ref="BD11">IF(INDEX($I$3:$L$22,MATCH($P11,$G$3:$G$22,0),$Q11)=BD$2,$S11+$O11+9,$S11+$O11)</f>
        <v>42711001</v>
      </c>
      <c r="BE11" s="1" cm="1">
        <f t="array" ref="BE11">IF(INDEX($I$3:$L$22,MATCH($P11,$G$3:$G$22,0),$Q11)=BE$2,$S11+$O11+9,$S11+$O11)</f>
        <v>42711001</v>
      </c>
      <c r="BF11" s="1" cm="1">
        <f t="array" ref="BF11">IF(INDEX($I$3:$L$22,MATCH($P11,$G$3:$G$22,0),$Q11)=BF$2,$S11+$O11+9,$S11+$O11)</f>
        <v>42711001</v>
      </c>
      <c r="BG11" s="1" cm="1">
        <f t="array" ref="BG11">IF(INDEX($I$3:$L$22,MATCH($P11,$G$3:$G$22,0),$Q11)=BG$2,$S11+$O11+9,$S11+$O11)</f>
        <v>42711001</v>
      </c>
      <c r="BH11" s="1" cm="1">
        <f t="array" ref="BH11">IF(INDEX($I$3:$L$22,MATCH($P11,$G$3:$G$22,0),$Q11)=BH$2,$S11+$O11+9,$S11+$O11)</f>
        <v>42711001</v>
      </c>
      <c r="BI11" s="1" cm="1">
        <f t="array" ref="BI11">IF(INDEX($I$3:$L$22,MATCH($P11,$G$3:$G$22,0),$Q11)=BI$2,$S11+$O11+9,$S11+$O11)</f>
        <v>42711001</v>
      </c>
      <c r="BJ11" s="1" cm="1">
        <f t="array" ref="BJ11">IF(INDEX($I$3:$L$22,MATCH($P11,$G$3:$G$22,0),$Q11)=BJ$2,$S11+$O11+9,$S11+$O11)</f>
        <v>42711001</v>
      </c>
      <c r="BK11" s="1" cm="1">
        <f t="array" ref="BK11">IF(INDEX($I$3:$L$22,MATCH($P11,$G$3:$G$22,0),$Q11)=BK$2,$S11+$O11+9,$S11+$O11)</f>
        <v>42711001</v>
      </c>
      <c r="BL11" s="1" cm="1">
        <f t="array" ref="BL11">IF(INDEX($I$3:$L$22,MATCH($P11,$G$3:$G$22,0),$Q11)=BL$2,$S11+$O11+9,$S11+$O11)</f>
        <v>42711001</v>
      </c>
      <c r="BM11" s="1" cm="1">
        <f t="array" ref="BM11">IF(INDEX($I$3:$L$22,MATCH($P11,$G$3:$G$22,0),$Q11)=BM$2,$S11+$O11+9,$S11+$O11)</f>
        <v>42711001</v>
      </c>
      <c r="BN11" s="1" cm="1">
        <f t="array" ref="BN11">IF(INDEX($I$3:$L$22,MATCH($P11,$G$3:$G$22,0),$Q11)=BN$2,$S11+$O11+9,$S11+$O11)</f>
        <v>42711001</v>
      </c>
      <c r="BO11" s="1" cm="1">
        <f t="array" ref="BO11">IF(INDEX($I$3:$L$22,MATCH($P11,$G$3:$G$22,0),$Q11)=BO$2,$S11+$O11+9,$S11+$O11)</f>
        <v>42711001</v>
      </c>
      <c r="BP11" s="1" cm="1">
        <f t="array" ref="BP11">IF(INDEX($I$3:$L$22,MATCH($P11,$G$3:$G$22,0),$Q11)=BP$2,$S11+$O11+9,$S11+$O11)</f>
        <v>42711001</v>
      </c>
      <c r="BQ11" s="1" cm="1">
        <f t="array" ref="BQ11">IF(INDEX($I$3:$L$22,MATCH($P11,$G$3:$G$22,0),$Q11)=BQ$2,$S11+$O11+9,$S11+$O11)</f>
        <v>42711001</v>
      </c>
      <c r="BR11" s="1" cm="1">
        <f t="array" ref="BR11">IF(INDEX($I$3:$L$22,MATCH($P11,$G$3:$G$22,0),$Q11)=BR$2,$S11+$O11+9,$S11+$O11)</f>
        <v>42711001</v>
      </c>
      <c r="BS11" s="1" cm="1">
        <f t="array" ref="BS11">IF(INDEX($I$3:$L$22,MATCH($P11,$G$3:$G$22,0),$Q11)=BS$2,$S11+$O11+9,$S11+$O11)</f>
        <v>42711001</v>
      </c>
      <c r="BT11" s="1" cm="1">
        <f t="array" ref="BT11">IF(INDEX($I$3:$L$22,MATCH($P11,$G$3:$G$22,0),$Q11)=BT$2,$S11+$O11+9,$S11+$O11)</f>
        <v>42711001</v>
      </c>
    </row>
    <row r="12" spans="1:72" x14ac:dyDescent="0.15">
      <c r="A12" s="1">
        <v>0</v>
      </c>
      <c r="B12" s="1" cm="1">
        <f t="array" aca="1" ref="B12:E12" ca="1">_xlfn.RANDARRAY(1,4,1,50,TRUE)</f>
        <v>16</v>
      </c>
      <c r="C12" s="1">
        <f ca="1"/>
        <v>50</v>
      </c>
      <c r="D12" s="1">
        <f ca="1"/>
        <v>3</v>
      </c>
      <c r="E12" s="1">
        <f ca="1"/>
        <v>29</v>
      </c>
      <c r="G12" s="1">
        <f t="shared" si="4"/>
        <v>204</v>
      </c>
      <c r="H12" s="1">
        <v>1</v>
      </c>
      <c r="I12" s="1">
        <v>4</v>
      </c>
      <c r="J12" s="1">
        <v>46</v>
      </c>
      <c r="K12" s="1">
        <v>50</v>
      </c>
      <c r="L12" s="1">
        <v>23</v>
      </c>
      <c r="N12" s="1">
        <v>30001</v>
      </c>
      <c r="O12" s="1">
        <v>1</v>
      </c>
      <c r="P12" s="1">
        <f t="shared" si="3"/>
        <v>102</v>
      </c>
      <c r="Q12" s="1">
        <v>2</v>
      </c>
      <c r="R12" s="1" t="s">
        <v>17</v>
      </c>
      <c r="S12" s="1">
        <v>42612000</v>
      </c>
      <c r="T12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</v>
      </c>
      <c r="W12" s="1" cm="1">
        <f t="array" ref="W12">IF(INDEX($I$3:$L$22,MATCH($P12,$G$3:$G$22,0),$Q12)=W$2,$S12+$O12+9,$S12+$O12)</f>
        <v>42612001</v>
      </c>
      <c r="X12" s="1" cm="1">
        <f t="array" ref="X12">IF(INDEX($I$3:$L$22,MATCH($P12,$G$3:$G$22,0),$Q12)=X$2,$S12+$O12+9,$S12+$O12)</f>
        <v>42612001</v>
      </c>
      <c r="Y12" s="1" cm="1">
        <f t="array" ref="Y12">IF(INDEX($I$3:$L$22,MATCH($P12,$G$3:$G$22,0),$Q12)=Y$2,$S12+$O12+9,$S12+$O12)</f>
        <v>42612001</v>
      </c>
      <c r="Z12" s="1" cm="1">
        <f t="array" ref="Z12">IF(INDEX($I$3:$L$22,MATCH($P12,$G$3:$G$22,0),$Q12)=Z$2,$S12+$O12+9,$S12+$O12)</f>
        <v>42612001</v>
      </c>
      <c r="AA12" s="1" cm="1">
        <f t="array" ref="AA12">IF(INDEX($I$3:$L$22,MATCH($P12,$G$3:$G$22,0),$Q12)=AA$2,$S12+$O12+9,$S12+$O12)</f>
        <v>42612001</v>
      </c>
      <c r="AB12" s="1" cm="1">
        <f t="array" ref="AB12">IF(INDEX($I$3:$L$22,MATCH($P12,$G$3:$G$22,0),$Q12)=AB$2,$S12+$O12+9,$S12+$O12)</f>
        <v>42612001</v>
      </c>
      <c r="AC12" s="1" cm="1">
        <f t="array" ref="AC12">IF(INDEX($I$3:$L$22,MATCH($P12,$G$3:$G$22,0),$Q12)=AC$2,$S12+$O12+9,$S12+$O12)</f>
        <v>42612001</v>
      </c>
      <c r="AD12" s="1" cm="1">
        <f t="array" ref="AD12">IF(INDEX($I$3:$L$22,MATCH($P12,$G$3:$G$22,0),$Q12)=AD$2,$S12+$O12+9,$S12+$O12)</f>
        <v>42612001</v>
      </c>
      <c r="AE12" s="1" cm="1">
        <f t="array" ref="AE12">IF(INDEX($I$3:$L$22,MATCH($P12,$G$3:$G$22,0),$Q12)=AE$2,$S12+$O12+9,$S12+$O12)</f>
        <v>42612001</v>
      </c>
      <c r="AF12" s="1" cm="1">
        <f t="array" ref="AF12">IF(INDEX($I$3:$L$22,MATCH($P12,$G$3:$G$22,0),$Q12)=AF$2,$S12+$O12+9,$S12+$O12)</f>
        <v>42612001</v>
      </c>
      <c r="AG12" s="1" cm="1">
        <f t="array" ref="AG12">IF(INDEX($I$3:$L$22,MATCH($P12,$G$3:$G$22,0),$Q12)=AG$2,$S12+$O12+9,$S12+$O12)</f>
        <v>42612001</v>
      </c>
      <c r="AH12" s="1" cm="1">
        <f t="array" ref="AH12">IF(INDEX($I$3:$L$22,MATCH($P12,$G$3:$G$22,0),$Q12)=AH$2,$S12+$O12+9,$S12+$O12)</f>
        <v>42612001</v>
      </c>
      <c r="AI12" s="1" cm="1">
        <f t="array" ref="AI12">IF(INDEX($I$3:$L$22,MATCH($P12,$G$3:$G$22,0),$Q12)=AI$2,$S12+$O12+9,$S12+$O12)</f>
        <v>42612001</v>
      </c>
      <c r="AJ12" s="1" cm="1">
        <f t="array" ref="AJ12">IF(INDEX($I$3:$L$22,MATCH($P12,$G$3:$G$22,0),$Q12)=AJ$2,$S12+$O12+9,$S12+$O12)</f>
        <v>42612001</v>
      </c>
      <c r="AK12" s="1" cm="1">
        <f t="array" ref="AK12">IF(INDEX($I$3:$L$22,MATCH($P12,$G$3:$G$22,0),$Q12)=AK$2,$S12+$O12+9,$S12+$O12)</f>
        <v>42612001</v>
      </c>
      <c r="AL12" s="1" cm="1">
        <f t="array" ref="AL12">IF(INDEX($I$3:$L$22,MATCH($P12,$G$3:$G$22,0),$Q12)=AL$2,$S12+$O12+9,$S12+$O12)</f>
        <v>42612001</v>
      </c>
      <c r="AM12" s="1" cm="1">
        <f t="array" ref="AM12">IF(INDEX($I$3:$L$22,MATCH($P12,$G$3:$G$22,0),$Q12)=AM$2,$S12+$O12+9,$S12+$O12)</f>
        <v>42612001</v>
      </c>
      <c r="AN12" s="1" cm="1">
        <f t="array" ref="AN12">IF(INDEX($I$3:$L$22,MATCH($P12,$G$3:$G$22,0),$Q12)=AN$2,$S12+$O12+9,$S12+$O12)</f>
        <v>42612001</v>
      </c>
      <c r="AO12" s="1" cm="1">
        <f t="array" ref="AO12">IF(INDEX($I$3:$L$22,MATCH($P12,$G$3:$G$22,0),$Q12)=AO$2,$S12+$O12+9,$S12+$O12)</f>
        <v>42612001</v>
      </c>
      <c r="AP12" s="1" cm="1">
        <f t="array" ref="AP12">IF(INDEX($I$3:$L$22,MATCH($P12,$G$3:$G$22,0),$Q12)=AP$2,$S12+$O12+9,$S12+$O12)</f>
        <v>42612001</v>
      </c>
      <c r="AQ12" s="1" cm="1">
        <f t="array" ref="AQ12">IF(INDEX($I$3:$L$22,MATCH($P12,$G$3:$G$22,0),$Q12)=AQ$2,$S12+$O12+9,$S12+$O12)</f>
        <v>42612001</v>
      </c>
      <c r="AR12" s="1" cm="1">
        <f t="array" ref="AR12">IF(INDEX($I$3:$L$22,MATCH($P12,$G$3:$G$22,0),$Q12)=AR$2,$S12+$O12+9,$S12+$O12)</f>
        <v>42612001</v>
      </c>
      <c r="AS12" s="1" cm="1">
        <f t="array" ref="AS12">IF(INDEX($I$3:$L$22,MATCH($P12,$G$3:$G$22,0),$Q12)=AS$2,$S12+$O12+9,$S12+$O12)</f>
        <v>42612001</v>
      </c>
      <c r="AT12" s="1" cm="1">
        <f t="array" ref="AT12">IF(INDEX($I$3:$L$22,MATCH($P12,$G$3:$G$22,0),$Q12)=AT$2,$S12+$O12+9,$S12+$O12)</f>
        <v>42612001</v>
      </c>
      <c r="AU12" s="1" cm="1">
        <f t="array" ref="AU12">IF(INDEX($I$3:$L$22,MATCH($P12,$G$3:$G$22,0),$Q12)=AU$2,$S12+$O12+9,$S12+$O12)</f>
        <v>42612001</v>
      </c>
      <c r="AV12" s="1" cm="1">
        <f t="array" ref="AV12">IF(INDEX($I$3:$L$22,MATCH($P12,$G$3:$G$22,0),$Q12)=AV$2,$S12+$O12+9,$S12+$O12)</f>
        <v>42612001</v>
      </c>
      <c r="AW12" s="1" cm="1">
        <f t="array" ref="AW12">IF(INDEX($I$3:$L$22,MATCH($P12,$G$3:$G$22,0),$Q12)=AW$2,$S12+$O12+9,$S12+$O12)</f>
        <v>42612001</v>
      </c>
      <c r="AX12" s="1" cm="1">
        <f t="array" ref="AX12">IF(INDEX($I$3:$L$22,MATCH($P12,$G$3:$G$22,0),$Q12)=AX$2,$S12+$O12+9,$S12+$O12)</f>
        <v>42612001</v>
      </c>
      <c r="AY12" s="1" cm="1">
        <f t="array" ref="AY12">IF(INDEX($I$3:$L$22,MATCH($P12,$G$3:$G$22,0),$Q12)=AY$2,$S12+$O12+9,$S12+$O12)</f>
        <v>42612001</v>
      </c>
      <c r="AZ12" s="1" cm="1">
        <f t="array" ref="AZ12">IF(INDEX($I$3:$L$22,MATCH($P12,$G$3:$G$22,0),$Q12)=AZ$2,$S12+$O12+9,$S12+$O12)</f>
        <v>42612001</v>
      </c>
      <c r="BA12" s="1" cm="1">
        <f t="array" ref="BA12">IF(INDEX($I$3:$L$22,MATCH($P12,$G$3:$G$22,0),$Q12)=BA$2,$S12+$O12+9,$S12+$O12)</f>
        <v>42612001</v>
      </c>
      <c r="BB12" s="1" cm="1">
        <f t="array" ref="BB12">IF(INDEX($I$3:$L$22,MATCH($P12,$G$3:$G$22,0),$Q12)=BB$2,$S12+$O12+9,$S12+$O12)</f>
        <v>42612001</v>
      </c>
      <c r="BC12" s="1" cm="1">
        <f t="array" ref="BC12">IF(INDEX($I$3:$L$22,MATCH($P12,$G$3:$G$22,0),$Q12)=BC$2,$S12+$O12+9,$S12+$O12)</f>
        <v>42612001</v>
      </c>
      <c r="BD12" s="1" cm="1">
        <f t="array" ref="BD12">IF(INDEX($I$3:$L$22,MATCH($P12,$G$3:$G$22,0),$Q12)=BD$2,$S12+$O12+9,$S12+$O12)</f>
        <v>42612001</v>
      </c>
      <c r="BE12" s="1" cm="1">
        <f t="array" ref="BE12">IF(INDEX($I$3:$L$22,MATCH($P12,$G$3:$G$22,0),$Q12)=BE$2,$S12+$O12+9,$S12+$O12)</f>
        <v>42612001</v>
      </c>
      <c r="BF12" s="1" cm="1">
        <f t="array" ref="BF12">IF(INDEX($I$3:$L$22,MATCH($P12,$G$3:$G$22,0),$Q12)=BF$2,$S12+$O12+9,$S12+$O12)</f>
        <v>42612001</v>
      </c>
      <c r="BG12" s="1" cm="1">
        <f t="array" ref="BG12">IF(INDEX($I$3:$L$22,MATCH($P12,$G$3:$G$22,0),$Q12)=BG$2,$S12+$O12+9,$S12+$O12)</f>
        <v>42612001</v>
      </c>
      <c r="BH12" s="1" cm="1">
        <f t="array" ref="BH12">IF(INDEX($I$3:$L$22,MATCH($P12,$G$3:$G$22,0),$Q12)=BH$2,$S12+$O12+9,$S12+$O12)</f>
        <v>42612001</v>
      </c>
      <c r="BI12" s="1" cm="1">
        <f t="array" ref="BI12">IF(INDEX($I$3:$L$22,MATCH($P12,$G$3:$G$22,0),$Q12)=BI$2,$S12+$O12+9,$S12+$O12)</f>
        <v>42612001</v>
      </c>
      <c r="BJ12" s="1" cm="1">
        <f t="array" ref="BJ12">IF(INDEX($I$3:$L$22,MATCH($P12,$G$3:$G$22,0),$Q12)=BJ$2,$S12+$O12+9,$S12+$O12)</f>
        <v>42612001</v>
      </c>
      <c r="BK12" s="1" cm="1">
        <f t="array" ref="BK12">IF(INDEX($I$3:$L$22,MATCH($P12,$G$3:$G$22,0),$Q12)=BK$2,$S12+$O12+9,$S12+$O12)</f>
        <v>42612001</v>
      </c>
      <c r="BL12" s="1" cm="1">
        <f t="array" ref="BL12">IF(INDEX($I$3:$L$22,MATCH($P12,$G$3:$G$22,0),$Q12)=BL$2,$S12+$O12+9,$S12+$O12)</f>
        <v>42612001</v>
      </c>
      <c r="BM12" s="1" cm="1">
        <f t="array" ref="BM12">IF(INDEX($I$3:$L$22,MATCH($P12,$G$3:$G$22,0),$Q12)=BM$2,$S12+$O12+9,$S12+$O12)</f>
        <v>42612001</v>
      </c>
      <c r="BN12" s="1" cm="1">
        <f t="array" ref="BN12">IF(INDEX($I$3:$L$22,MATCH($P12,$G$3:$G$22,0),$Q12)=BN$2,$S12+$O12+9,$S12+$O12)</f>
        <v>42612001</v>
      </c>
      <c r="BO12" s="1" cm="1">
        <f t="array" ref="BO12">IF(INDEX($I$3:$L$22,MATCH($P12,$G$3:$G$22,0),$Q12)=BO$2,$S12+$O12+9,$S12+$O12)</f>
        <v>42612001</v>
      </c>
      <c r="BP12" s="1" cm="1">
        <f t="array" ref="BP12">IF(INDEX($I$3:$L$22,MATCH($P12,$G$3:$G$22,0),$Q12)=BP$2,$S12+$O12+9,$S12+$O12)</f>
        <v>42612001</v>
      </c>
      <c r="BQ12" s="1" cm="1">
        <f t="array" ref="BQ12">IF(INDEX($I$3:$L$22,MATCH($P12,$G$3:$G$22,0),$Q12)=BQ$2,$S12+$O12+9,$S12+$O12)</f>
        <v>42612001</v>
      </c>
      <c r="BR12" s="1" cm="1">
        <f t="array" ref="BR12">IF(INDEX($I$3:$L$22,MATCH($P12,$G$3:$G$22,0),$Q12)=BR$2,$S12+$O12+9,$S12+$O12)</f>
        <v>42612001</v>
      </c>
      <c r="BS12" s="1" cm="1">
        <f t="array" ref="BS12">IF(INDEX($I$3:$L$22,MATCH($P12,$G$3:$G$22,0),$Q12)=BS$2,$S12+$O12+9,$S12+$O12)</f>
        <v>42612001</v>
      </c>
      <c r="BT12" s="1" cm="1">
        <f t="array" ref="BT12">IF(INDEX($I$3:$L$22,MATCH($P12,$G$3:$G$22,0),$Q12)=BT$2,$S12+$O12+9,$S12+$O12)</f>
        <v>42612010</v>
      </c>
    </row>
    <row r="13" spans="1:72" x14ac:dyDescent="0.15">
      <c r="A13" s="1">
        <v>0</v>
      </c>
      <c r="B13" s="1" cm="1">
        <f t="array" aca="1" ref="B13:E13" ca="1">_xlfn.RANDARRAY(1,4,1,50,TRUE)</f>
        <v>12</v>
      </c>
      <c r="C13" s="1">
        <f ca="1"/>
        <v>28</v>
      </c>
      <c r="D13" s="1">
        <f ca="1"/>
        <v>6</v>
      </c>
      <c r="E13" s="1">
        <f ca="1"/>
        <v>31</v>
      </c>
      <c r="G13" s="1">
        <f t="shared" si="4"/>
        <v>300</v>
      </c>
      <c r="H13" s="1">
        <v>1</v>
      </c>
      <c r="I13" s="1">
        <v>25</v>
      </c>
      <c r="J13" s="1">
        <v>35</v>
      </c>
      <c r="K13" s="1">
        <v>40</v>
      </c>
      <c r="L13" s="1">
        <v>48</v>
      </c>
      <c r="N13" s="1">
        <v>30001</v>
      </c>
      <c r="O13" s="1">
        <v>1</v>
      </c>
      <c r="P13" s="1">
        <f t="shared" si="3"/>
        <v>102</v>
      </c>
      <c r="Q13" s="1">
        <v>3</v>
      </c>
      <c r="R13" s="1" t="s">
        <v>16</v>
      </c>
      <c r="S13" s="1">
        <v>42713000</v>
      </c>
      <c r="T13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</v>
      </c>
      <c r="W13" s="1" cm="1">
        <f t="array" ref="W13">IF(INDEX($I$3:$L$22,MATCH($P13,$G$3:$G$22,0),$Q13)=W$2,$S13+$O13+9,$S13+$O13)</f>
        <v>42713001</v>
      </c>
      <c r="X13" s="1" cm="1">
        <f t="array" ref="X13">IF(INDEX($I$3:$L$22,MATCH($P13,$G$3:$G$22,0),$Q13)=X$2,$S13+$O13+9,$S13+$O13)</f>
        <v>42713001</v>
      </c>
      <c r="Y13" s="1" cm="1">
        <f t="array" ref="Y13">IF(INDEX($I$3:$L$22,MATCH($P13,$G$3:$G$22,0),$Q13)=Y$2,$S13+$O13+9,$S13+$O13)</f>
        <v>42713001</v>
      </c>
      <c r="Z13" s="1" cm="1">
        <f t="array" ref="Z13">IF(INDEX($I$3:$L$22,MATCH($P13,$G$3:$G$22,0),$Q13)=Z$2,$S13+$O13+9,$S13+$O13)</f>
        <v>42713001</v>
      </c>
      <c r="AA13" s="1" cm="1">
        <f t="array" ref="AA13">IF(INDEX($I$3:$L$22,MATCH($P13,$G$3:$G$22,0),$Q13)=AA$2,$S13+$O13+9,$S13+$O13)</f>
        <v>42713001</v>
      </c>
      <c r="AB13" s="1" cm="1">
        <f t="array" ref="AB13">IF(INDEX($I$3:$L$22,MATCH($P13,$G$3:$G$22,0),$Q13)=AB$2,$S13+$O13+9,$S13+$O13)</f>
        <v>42713001</v>
      </c>
      <c r="AC13" s="1" cm="1">
        <f t="array" ref="AC13">IF(INDEX($I$3:$L$22,MATCH($P13,$G$3:$G$22,0),$Q13)=AC$2,$S13+$O13+9,$S13+$O13)</f>
        <v>42713001</v>
      </c>
      <c r="AD13" s="1" cm="1">
        <f t="array" ref="AD13">IF(INDEX($I$3:$L$22,MATCH($P13,$G$3:$G$22,0),$Q13)=AD$2,$S13+$O13+9,$S13+$O13)</f>
        <v>42713001</v>
      </c>
      <c r="AE13" s="1" cm="1">
        <f t="array" ref="AE13">IF(INDEX($I$3:$L$22,MATCH($P13,$G$3:$G$22,0),$Q13)=AE$2,$S13+$O13+9,$S13+$O13)</f>
        <v>42713001</v>
      </c>
      <c r="AF13" s="1" cm="1">
        <f t="array" ref="AF13">IF(INDEX($I$3:$L$22,MATCH($P13,$G$3:$G$22,0),$Q13)=AF$2,$S13+$O13+9,$S13+$O13)</f>
        <v>42713001</v>
      </c>
      <c r="AG13" s="1" cm="1">
        <f t="array" ref="AG13">IF(INDEX($I$3:$L$22,MATCH($P13,$G$3:$G$22,0),$Q13)=AG$2,$S13+$O13+9,$S13+$O13)</f>
        <v>42713001</v>
      </c>
      <c r="AH13" s="1" cm="1">
        <f t="array" ref="AH13">IF(INDEX($I$3:$L$22,MATCH($P13,$G$3:$G$22,0),$Q13)=AH$2,$S13+$O13+9,$S13+$O13)</f>
        <v>42713001</v>
      </c>
      <c r="AI13" s="1" cm="1">
        <f t="array" ref="AI13">IF(INDEX($I$3:$L$22,MATCH($P13,$G$3:$G$22,0),$Q13)=AI$2,$S13+$O13+9,$S13+$O13)</f>
        <v>42713001</v>
      </c>
      <c r="AJ13" s="1" cm="1">
        <f t="array" ref="AJ13">IF(INDEX($I$3:$L$22,MATCH($P13,$G$3:$G$22,0),$Q13)=AJ$2,$S13+$O13+9,$S13+$O13)</f>
        <v>42713001</v>
      </c>
      <c r="AK13" s="1" cm="1">
        <f t="array" ref="AK13">IF(INDEX($I$3:$L$22,MATCH($P13,$G$3:$G$22,0),$Q13)=AK$2,$S13+$O13+9,$S13+$O13)</f>
        <v>42713001</v>
      </c>
      <c r="AL13" s="1" cm="1">
        <f t="array" ref="AL13">IF(INDEX($I$3:$L$22,MATCH($P13,$G$3:$G$22,0),$Q13)=AL$2,$S13+$O13+9,$S13+$O13)</f>
        <v>42713001</v>
      </c>
      <c r="AM13" s="1" cm="1">
        <f t="array" ref="AM13">IF(INDEX($I$3:$L$22,MATCH($P13,$G$3:$G$22,0),$Q13)=AM$2,$S13+$O13+9,$S13+$O13)</f>
        <v>42713001</v>
      </c>
      <c r="AN13" s="1" cm="1">
        <f t="array" ref="AN13">IF(INDEX($I$3:$L$22,MATCH($P13,$G$3:$G$22,0),$Q13)=AN$2,$S13+$O13+9,$S13+$O13)</f>
        <v>42713001</v>
      </c>
      <c r="AO13" s="1" cm="1">
        <f t="array" ref="AO13">IF(INDEX($I$3:$L$22,MATCH($P13,$G$3:$G$22,0),$Q13)=AO$2,$S13+$O13+9,$S13+$O13)</f>
        <v>42713001</v>
      </c>
      <c r="AP13" s="1" cm="1">
        <f t="array" ref="AP13">IF(INDEX($I$3:$L$22,MATCH($P13,$G$3:$G$22,0),$Q13)=AP$2,$S13+$O13+9,$S13+$O13)</f>
        <v>42713001</v>
      </c>
      <c r="AQ13" s="1" cm="1">
        <f t="array" ref="AQ13">IF(INDEX($I$3:$L$22,MATCH($P13,$G$3:$G$22,0),$Q13)=AQ$2,$S13+$O13+9,$S13+$O13)</f>
        <v>42713001</v>
      </c>
      <c r="AR13" s="1" cm="1">
        <f t="array" ref="AR13">IF(INDEX($I$3:$L$22,MATCH($P13,$G$3:$G$22,0),$Q13)=AR$2,$S13+$O13+9,$S13+$O13)</f>
        <v>42713001</v>
      </c>
      <c r="AS13" s="1" cm="1">
        <f t="array" ref="AS13">IF(INDEX($I$3:$L$22,MATCH($P13,$G$3:$G$22,0),$Q13)=AS$2,$S13+$O13+9,$S13+$O13)</f>
        <v>42713001</v>
      </c>
      <c r="AT13" s="1" cm="1">
        <f t="array" ref="AT13">IF(INDEX($I$3:$L$22,MATCH($P13,$G$3:$G$22,0),$Q13)=AT$2,$S13+$O13+9,$S13+$O13)</f>
        <v>42713001</v>
      </c>
      <c r="AU13" s="1" cm="1">
        <f t="array" ref="AU13">IF(INDEX($I$3:$L$22,MATCH($P13,$G$3:$G$22,0),$Q13)=AU$2,$S13+$O13+9,$S13+$O13)</f>
        <v>42713001</v>
      </c>
      <c r="AV13" s="1" cm="1">
        <f t="array" ref="AV13">IF(INDEX($I$3:$L$22,MATCH($P13,$G$3:$G$22,0),$Q13)=AV$2,$S13+$O13+9,$S13+$O13)</f>
        <v>42713001</v>
      </c>
      <c r="AW13" s="1" cm="1">
        <f t="array" ref="AW13">IF(INDEX($I$3:$L$22,MATCH($P13,$G$3:$G$22,0),$Q13)=AW$2,$S13+$O13+9,$S13+$O13)</f>
        <v>42713001</v>
      </c>
      <c r="AX13" s="1" cm="1">
        <f t="array" ref="AX13">IF(INDEX($I$3:$L$22,MATCH($P13,$G$3:$G$22,0),$Q13)=AX$2,$S13+$O13+9,$S13+$O13)</f>
        <v>42713001</v>
      </c>
      <c r="AY13" s="1" cm="1">
        <f t="array" ref="AY13">IF(INDEX($I$3:$L$22,MATCH($P13,$G$3:$G$22,0),$Q13)=AY$2,$S13+$O13+9,$S13+$O13)</f>
        <v>42713001</v>
      </c>
      <c r="AZ13" s="1" cm="1">
        <f t="array" ref="AZ13">IF(INDEX($I$3:$L$22,MATCH($P13,$G$3:$G$22,0),$Q13)=AZ$2,$S13+$O13+9,$S13+$O13)</f>
        <v>42713001</v>
      </c>
      <c r="BA13" s="1" cm="1">
        <f t="array" ref="BA13">IF(INDEX($I$3:$L$22,MATCH($P13,$G$3:$G$22,0),$Q13)=BA$2,$S13+$O13+9,$S13+$O13)</f>
        <v>42713001</v>
      </c>
      <c r="BB13" s="1" cm="1">
        <f t="array" ref="BB13">IF(INDEX($I$3:$L$22,MATCH($P13,$G$3:$G$22,0),$Q13)=BB$2,$S13+$O13+9,$S13+$O13)</f>
        <v>42713001</v>
      </c>
      <c r="BC13" s="1" cm="1">
        <f t="array" ref="BC13">IF(INDEX($I$3:$L$22,MATCH($P13,$G$3:$G$22,0),$Q13)=BC$2,$S13+$O13+9,$S13+$O13)</f>
        <v>42713001</v>
      </c>
      <c r="BD13" s="1" cm="1">
        <f t="array" ref="BD13">IF(INDEX($I$3:$L$22,MATCH($P13,$G$3:$G$22,0),$Q13)=BD$2,$S13+$O13+9,$S13+$O13)</f>
        <v>42713001</v>
      </c>
      <c r="BE13" s="1" cm="1">
        <f t="array" ref="BE13">IF(INDEX($I$3:$L$22,MATCH($P13,$G$3:$G$22,0),$Q13)=BE$2,$S13+$O13+9,$S13+$O13)</f>
        <v>42713001</v>
      </c>
      <c r="BF13" s="1" cm="1">
        <f t="array" ref="BF13">IF(INDEX($I$3:$L$22,MATCH($P13,$G$3:$G$22,0),$Q13)=BF$2,$S13+$O13+9,$S13+$O13)</f>
        <v>42713001</v>
      </c>
      <c r="BG13" s="1" cm="1">
        <f t="array" ref="BG13">IF(INDEX($I$3:$L$22,MATCH($P13,$G$3:$G$22,0),$Q13)=BG$2,$S13+$O13+9,$S13+$O13)</f>
        <v>42713001</v>
      </c>
      <c r="BH13" s="1" cm="1">
        <f t="array" ref="BH13">IF(INDEX($I$3:$L$22,MATCH($P13,$G$3:$G$22,0),$Q13)=BH$2,$S13+$O13+9,$S13+$O13)</f>
        <v>42713001</v>
      </c>
      <c r="BI13" s="1" cm="1">
        <f t="array" ref="BI13">IF(INDEX($I$3:$L$22,MATCH($P13,$G$3:$G$22,0),$Q13)=BI$2,$S13+$O13+9,$S13+$O13)</f>
        <v>42713001</v>
      </c>
      <c r="BJ13" s="1" cm="1">
        <f t="array" ref="BJ13">IF(INDEX($I$3:$L$22,MATCH($P13,$G$3:$G$22,0),$Q13)=BJ$2,$S13+$O13+9,$S13+$O13)</f>
        <v>42713001</v>
      </c>
      <c r="BK13" s="1" cm="1">
        <f t="array" ref="BK13">IF(INDEX($I$3:$L$22,MATCH($P13,$G$3:$G$22,0),$Q13)=BK$2,$S13+$O13+9,$S13+$O13)</f>
        <v>42713001</v>
      </c>
      <c r="BL13" s="1" cm="1">
        <f t="array" ref="BL13">IF(INDEX($I$3:$L$22,MATCH($P13,$G$3:$G$22,0),$Q13)=BL$2,$S13+$O13+9,$S13+$O13)</f>
        <v>42713001</v>
      </c>
      <c r="BM13" s="1" cm="1">
        <f t="array" ref="BM13">IF(INDEX($I$3:$L$22,MATCH($P13,$G$3:$G$22,0),$Q13)=BM$2,$S13+$O13+9,$S13+$O13)</f>
        <v>42713001</v>
      </c>
      <c r="BN13" s="1" cm="1">
        <f t="array" ref="BN13">IF(INDEX($I$3:$L$22,MATCH($P13,$G$3:$G$22,0),$Q13)=BN$2,$S13+$O13+9,$S13+$O13)</f>
        <v>42713001</v>
      </c>
      <c r="BO13" s="1" cm="1">
        <f t="array" ref="BO13">IF(INDEX($I$3:$L$22,MATCH($P13,$G$3:$G$22,0),$Q13)=BO$2,$S13+$O13+9,$S13+$O13)</f>
        <v>42713001</v>
      </c>
      <c r="BP13" s="1" cm="1">
        <f t="array" ref="BP13">IF(INDEX($I$3:$L$22,MATCH($P13,$G$3:$G$22,0),$Q13)=BP$2,$S13+$O13+9,$S13+$O13)</f>
        <v>42713001</v>
      </c>
      <c r="BQ13" s="1" cm="1">
        <f t="array" ref="BQ13">IF(INDEX($I$3:$L$22,MATCH($P13,$G$3:$G$22,0),$Q13)=BQ$2,$S13+$O13+9,$S13+$O13)</f>
        <v>42713001</v>
      </c>
      <c r="BR13" s="1" cm="1">
        <f t="array" ref="BR13">IF(INDEX($I$3:$L$22,MATCH($P13,$G$3:$G$22,0),$Q13)=BR$2,$S13+$O13+9,$S13+$O13)</f>
        <v>42713010</v>
      </c>
      <c r="BS13" s="1" cm="1">
        <f t="array" ref="BS13">IF(INDEX($I$3:$L$22,MATCH($P13,$G$3:$G$22,0),$Q13)=BS$2,$S13+$O13+9,$S13+$O13)</f>
        <v>42713001</v>
      </c>
      <c r="BT13" s="1" cm="1">
        <f t="array" ref="BT13">IF(INDEX($I$3:$L$22,MATCH($P13,$G$3:$G$22,0),$Q13)=BT$2,$S13+$O13+9,$S13+$O13)</f>
        <v>42713001</v>
      </c>
    </row>
    <row r="14" spans="1:72" x14ac:dyDescent="0.15">
      <c r="A14" s="1">
        <v>0</v>
      </c>
      <c r="B14" s="1" cm="1">
        <f t="array" aca="1" ref="B14:E14" ca="1">_xlfn.RANDARRAY(1,4,1,50,TRUE)</f>
        <v>23</v>
      </c>
      <c r="C14" s="1">
        <f ca="1"/>
        <v>8</v>
      </c>
      <c r="D14" s="1">
        <f ca="1"/>
        <v>22</v>
      </c>
      <c r="E14" s="1">
        <f ca="1"/>
        <v>9</v>
      </c>
      <c r="G14" s="1">
        <f t="shared" si="4"/>
        <v>301</v>
      </c>
      <c r="H14" s="1">
        <v>1</v>
      </c>
      <c r="I14" s="1">
        <v>21</v>
      </c>
      <c r="J14" s="1">
        <v>31</v>
      </c>
      <c r="K14" s="1">
        <v>48</v>
      </c>
      <c r="L14" s="1">
        <v>16</v>
      </c>
      <c r="N14" s="1">
        <v>30001</v>
      </c>
      <c r="O14" s="1">
        <v>1</v>
      </c>
      <c r="P14" s="1">
        <f t="shared" si="3"/>
        <v>102</v>
      </c>
      <c r="Q14" s="1">
        <v>4</v>
      </c>
      <c r="R14" s="1" t="s">
        <v>15</v>
      </c>
      <c r="S14" s="1">
        <v>42716000</v>
      </c>
      <c r="T14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,42716001,42716001,42716001</v>
      </c>
      <c r="W14" s="1" cm="1">
        <f t="array" ref="W14">IF(INDEX($I$3:$L$22,MATCH($P14,$G$3:$G$22,0),$Q14)=W$2,$S14+$O14+9,$S14+$O14)</f>
        <v>42716001</v>
      </c>
      <c r="X14" s="1" cm="1">
        <f t="array" ref="X14">IF(INDEX($I$3:$L$22,MATCH($P14,$G$3:$G$22,0),$Q14)=X$2,$S14+$O14+9,$S14+$O14)</f>
        <v>42716001</v>
      </c>
      <c r="Y14" s="1" cm="1">
        <f t="array" ref="Y14">IF(INDEX($I$3:$L$22,MATCH($P14,$G$3:$G$22,0),$Q14)=Y$2,$S14+$O14+9,$S14+$O14)</f>
        <v>42716001</v>
      </c>
      <c r="Z14" s="1" cm="1">
        <f t="array" ref="Z14">IF(INDEX($I$3:$L$22,MATCH($P14,$G$3:$G$22,0),$Q14)=Z$2,$S14+$O14+9,$S14+$O14)</f>
        <v>42716001</v>
      </c>
      <c r="AA14" s="1" cm="1">
        <f t="array" ref="AA14">IF(INDEX($I$3:$L$22,MATCH($P14,$G$3:$G$22,0),$Q14)=AA$2,$S14+$O14+9,$S14+$O14)</f>
        <v>42716001</v>
      </c>
      <c r="AB14" s="1" cm="1">
        <f t="array" ref="AB14">IF(INDEX($I$3:$L$22,MATCH($P14,$G$3:$G$22,0),$Q14)=AB$2,$S14+$O14+9,$S14+$O14)</f>
        <v>42716001</v>
      </c>
      <c r="AC14" s="1" cm="1">
        <f t="array" ref="AC14">IF(INDEX($I$3:$L$22,MATCH($P14,$G$3:$G$22,0),$Q14)=AC$2,$S14+$O14+9,$S14+$O14)</f>
        <v>42716001</v>
      </c>
      <c r="AD14" s="1" cm="1">
        <f t="array" ref="AD14">IF(INDEX($I$3:$L$22,MATCH($P14,$G$3:$G$22,0),$Q14)=AD$2,$S14+$O14+9,$S14+$O14)</f>
        <v>42716001</v>
      </c>
      <c r="AE14" s="1" cm="1">
        <f t="array" ref="AE14">IF(INDEX($I$3:$L$22,MATCH($P14,$G$3:$G$22,0),$Q14)=AE$2,$S14+$O14+9,$S14+$O14)</f>
        <v>42716001</v>
      </c>
      <c r="AF14" s="1" cm="1">
        <f t="array" ref="AF14">IF(INDEX($I$3:$L$22,MATCH($P14,$G$3:$G$22,0),$Q14)=AF$2,$S14+$O14+9,$S14+$O14)</f>
        <v>42716001</v>
      </c>
      <c r="AG14" s="1" cm="1">
        <f t="array" ref="AG14">IF(INDEX($I$3:$L$22,MATCH($P14,$G$3:$G$22,0),$Q14)=AG$2,$S14+$O14+9,$S14+$O14)</f>
        <v>42716001</v>
      </c>
      <c r="AH14" s="1" cm="1">
        <f t="array" ref="AH14">IF(INDEX($I$3:$L$22,MATCH($P14,$G$3:$G$22,0),$Q14)=AH$2,$S14+$O14+9,$S14+$O14)</f>
        <v>42716001</v>
      </c>
      <c r="AI14" s="1" cm="1">
        <f t="array" ref="AI14">IF(INDEX($I$3:$L$22,MATCH($P14,$G$3:$G$22,0),$Q14)=AI$2,$S14+$O14+9,$S14+$O14)</f>
        <v>42716001</v>
      </c>
      <c r="AJ14" s="1" cm="1">
        <f t="array" ref="AJ14">IF(INDEX($I$3:$L$22,MATCH($P14,$G$3:$G$22,0),$Q14)=AJ$2,$S14+$O14+9,$S14+$O14)</f>
        <v>42716001</v>
      </c>
      <c r="AK14" s="1" cm="1">
        <f t="array" ref="AK14">IF(INDEX($I$3:$L$22,MATCH($P14,$G$3:$G$22,0),$Q14)=AK$2,$S14+$O14+9,$S14+$O14)</f>
        <v>42716001</v>
      </c>
      <c r="AL14" s="1" cm="1">
        <f t="array" ref="AL14">IF(INDEX($I$3:$L$22,MATCH($P14,$G$3:$G$22,0),$Q14)=AL$2,$S14+$O14+9,$S14+$O14)</f>
        <v>42716001</v>
      </c>
      <c r="AM14" s="1" cm="1">
        <f t="array" ref="AM14">IF(INDEX($I$3:$L$22,MATCH($P14,$G$3:$G$22,0),$Q14)=AM$2,$S14+$O14+9,$S14+$O14)</f>
        <v>42716001</v>
      </c>
      <c r="AN14" s="1" cm="1">
        <f t="array" ref="AN14">IF(INDEX($I$3:$L$22,MATCH($P14,$G$3:$G$22,0),$Q14)=AN$2,$S14+$O14+9,$S14+$O14)</f>
        <v>42716001</v>
      </c>
      <c r="AO14" s="1" cm="1">
        <f t="array" ref="AO14">IF(INDEX($I$3:$L$22,MATCH($P14,$G$3:$G$22,0),$Q14)=AO$2,$S14+$O14+9,$S14+$O14)</f>
        <v>42716001</v>
      </c>
      <c r="AP14" s="1" cm="1">
        <f t="array" ref="AP14">IF(INDEX($I$3:$L$22,MATCH($P14,$G$3:$G$22,0),$Q14)=AP$2,$S14+$O14+9,$S14+$O14)</f>
        <v>42716001</v>
      </c>
      <c r="AQ14" s="1" cm="1">
        <f t="array" ref="AQ14">IF(INDEX($I$3:$L$22,MATCH($P14,$G$3:$G$22,0),$Q14)=AQ$2,$S14+$O14+9,$S14+$O14)</f>
        <v>42716001</v>
      </c>
      <c r="AR14" s="1" cm="1">
        <f t="array" ref="AR14">IF(INDEX($I$3:$L$22,MATCH($P14,$G$3:$G$22,0),$Q14)=AR$2,$S14+$O14+9,$S14+$O14)</f>
        <v>42716001</v>
      </c>
      <c r="AS14" s="1" cm="1">
        <f t="array" ref="AS14">IF(INDEX($I$3:$L$22,MATCH($P14,$G$3:$G$22,0),$Q14)=AS$2,$S14+$O14+9,$S14+$O14)</f>
        <v>42716001</v>
      </c>
      <c r="AT14" s="1" cm="1">
        <f t="array" ref="AT14">IF(INDEX($I$3:$L$22,MATCH($P14,$G$3:$G$22,0),$Q14)=AT$2,$S14+$O14+9,$S14+$O14)</f>
        <v>42716001</v>
      </c>
      <c r="AU14" s="1" cm="1">
        <f t="array" ref="AU14">IF(INDEX($I$3:$L$22,MATCH($P14,$G$3:$G$22,0),$Q14)=AU$2,$S14+$O14+9,$S14+$O14)</f>
        <v>42716001</v>
      </c>
      <c r="AV14" s="1" cm="1">
        <f t="array" ref="AV14">IF(INDEX($I$3:$L$22,MATCH($P14,$G$3:$G$22,0),$Q14)=AV$2,$S14+$O14+9,$S14+$O14)</f>
        <v>42716001</v>
      </c>
      <c r="AW14" s="1" cm="1">
        <f t="array" ref="AW14">IF(INDEX($I$3:$L$22,MATCH($P14,$G$3:$G$22,0),$Q14)=AW$2,$S14+$O14+9,$S14+$O14)</f>
        <v>42716001</v>
      </c>
      <c r="AX14" s="1" cm="1">
        <f t="array" ref="AX14">IF(INDEX($I$3:$L$22,MATCH($P14,$G$3:$G$22,0),$Q14)=AX$2,$S14+$O14+9,$S14+$O14)</f>
        <v>42716001</v>
      </c>
      <c r="AY14" s="1" cm="1">
        <f t="array" ref="AY14">IF(INDEX($I$3:$L$22,MATCH($P14,$G$3:$G$22,0),$Q14)=AY$2,$S14+$O14+9,$S14+$O14)</f>
        <v>42716001</v>
      </c>
      <c r="AZ14" s="1" cm="1">
        <f t="array" ref="AZ14">IF(INDEX($I$3:$L$22,MATCH($P14,$G$3:$G$22,0),$Q14)=AZ$2,$S14+$O14+9,$S14+$O14)</f>
        <v>42716010</v>
      </c>
      <c r="BA14" s="1" cm="1">
        <f t="array" ref="BA14">IF(INDEX($I$3:$L$22,MATCH($P14,$G$3:$G$22,0),$Q14)=BA$2,$S14+$O14+9,$S14+$O14)</f>
        <v>42716001</v>
      </c>
      <c r="BB14" s="1" cm="1">
        <f t="array" ref="BB14">IF(INDEX($I$3:$L$22,MATCH($P14,$G$3:$G$22,0),$Q14)=BB$2,$S14+$O14+9,$S14+$O14)</f>
        <v>42716001</v>
      </c>
      <c r="BC14" s="1" cm="1">
        <f t="array" ref="BC14">IF(INDEX($I$3:$L$22,MATCH($P14,$G$3:$G$22,0),$Q14)=BC$2,$S14+$O14+9,$S14+$O14)</f>
        <v>42716001</v>
      </c>
      <c r="BD14" s="1" cm="1">
        <f t="array" ref="BD14">IF(INDEX($I$3:$L$22,MATCH($P14,$G$3:$G$22,0),$Q14)=BD$2,$S14+$O14+9,$S14+$O14)</f>
        <v>42716001</v>
      </c>
      <c r="BE14" s="1" cm="1">
        <f t="array" ref="BE14">IF(INDEX($I$3:$L$22,MATCH($P14,$G$3:$G$22,0),$Q14)=BE$2,$S14+$O14+9,$S14+$O14)</f>
        <v>42716001</v>
      </c>
      <c r="BF14" s="1" cm="1">
        <f t="array" ref="BF14">IF(INDEX($I$3:$L$22,MATCH($P14,$G$3:$G$22,0),$Q14)=BF$2,$S14+$O14+9,$S14+$O14)</f>
        <v>42716001</v>
      </c>
      <c r="BG14" s="1" cm="1">
        <f t="array" ref="BG14">IF(INDEX($I$3:$L$22,MATCH($P14,$G$3:$G$22,0),$Q14)=BG$2,$S14+$O14+9,$S14+$O14)</f>
        <v>42716001</v>
      </c>
      <c r="BH14" s="1" cm="1">
        <f t="array" ref="BH14">IF(INDEX($I$3:$L$22,MATCH($P14,$G$3:$G$22,0),$Q14)=BH$2,$S14+$O14+9,$S14+$O14)</f>
        <v>42716001</v>
      </c>
      <c r="BI14" s="1" cm="1">
        <f t="array" ref="BI14">IF(INDEX($I$3:$L$22,MATCH($P14,$G$3:$G$22,0),$Q14)=BI$2,$S14+$O14+9,$S14+$O14)</f>
        <v>42716001</v>
      </c>
      <c r="BJ14" s="1" cm="1">
        <f t="array" ref="BJ14">IF(INDEX($I$3:$L$22,MATCH($P14,$G$3:$G$22,0),$Q14)=BJ$2,$S14+$O14+9,$S14+$O14)</f>
        <v>42716001</v>
      </c>
      <c r="BK14" s="1" cm="1">
        <f t="array" ref="BK14">IF(INDEX($I$3:$L$22,MATCH($P14,$G$3:$G$22,0),$Q14)=BK$2,$S14+$O14+9,$S14+$O14)</f>
        <v>42716001</v>
      </c>
      <c r="BL14" s="1" cm="1">
        <f t="array" ref="BL14">IF(INDEX($I$3:$L$22,MATCH($P14,$G$3:$G$22,0),$Q14)=BL$2,$S14+$O14+9,$S14+$O14)</f>
        <v>42716001</v>
      </c>
      <c r="BM14" s="1" cm="1">
        <f t="array" ref="BM14">IF(INDEX($I$3:$L$22,MATCH($P14,$G$3:$G$22,0),$Q14)=BM$2,$S14+$O14+9,$S14+$O14)</f>
        <v>42716001</v>
      </c>
      <c r="BN14" s="1" cm="1">
        <f t="array" ref="BN14">IF(INDEX($I$3:$L$22,MATCH($P14,$G$3:$G$22,0),$Q14)=BN$2,$S14+$O14+9,$S14+$O14)</f>
        <v>42716001</v>
      </c>
      <c r="BO14" s="1" cm="1">
        <f t="array" ref="BO14">IF(INDEX($I$3:$L$22,MATCH($P14,$G$3:$G$22,0),$Q14)=BO$2,$S14+$O14+9,$S14+$O14)</f>
        <v>42716001</v>
      </c>
      <c r="BP14" s="1" cm="1">
        <f t="array" ref="BP14">IF(INDEX($I$3:$L$22,MATCH($P14,$G$3:$G$22,0),$Q14)=BP$2,$S14+$O14+9,$S14+$O14)</f>
        <v>42716001</v>
      </c>
      <c r="BQ14" s="1" cm="1">
        <f t="array" ref="BQ14">IF(INDEX($I$3:$L$22,MATCH($P14,$G$3:$G$22,0),$Q14)=BQ$2,$S14+$O14+9,$S14+$O14)</f>
        <v>42716001</v>
      </c>
      <c r="BR14" s="1" cm="1">
        <f t="array" ref="BR14">IF(INDEX($I$3:$L$22,MATCH($P14,$G$3:$G$22,0),$Q14)=BR$2,$S14+$O14+9,$S14+$O14)</f>
        <v>42716001</v>
      </c>
      <c r="BS14" s="1" cm="1">
        <f t="array" ref="BS14">IF(INDEX($I$3:$L$22,MATCH($P14,$G$3:$G$22,0),$Q14)=BS$2,$S14+$O14+9,$S14+$O14)</f>
        <v>42716001</v>
      </c>
      <c r="BT14" s="1" cm="1">
        <f t="array" ref="BT14">IF(INDEX($I$3:$L$22,MATCH($P14,$G$3:$G$22,0),$Q14)=BT$2,$S14+$O14+9,$S14+$O14)</f>
        <v>42716001</v>
      </c>
    </row>
    <row r="15" spans="1:72" x14ac:dyDescent="0.15">
      <c r="A15" s="1">
        <v>0</v>
      </c>
      <c r="B15" s="1" cm="1">
        <f t="array" aca="1" ref="B15:E15" ca="1">_xlfn.RANDARRAY(1,4,1,50,TRUE)</f>
        <v>45</v>
      </c>
      <c r="C15" s="1">
        <f ca="1"/>
        <v>11</v>
      </c>
      <c r="D15" s="1">
        <f ca="1"/>
        <v>2</v>
      </c>
      <c r="E15" s="1">
        <f ca="1"/>
        <v>35</v>
      </c>
      <c r="G15" s="1">
        <f t="shared" si="4"/>
        <v>302</v>
      </c>
      <c r="H15" s="1">
        <v>1</v>
      </c>
      <c r="I15" s="1">
        <v>37</v>
      </c>
      <c r="J15" s="1">
        <v>15</v>
      </c>
      <c r="K15" s="1">
        <v>48</v>
      </c>
      <c r="L15" s="1">
        <v>29</v>
      </c>
      <c r="N15" s="1">
        <v>30001</v>
      </c>
      <c r="O15" s="1">
        <v>1</v>
      </c>
      <c r="P15" s="1">
        <f t="shared" si="3"/>
        <v>103</v>
      </c>
      <c r="Q15" s="1">
        <v>1</v>
      </c>
      <c r="R15" s="1" t="s">
        <v>18</v>
      </c>
      <c r="S15" s="1">
        <v>42711000</v>
      </c>
      <c r="T15" s="1" t="str">
        <f t="shared" si="2"/>
        <v>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42711010,42711001,42711001,42711001,42711001,42711001,42711001,42711001</v>
      </c>
      <c r="W15" s="1" cm="1">
        <f t="array" ref="W15">IF(INDEX($I$3:$L$22,MATCH($P15,$G$3:$G$22,0),$Q15)=W$2,$S15+$O15+9,$S15+$O15)</f>
        <v>42711001</v>
      </c>
      <c r="X15" s="1" cm="1">
        <f t="array" ref="X15">IF(INDEX($I$3:$L$22,MATCH($P15,$G$3:$G$22,0),$Q15)=X$2,$S15+$O15+9,$S15+$O15)</f>
        <v>42711001</v>
      </c>
      <c r="Y15" s="1" cm="1">
        <f t="array" ref="Y15">IF(INDEX($I$3:$L$22,MATCH($P15,$G$3:$G$22,0),$Q15)=Y$2,$S15+$O15+9,$S15+$O15)</f>
        <v>42711001</v>
      </c>
      <c r="Z15" s="1" cm="1">
        <f t="array" ref="Z15">IF(INDEX($I$3:$L$22,MATCH($P15,$G$3:$G$22,0),$Q15)=Z$2,$S15+$O15+9,$S15+$O15)</f>
        <v>42711001</v>
      </c>
      <c r="AA15" s="1" cm="1">
        <f t="array" ref="AA15">IF(INDEX($I$3:$L$22,MATCH($P15,$G$3:$G$22,0),$Q15)=AA$2,$S15+$O15+9,$S15+$O15)</f>
        <v>42711001</v>
      </c>
      <c r="AB15" s="1" cm="1">
        <f t="array" ref="AB15">IF(INDEX($I$3:$L$22,MATCH($P15,$G$3:$G$22,0),$Q15)=AB$2,$S15+$O15+9,$S15+$O15)</f>
        <v>42711001</v>
      </c>
      <c r="AC15" s="1" cm="1">
        <f t="array" ref="AC15">IF(INDEX($I$3:$L$22,MATCH($P15,$G$3:$G$22,0),$Q15)=AC$2,$S15+$O15+9,$S15+$O15)</f>
        <v>42711001</v>
      </c>
      <c r="AD15" s="1" cm="1">
        <f t="array" ref="AD15">IF(INDEX($I$3:$L$22,MATCH($P15,$G$3:$G$22,0),$Q15)=AD$2,$S15+$O15+9,$S15+$O15)</f>
        <v>42711001</v>
      </c>
      <c r="AE15" s="1" cm="1">
        <f t="array" ref="AE15">IF(INDEX($I$3:$L$22,MATCH($P15,$G$3:$G$22,0),$Q15)=AE$2,$S15+$O15+9,$S15+$O15)</f>
        <v>42711001</v>
      </c>
      <c r="AF15" s="1" cm="1">
        <f t="array" ref="AF15">IF(INDEX($I$3:$L$22,MATCH($P15,$G$3:$G$22,0),$Q15)=AF$2,$S15+$O15+9,$S15+$O15)</f>
        <v>42711001</v>
      </c>
      <c r="AG15" s="1" cm="1">
        <f t="array" ref="AG15">IF(INDEX($I$3:$L$22,MATCH($P15,$G$3:$G$22,0),$Q15)=AG$2,$S15+$O15+9,$S15+$O15)</f>
        <v>42711001</v>
      </c>
      <c r="AH15" s="1" cm="1">
        <f t="array" ref="AH15">IF(INDEX($I$3:$L$22,MATCH($P15,$G$3:$G$22,0),$Q15)=AH$2,$S15+$O15+9,$S15+$O15)</f>
        <v>42711001</v>
      </c>
      <c r="AI15" s="1" cm="1">
        <f t="array" ref="AI15">IF(INDEX($I$3:$L$22,MATCH($P15,$G$3:$G$22,0),$Q15)=AI$2,$S15+$O15+9,$S15+$O15)</f>
        <v>42711001</v>
      </c>
      <c r="AJ15" s="1" cm="1">
        <f t="array" ref="AJ15">IF(INDEX($I$3:$L$22,MATCH($P15,$G$3:$G$22,0),$Q15)=AJ$2,$S15+$O15+9,$S15+$O15)</f>
        <v>42711001</v>
      </c>
      <c r="AK15" s="1" cm="1">
        <f t="array" ref="AK15">IF(INDEX($I$3:$L$22,MATCH($P15,$G$3:$G$22,0),$Q15)=AK$2,$S15+$O15+9,$S15+$O15)</f>
        <v>42711001</v>
      </c>
      <c r="AL15" s="1" cm="1">
        <f t="array" ref="AL15">IF(INDEX($I$3:$L$22,MATCH($P15,$G$3:$G$22,0),$Q15)=AL$2,$S15+$O15+9,$S15+$O15)</f>
        <v>42711001</v>
      </c>
      <c r="AM15" s="1" cm="1">
        <f t="array" ref="AM15">IF(INDEX($I$3:$L$22,MATCH($P15,$G$3:$G$22,0),$Q15)=AM$2,$S15+$O15+9,$S15+$O15)</f>
        <v>42711001</v>
      </c>
      <c r="AN15" s="1" cm="1">
        <f t="array" ref="AN15">IF(INDEX($I$3:$L$22,MATCH($P15,$G$3:$G$22,0),$Q15)=AN$2,$S15+$O15+9,$S15+$O15)</f>
        <v>42711001</v>
      </c>
      <c r="AO15" s="1" cm="1">
        <f t="array" ref="AO15">IF(INDEX($I$3:$L$22,MATCH($P15,$G$3:$G$22,0),$Q15)=AO$2,$S15+$O15+9,$S15+$O15)</f>
        <v>42711001</v>
      </c>
      <c r="AP15" s="1" cm="1">
        <f t="array" ref="AP15">IF(INDEX($I$3:$L$22,MATCH($P15,$G$3:$G$22,0),$Q15)=AP$2,$S15+$O15+9,$S15+$O15)</f>
        <v>42711001</v>
      </c>
      <c r="AQ15" s="1" cm="1">
        <f t="array" ref="AQ15">IF(INDEX($I$3:$L$22,MATCH($P15,$G$3:$G$22,0),$Q15)=AQ$2,$S15+$O15+9,$S15+$O15)</f>
        <v>42711001</v>
      </c>
      <c r="AR15" s="1" cm="1">
        <f t="array" ref="AR15">IF(INDEX($I$3:$L$22,MATCH($P15,$G$3:$G$22,0),$Q15)=AR$2,$S15+$O15+9,$S15+$O15)</f>
        <v>42711001</v>
      </c>
      <c r="AS15" s="1" cm="1">
        <f t="array" ref="AS15">IF(INDEX($I$3:$L$22,MATCH($P15,$G$3:$G$22,0),$Q15)=AS$2,$S15+$O15+9,$S15+$O15)</f>
        <v>42711001</v>
      </c>
      <c r="AT15" s="1" cm="1">
        <f t="array" ref="AT15">IF(INDEX($I$3:$L$22,MATCH($P15,$G$3:$G$22,0),$Q15)=AT$2,$S15+$O15+9,$S15+$O15)</f>
        <v>42711001</v>
      </c>
      <c r="AU15" s="1" cm="1">
        <f t="array" ref="AU15">IF(INDEX($I$3:$L$22,MATCH($P15,$G$3:$G$22,0),$Q15)=AU$2,$S15+$O15+9,$S15+$O15)</f>
        <v>42711001</v>
      </c>
      <c r="AV15" s="1" cm="1">
        <f t="array" ref="AV15">IF(INDEX($I$3:$L$22,MATCH($P15,$G$3:$G$22,0),$Q15)=AV$2,$S15+$O15+9,$S15+$O15)</f>
        <v>42711001</v>
      </c>
      <c r="AW15" s="1" cm="1">
        <f t="array" ref="AW15">IF(INDEX($I$3:$L$22,MATCH($P15,$G$3:$G$22,0),$Q15)=AW$2,$S15+$O15+9,$S15+$O15)</f>
        <v>42711001</v>
      </c>
      <c r="AX15" s="1" cm="1">
        <f t="array" ref="AX15">IF(INDEX($I$3:$L$22,MATCH($P15,$G$3:$G$22,0),$Q15)=AX$2,$S15+$O15+9,$S15+$O15)</f>
        <v>42711001</v>
      </c>
      <c r="AY15" s="1" cm="1">
        <f t="array" ref="AY15">IF(INDEX($I$3:$L$22,MATCH($P15,$G$3:$G$22,0),$Q15)=AY$2,$S15+$O15+9,$S15+$O15)</f>
        <v>42711001</v>
      </c>
      <c r="AZ15" s="1" cm="1">
        <f t="array" ref="AZ15">IF(INDEX($I$3:$L$22,MATCH($P15,$G$3:$G$22,0),$Q15)=AZ$2,$S15+$O15+9,$S15+$O15)</f>
        <v>42711001</v>
      </c>
      <c r="BA15" s="1" cm="1">
        <f t="array" ref="BA15">IF(INDEX($I$3:$L$22,MATCH($P15,$G$3:$G$22,0),$Q15)=BA$2,$S15+$O15+9,$S15+$O15)</f>
        <v>42711001</v>
      </c>
      <c r="BB15" s="1" cm="1">
        <f t="array" ref="BB15">IF(INDEX($I$3:$L$22,MATCH($P15,$G$3:$G$22,0),$Q15)=BB$2,$S15+$O15+9,$S15+$O15)</f>
        <v>42711001</v>
      </c>
      <c r="BC15" s="1" cm="1">
        <f t="array" ref="BC15">IF(INDEX($I$3:$L$22,MATCH($P15,$G$3:$G$22,0),$Q15)=BC$2,$S15+$O15+9,$S15+$O15)</f>
        <v>42711001</v>
      </c>
      <c r="BD15" s="1" cm="1">
        <f t="array" ref="BD15">IF(INDEX($I$3:$L$22,MATCH($P15,$G$3:$G$22,0),$Q15)=BD$2,$S15+$O15+9,$S15+$O15)</f>
        <v>42711001</v>
      </c>
      <c r="BE15" s="1" cm="1">
        <f t="array" ref="BE15">IF(INDEX($I$3:$L$22,MATCH($P15,$G$3:$G$22,0),$Q15)=BE$2,$S15+$O15+9,$S15+$O15)</f>
        <v>42711001</v>
      </c>
      <c r="BF15" s="1" cm="1">
        <f t="array" ref="BF15">IF(INDEX($I$3:$L$22,MATCH($P15,$G$3:$G$22,0),$Q15)=BF$2,$S15+$O15+9,$S15+$O15)</f>
        <v>42711001</v>
      </c>
      <c r="BG15" s="1" cm="1">
        <f t="array" ref="BG15">IF(INDEX($I$3:$L$22,MATCH($P15,$G$3:$G$22,0),$Q15)=BG$2,$S15+$O15+9,$S15+$O15)</f>
        <v>42711001</v>
      </c>
      <c r="BH15" s="1" cm="1">
        <f t="array" ref="BH15">IF(INDEX($I$3:$L$22,MATCH($P15,$G$3:$G$22,0),$Q15)=BH$2,$S15+$O15+9,$S15+$O15)</f>
        <v>42711001</v>
      </c>
      <c r="BI15" s="1" cm="1">
        <f t="array" ref="BI15">IF(INDEX($I$3:$L$22,MATCH($P15,$G$3:$G$22,0),$Q15)=BI$2,$S15+$O15+9,$S15+$O15)</f>
        <v>42711001</v>
      </c>
      <c r="BJ15" s="1" cm="1">
        <f t="array" ref="BJ15">IF(INDEX($I$3:$L$22,MATCH($P15,$G$3:$G$22,0),$Q15)=BJ$2,$S15+$O15+9,$S15+$O15)</f>
        <v>42711001</v>
      </c>
      <c r="BK15" s="1" cm="1">
        <f t="array" ref="BK15">IF(INDEX($I$3:$L$22,MATCH($P15,$G$3:$G$22,0),$Q15)=BK$2,$S15+$O15+9,$S15+$O15)</f>
        <v>42711001</v>
      </c>
      <c r="BL15" s="1" cm="1">
        <f t="array" ref="BL15">IF(INDEX($I$3:$L$22,MATCH($P15,$G$3:$G$22,0),$Q15)=BL$2,$S15+$O15+9,$S15+$O15)</f>
        <v>42711001</v>
      </c>
      <c r="BM15" s="1" cm="1">
        <f t="array" ref="BM15">IF(INDEX($I$3:$L$22,MATCH($P15,$G$3:$G$22,0),$Q15)=BM$2,$S15+$O15+9,$S15+$O15)</f>
        <v>42711010</v>
      </c>
      <c r="BN15" s="1" cm="1">
        <f t="array" ref="BN15">IF(INDEX($I$3:$L$22,MATCH($P15,$G$3:$G$22,0),$Q15)=BN$2,$S15+$O15+9,$S15+$O15)</f>
        <v>42711001</v>
      </c>
      <c r="BO15" s="1" cm="1">
        <f t="array" ref="BO15">IF(INDEX($I$3:$L$22,MATCH($P15,$G$3:$G$22,0),$Q15)=BO$2,$S15+$O15+9,$S15+$O15)</f>
        <v>42711001</v>
      </c>
      <c r="BP15" s="1" cm="1">
        <f t="array" ref="BP15">IF(INDEX($I$3:$L$22,MATCH($P15,$G$3:$G$22,0),$Q15)=BP$2,$S15+$O15+9,$S15+$O15)</f>
        <v>42711001</v>
      </c>
      <c r="BQ15" s="1" cm="1">
        <f t="array" ref="BQ15">IF(INDEX($I$3:$L$22,MATCH($P15,$G$3:$G$22,0),$Q15)=BQ$2,$S15+$O15+9,$S15+$O15)</f>
        <v>42711001</v>
      </c>
      <c r="BR15" s="1" cm="1">
        <f t="array" ref="BR15">IF(INDEX($I$3:$L$22,MATCH($P15,$G$3:$G$22,0),$Q15)=BR$2,$S15+$O15+9,$S15+$O15)</f>
        <v>42711001</v>
      </c>
      <c r="BS15" s="1" cm="1">
        <f t="array" ref="BS15">IF(INDEX($I$3:$L$22,MATCH($P15,$G$3:$G$22,0),$Q15)=BS$2,$S15+$O15+9,$S15+$O15)</f>
        <v>42711001</v>
      </c>
      <c r="BT15" s="1" cm="1">
        <f t="array" ref="BT15">IF(INDEX($I$3:$L$22,MATCH($P15,$G$3:$G$22,0),$Q15)=BT$2,$S15+$O15+9,$S15+$O15)</f>
        <v>42711001</v>
      </c>
    </row>
    <row r="16" spans="1:72" x14ac:dyDescent="0.15">
      <c r="A16" s="1">
        <v>0</v>
      </c>
      <c r="B16" s="1" cm="1">
        <f t="array" aca="1" ref="B16:E16" ca="1">_xlfn.RANDARRAY(1,4,1,50,TRUE)</f>
        <v>41</v>
      </c>
      <c r="C16" s="1">
        <f ca="1"/>
        <v>15</v>
      </c>
      <c r="D16" s="1">
        <f ca="1"/>
        <v>27</v>
      </c>
      <c r="E16" s="1">
        <f ca="1"/>
        <v>43</v>
      </c>
      <c r="G16" s="1">
        <f t="shared" si="4"/>
        <v>303</v>
      </c>
      <c r="H16" s="1">
        <v>1</v>
      </c>
      <c r="I16" s="1">
        <v>50</v>
      </c>
      <c r="J16" s="1">
        <v>25</v>
      </c>
      <c r="K16" s="1">
        <v>25</v>
      </c>
      <c r="L16" s="1">
        <v>28</v>
      </c>
      <c r="N16" s="1">
        <v>30001</v>
      </c>
      <c r="O16" s="1">
        <v>1</v>
      </c>
      <c r="P16" s="1">
        <f t="shared" si="3"/>
        <v>103</v>
      </c>
      <c r="Q16" s="1">
        <v>2</v>
      </c>
      <c r="R16" s="1" t="s">
        <v>17</v>
      </c>
      <c r="S16" s="1">
        <v>42612000</v>
      </c>
      <c r="T16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</v>
      </c>
      <c r="W16" s="1" cm="1">
        <f t="array" ref="W16">IF(INDEX($I$3:$L$22,MATCH($P16,$G$3:$G$22,0),$Q16)=W$2,$S16+$O16+9,$S16+$O16)</f>
        <v>42612001</v>
      </c>
      <c r="X16" s="1" cm="1">
        <f t="array" ref="X16">IF(INDEX($I$3:$L$22,MATCH($P16,$G$3:$G$22,0),$Q16)=X$2,$S16+$O16+9,$S16+$O16)</f>
        <v>42612001</v>
      </c>
      <c r="Y16" s="1" cm="1">
        <f t="array" ref="Y16">IF(INDEX($I$3:$L$22,MATCH($P16,$G$3:$G$22,0),$Q16)=Y$2,$S16+$O16+9,$S16+$O16)</f>
        <v>42612001</v>
      </c>
      <c r="Z16" s="1" cm="1">
        <f t="array" ref="Z16">IF(INDEX($I$3:$L$22,MATCH($P16,$G$3:$G$22,0),$Q16)=Z$2,$S16+$O16+9,$S16+$O16)</f>
        <v>42612001</v>
      </c>
      <c r="AA16" s="1" cm="1">
        <f t="array" ref="AA16">IF(INDEX($I$3:$L$22,MATCH($P16,$G$3:$G$22,0),$Q16)=AA$2,$S16+$O16+9,$S16+$O16)</f>
        <v>42612001</v>
      </c>
      <c r="AB16" s="1" cm="1">
        <f t="array" ref="AB16">IF(INDEX($I$3:$L$22,MATCH($P16,$G$3:$G$22,0),$Q16)=AB$2,$S16+$O16+9,$S16+$O16)</f>
        <v>42612001</v>
      </c>
      <c r="AC16" s="1" cm="1">
        <f t="array" ref="AC16">IF(INDEX($I$3:$L$22,MATCH($P16,$G$3:$G$22,0),$Q16)=AC$2,$S16+$O16+9,$S16+$O16)</f>
        <v>42612001</v>
      </c>
      <c r="AD16" s="1" cm="1">
        <f t="array" ref="AD16">IF(INDEX($I$3:$L$22,MATCH($P16,$G$3:$G$22,0),$Q16)=AD$2,$S16+$O16+9,$S16+$O16)</f>
        <v>42612001</v>
      </c>
      <c r="AE16" s="1" cm="1">
        <f t="array" ref="AE16">IF(INDEX($I$3:$L$22,MATCH($P16,$G$3:$G$22,0),$Q16)=AE$2,$S16+$O16+9,$S16+$O16)</f>
        <v>42612001</v>
      </c>
      <c r="AF16" s="1" cm="1">
        <f t="array" ref="AF16">IF(INDEX($I$3:$L$22,MATCH($P16,$G$3:$G$22,0),$Q16)=AF$2,$S16+$O16+9,$S16+$O16)</f>
        <v>42612001</v>
      </c>
      <c r="AG16" s="1" cm="1">
        <f t="array" ref="AG16">IF(INDEX($I$3:$L$22,MATCH($P16,$G$3:$G$22,0),$Q16)=AG$2,$S16+$O16+9,$S16+$O16)</f>
        <v>42612001</v>
      </c>
      <c r="AH16" s="1" cm="1">
        <f t="array" ref="AH16">IF(INDEX($I$3:$L$22,MATCH($P16,$G$3:$G$22,0),$Q16)=AH$2,$S16+$O16+9,$S16+$O16)</f>
        <v>42612001</v>
      </c>
      <c r="AI16" s="1" cm="1">
        <f t="array" ref="AI16">IF(INDEX($I$3:$L$22,MATCH($P16,$G$3:$G$22,0),$Q16)=AI$2,$S16+$O16+9,$S16+$O16)</f>
        <v>42612001</v>
      </c>
      <c r="AJ16" s="1" cm="1">
        <f t="array" ref="AJ16">IF(INDEX($I$3:$L$22,MATCH($P16,$G$3:$G$22,0),$Q16)=AJ$2,$S16+$O16+9,$S16+$O16)</f>
        <v>42612001</v>
      </c>
      <c r="AK16" s="1" cm="1">
        <f t="array" ref="AK16">IF(INDEX($I$3:$L$22,MATCH($P16,$G$3:$G$22,0),$Q16)=AK$2,$S16+$O16+9,$S16+$O16)</f>
        <v>42612001</v>
      </c>
      <c r="AL16" s="1" cm="1">
        <f t="array" ref="AL16">IF(INDEX($I$3:$L$22,MATCH($P16,$G$3:$G$22,0),$Q16)=AL$2,$S16+$O16+9,$S16+$O16)</f>
        <v>42612001</v>
      </c>
      <c r="AM16" s="1" cm="1">
        <f t="array" ref="AM16">IF(INDEX($I$3:$L$22,MATCH($P16,$G$3:$G$22,0),$Q16)=AM$2,$S16+$O16+9,$S16+$O16)</f>
        <v>42612001</v>
      </c>
      <c r="AN16" s="1" cm="1">
        <f t="array" ref="AN16">IF(INDEX($I$3:$L$22,MATCH($P16,$G$3:$G$22,0),$Q16)=AN$2,$S16+$O16+9,$S16+$O16)</f>
        <v>42612001</v>
      </c>
      <c r="AO16" s="1" cm="1">
        <f t="array" ref="AO16">IF(INDEX($I$3:$L$22,MATCH($P16,$G$3:$G$22,0),$Q16)=AO$2,$S16+$O16+9,$S16+$O16)</f>
        <v>42612001</v>
      </c>
      <c r="AP16" s="1" cm="1">
        <f t="array" ref="AP16">IF(INDEX($I$3:$L$22,MATCH($P16,$G$3:$G$22,0),$Q16)=AP$2,$S16+$O16+9,$S16+$O16)</f>
        <v>42612001</v>
      </c>
      <c r="AQ16" s="1" cm="1">
        <f t="array" ref="AQ16">IF(INDEX($I$3:$L$22,MATCH($P16,$G$3:$G$22,0),$Q16)=AQ$2,$S16+$O16+9,$S16+$O16)</f>
        <v>42612001</v>
      </c>
      <c r="AR16" s="1" cm="1">
        <f t="array" ref="AR16">IF(INDEX($I$3:$L$22,MATCH($P16,$G$3:$G$22,0),$Q16)=AR$2,$S16+$O16+9,$S16+$O16)</f>
        <v>42612001</v>
      </c>
      <c r="AS16" s="1" cm="1">
        <f t="array" ref="AS16">IF(INDEX($I$3:$L$22,MATCH($P16,$G$3:$G$22,0),$Q16)=AS$2,$S16+$O16+9,$S16+$O16)</f>
        <v>42612001</v>
      </c>
      <c r="AT16" s="1" cm="1">
        <f t="array" ref="AT16">IF(INDEX($I$3:$L$22,MATCH($P16,$G$3:$G$22,0),$Q16)=AT$2,$S16+$O16+9,$S16+$O16)</f>
        <v>42612001</v>
      </c>
      <c r="AU16" s="1" cm="1">
        <f t="array" ref="AU16">IF(INDEX($I$3:$L$22,MATCH($P16,$G$3:$G$22,0),$Q16)=AU$2,$S16+$O16+9,$S16+$O16)</f>
        <v>42612001</v>
      </c>
      <c r="AV16" s="1" cm="1">
        <f t="array" ref="AV16">IF(INDEX($I$3:$L$22,MATCH($P16,$G$3:$G$22,0),$Q16)=AV$2,$S16+$O16+9,$S16+$O16)</f>
        <v>42612001</v>
      </c>
      <c r="AW16" s="1" cm="1">
        <f t="array" ref="AW16">IF(INDEX($I$3:$L$22,MATCH($P16,$G$3:$G$22,0),$Q16)=AW$2,$S16+$O16+9,$S16+$O16)</f>
        <v>42612001</v>
      </c>
      <c r="AX16" s="1" cm="1">
        <f t="array" ref="AX16">IF(INDEX($I$3:$L$22,MATCH($P16,$G$3:$G$22,0),$Q16)=AX$2,$S16+$O16+9,$S16+$O16)</f>
        <v>42612001</v>
      </c>
      <c r="AY16" s="1" cm="1">
        <f t="array" ref="AY16">IF(INDEX($I$3:$L$22,MATCH($P16,$G$3:$G$22,0),$Q16)=AY$2,$S16+$O16+9,$S16+$O16)</f>
        <v>42612001</v>
      </c>
      <c r="AZ16" s="1" cm="1">
        <f t="array" ref="AZ16">IF(INDEX($I$3:$L$22,MATCH($P16,$G$3:$G$22,0),$Q16)=AZ$2,$S16+$O16+9,$S16+$O16)</f>
        <v>42612001</v>
      </c>
      <c r="BA16" s="1" cm="1">
        <f t="array" ref="BA16">IF(INDEX($I$3:$L$22,MATCH($P16,$G$3:$G$22,0),$Q16)=BA$2,$S16+$O16+9,$S16+$O16)</f>
        <v>42612001</v>
      </c>
      <c r="BB16" s="1" cm="1">
        <f t="array" ref="BB16">IF(INDEX($I$3:$L$22,MATCH($P16,$G$3:$G$22,0),$Q16)=BB$2,$S16+$O16+9,$S16+$O16)</f>
        <v>42612001</v>
      </c>
      <c r="BC16" s="1" cm="1">
        <f t="array" ref="BC16">IF(INDEX($I$3:$L$22,MATCH($P16,$G$3:$G$22,0),$Q16)=BC$2,$S16+$O16+9,$S16+$O16)</f>
        <v>42612001</v>
      </c>
      <c r="BD16" s="1" cm="1">
        <f t="array" ref="BD16">IF(INDEX($I$3:$L$22,MATCH($P16,$G$3:$G$22,0),$Q16)=BD$2,$S16+$O16+9,$S16+$O16)</f>
        <v>42612001</v>
      </c>
      <c r="BE16" s="1" cm="1">
        <f t="array" ref="BE16">IF(INDEX($I$3:$L$22,MATCH($P16,$G$3:$G$22,0),$Q16)=BE$2,$S16+$O16+9,$S16+$O16)</f>
        <v>42612001</v>
      </c>
      <c r="BF16" s="1" cm="1">
        <f t="array" ref="BF16">IF(INDEX($I$3:$L$22,MATCH($P16,$G$3:$G$22,0),$Q16)=BF$2,$S16+$O16+9,$S16+$O16)</f>
        <v>42612001</v>
      </c>
      <c r="BG16" s="1" cm="1">
        <f t="array" ref="BG16">IF(INDEX($I$3:$L$22,MATCH($P16,$G$3:$G$22,0),$Q16)=BG$2,$S16+$O16+9,$S16+$O16)</f>
        <v>42612001</v>
      </c>
      <c r="BH16" s="1" cm="1">
        <f t="array" ref="BH16">IF(INDEX($I$3:$L$22,MATCH($P16,$G$3:$G$22,0),$Q16)=BH$2,$S16+$O16+9,$S16+$O16)</f>
        <v>42612001</v>
      </c>
      <c r="BI16" s="1" cm="1">
        <f t="array" ref="BI16">IF(INDEX($I$3:$L$22,MATCH($P16,$G$3:$G$22,0),$Q16)=BI$2,$S16+$O16+9,$S16+$O16)</f>
        <v>42612001</v>
      </c>
      <c r="BJ16" s="1" cm="1">
        <f t="array" ref="BJ16">IF(INDEX($I$3:$L$22,MATCH($P16,$G$3:$G$22,0),$Q16)=BJ$2,$S16+$O16+9,$S16+$O16)</f>
        <v>42612001</v>
      </c>
      <c r="BK16" s="1" cm="1">
        <f t="array" ref="BK16">IF(INDEX($I$3:$L$22,MATCH($P16,$G$3:$G$22,0),$Q16)=BK$2,$S16+$O16+9,$S16+$O16)</f>
        <v>42612001</v>
      </c>
      <c r="BL16" s="1" cm="1">
        <f t="array" ref="BL16">IF(INDEX($I$3:$L$22,MATCH($P16,$G$3:$G$22,0),$Q16)=BL$2,$S16+$O16+9,$S16+$O16)</f>
        <v>42612001</v>
      </c>
      <c r="BM16" s="1" cm="1">
        <f t="array" ref="BM16">IF(INDEX($I$3:$L$22,MATCH($P16,$G$3:$G$22,0),$Q16)=BM$2,$S16+$O16+9,$S16+$O16)</f>
        <v>42612001</v>
      </c>
      <c r="BN16" s="1" cm="1">
        <f t="array" ref="BN16">IF(INDEX($I$3:$L$22,MATCH($P16,$G$3:$G$22,0),$Q16)=BN$2,$S16+$O16+9,$S16+$O16)</f>
        <v>42612001</v>
      </c>
      <c r="BO16" s="1" cm="1">
        <f t="array" ref="BO16">IF(INDEX($I$3:$L$22,MATCH($P16,$G$3:$G$22,0),$Q16)=BO$2,$S16+$O16+9,$S16+$O16)</f>
        <v>42612001</v>
      </c>
      <c r="BP16" s="1" cm="1">
        <f t="array" ref="BP16">IF(INDEX($I$3:$L$22,MATCH($P16,$G$3:$G$22,0),$Q16)=BP$2,$S16+$O16+9,$S16+$O16)</f>
        <v>42612001</v>
      </c>
      <c r="BQ16" s="1" cm="1">
        <f t="array" ref="BQ16">IF(INDEX($I$3:$L$22,MATCH($P16,$G$3:$G$22,0),$Q16)=BQ$2,$S16+$O16+9,$S16+$O16)</f>
        <v>42612010</v>
      </c>
      <c r="BR16" s="1" cm="1">
        <f t="array" ref="BR16">IF(INDEX($I$3:$L$22,MATCH($P16,$G$3:$G$22,0),$Q16)=BR$2,$S16+$O16+9,$S16+$O16)</f>
        <v>42612001</v>
      </c>
      <c r="BS16" s="1" cm="1">
        <f t="array" ref="BS16">IF(INDEX($I$3:$L$22,MATCH($P16,$G$3:$G$22,0),$Q16)=BS$2,$S16+$O16+9,$S16+$O16)</f>
        <v>42612001</v>
      </c>
      <c r="BT16" s="1" cm="1">
        <f t="array" ref="BT16">IF(INDEX($I$3:$L$22,MATCH($P16,$G$3:$G$22,0),$Q16)=BT$2,$S16+$O16+9,$S16+$O16)</f>
        <v>42612001</v>
      </c>
    </row>
    <row r="17" spans="1:72" x14ac:dyDescent="0.15">
      <c r="A17" s="1">
        <v>0</v>
      </c>
      <c r="B17" s="1" cm="1">
        <f t="array" aca="1" ref="B17:E17" ca="1">_xlfn.RANDARRAY(1,4,1,50,TRUE)</f>
        <v>25</v>
      </c>
      <c r="C17" s="1">
        <f ca="1"/>
        <v>19</v>
      </c>
      <c r="D17" s="1">
        <f ca="1"/>
        <v>42</v>
      </c>
      <c r="E17" s="1">
        <f ca="1"/>
        <v>38</v>
      </c>
      <c r="G17" s="1">
        <f t="shared" si="4"/>
        <v>304</v>
      </c>
      <c r="H17" s="1">
        <v>1</v>
      </c>
      <c r="I17" s="1">
        <v>31</v>
      </c>
      <c r="J17" s="1">
        <v>23</v>
      </c>
      <c r="K17" s="1">
        <v>46</v>
      </c>
      <c r="L17" s="1">
        <v>46</v>
      </c>
      <c r="N17" s="1">
        <v>30001</v>
      </c>
      <c r="O17" s="1">
        <v>1</v>
      </c>
      <c r="P17" s="1">
        <f t="shared" si="3"/>
        <v>103</v>
      </c>
      <c r="Q17" s="1">
        <v>3</v>
      </c>
      <c r="R17" s="1" t="s">
        <v>16</v>
      </c>
      <c r="S17" s="1">
        <v>42713000</v>
      </c>
      <c r="T17" s="1" t="str">
        <f t="shared" si="2"/>
        <v>42713001,42713001,42713001,42713001,42713001,42713001,42713001,42713001,42713001,42713010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</v>
      </c>
      <c r="W17" s="1" cm="1">
        <f t="array" ref="W17">IF(INDEX($I$3:$L$22,MATCH($P17,$G$3:$G$22,0),$Q17)=W$2,$S17+$O17+9,$S17+$O17)</f>
        <v>42713001</v>
      </c>
      <c r="X17" s="1" cm="1">
        <f t="array" ref="X17">IF(INDEX($I$3:$L$22,MATCH($P17,$G$3:$G$22,0),$Q17)=X$2,$S17+$O17+9,$S17+$O17)</f>
        <v>42713001</v>
      </c>
      <c r="Y17" s="1" cm="1">
        <f t="array" ref="Y17">IF(INDEX($I$3:$L$22,MATCH($P17,$G$3:$G$22,0),$Q17)=Y$2,$S17+$O17+9,$S17+$O17)</f>
        <v>42713001</v>
      </c>
      <c r="Z17" s="1" cm="1">
        <f t="array" ref="Z17">IF(INDEX($I$3:$L$22,MATCH($P17,$G$3:$G$22,0),$Q17)=Z$2,$S17+$O17+9,$S17+$O17)</f>
        <v>42713001</v>
      </c>
      <c r="AA17" s="1" cm="1">
        <f t="array" ref="AA17">IF(INDEX($I$3:$L$22,MATCH($P17,$G$3:$G$22,0),$Q17)=AA$2,$S17+$O17+9,$S17+$O17)</f>
        <v>42713001</v>
      </c>
      <c r="AB17" s="1" cm="1">
        <f t="array" ref="AB17">IF(INDEX($I$3:$L$22,MATCH($P17,$G$3:$G$22,0),$Q17)=AB$2,$S17+$O17+9,$S17+$O17)</f>
        <v>42713001</v>
      </c>
      <c r="AC17" s="1" cm="1">
        <f t="array" ref="AC17">IF(INDEX($I$3:$L$22,MATCH($P17,$G$3:$G$22,0),$Q17)=AC$2,$S17+$O17+9,$S17+$O17)</f>
        <v>42713001</v>
      </c>
      <c r="AD17" s="1" cm="1">
        <f t="array" ref="AD17">IF(INDEX($I$3:$L$22,MATCH($P17,$G$3:$G$22,0),$Q17)=AD$2,$S17+$O17+9,$S17+$O17)</f>
        <v>42713001</v>
      </c>
      <c r="AE17" s="1" cm="1">
        <f t="array" ref="AE17">IF(INDEX($I$3:$L$22,MATCH($P17,$G$3:$G$22,0),$Q17)=AE$2,$S17+$O17+9,$S17+$O17)</f>
        <v>42713001</v>
      </c>
      <c r="AF17" s="1" cm="1">
        <f t="array" ref="AF17">IF(INDEX($I$3:$L$22,MATCH($P17,$G$3:$G$22,0),$Q17)=AF$2,$S17+$O17+9,$S17+$O17)</f>
        <v>42713010</v>
      </c>
      <c r="AG17" s="1" cm="1">
        <f t="array" ref="AG17">IF(INDEX($I$3:$L$22,MATCH($P17,$G$3:$G$22,0),$Q17)=AG$2,$S17+$O17+9,$S17+$O17)</f>
        <v>42713001</v>
      </c>
      <c r="AH17" s="1" cm="1">
        <f t="array" ref="AH17">IF(INDEX($I$3:$L$22,MATCH($P17,$G$3:$G$22,0),$Q17)=AH$2,$S17+$O17+9,$S17+$O17)</f>
        <v>42713001</v>
      </c>
      <c r="AI17" s="1" cm="1">
        <f t="array" ref="AI17">IF(INDEX($I$3:$L$22,MATCH($P17,$G$3:$G$22,0),$Q17)=AI$2,$S17+$O17+9,$S17+$O17)</f>
        <v>42713001</v>
      </c>
      <c r="AJ17" s="1" cm="1">
        <f t="array" ref="AJ17">IF(INDEX($I$3:$L$22,MATCH($P17,$G$3:$G$22,0),$Q17)=AJ$2,$S17+$O17+9,$S17+$O17)</f>
        <v>42713001</v>
      </c>
      <c r="AK17" s="1" cm="1">
        <f t="array" ref="AK17">IF(INDEX($I$3:$L$22,MATCH($P17,$G$3:$G$22,0),$Q17)=AK$2,$S17+$O17+9,$S17+$O17)</f>
        <v>42713001</v>
      </c>
      <c r="AL17" s="1" cm="1">
        <f t="array" ref="AL17">IF(INDEX($I$3:$L$22,MATCH($P17,$G$3:$G$22,0),$Q17)=AL$2,$S17+$O17+9,$S17+$O17)</f>
        <v>42713001</v>
      </c>
      <c r="AM17" s="1" cm="1">
        <f t="array" ref="AM17">IF(INDEX($I$3:$L$22,MATCH($P17,$G$3:$G$22,0),$Q17)=AM$2,$S17+$O17+9,$S17+$O17)</f>
        <v>42713001</v>
      </c>
      <c r="AN17" s="1" cm="1">
        <f t="array" ref="AN17">IF(INDEX($I$3:$L$22,MATCH($P17,$G$3:$G$22,0),$Q17)=AN$2,$S17+$O17+9,$S17+$O17)</f>
        <v>42713001</v>
      </c>
      <c r="AO17" s="1" cm="1">
        <f t="array" ref="AO17">IF(INDEX($I$3:$L$22,MATCH($P17,$G$3:$G$22,0),$Q17)=AO$2,$S17+$O17+9,$S17+$O17)</f>
        <v>42713001</v>
      </c>
      <c r="AP17" s="1" cm="1">
        <f t="array" ref="AP17">IF(INDEX($I$3:$L$22,MATCH($P17,$G$3:$G$22,0),$Q17)=AP$2,$S17+$O17+9,$S17+$O17)</f>
        <v>42713001</v>
      </c>
      <c r="AQ17" s="1" cm="1">
        <f t="array" ref="AQ17">IF(INDEX($I$3:$L$22,MATCH($P17,$G$3:$G$22,0),$Q17)=AQ$2,$S17+$O17+9,$S17+$O17)</f>
        <v>42713001</v>
      </c>
      <c r="AR17" s="1" cm="1">
        <f t="array" ref="AR17">IF(INDEX($I$3:$L$22,MATCH($P17,$G$3:$G$22,0),$Q17)=AR$2,$S17+$O17+9,$S17+$O17)</f>
        <v>42713001</v>
      </c>
      <c r="AS17" s="1" cm="1">
        <f t="array" ref="AS17">IF(INDEX($I$3:$L$22,MATCH($P17,$G$3:$G$22,0),$Q17)=AS$2,$S17+$O17+9,$S17+$O17)</f>
        <v>42713001</v>
      </c>
      <c r="AT17" s="1" cm="1">
        <f t="array" ref="AT17">IF(INDEX($I$3:$L$22,MATCH($P17,$G$3:$G$22,0),$Q17)=AT$2,$S17+$O17+9,$S17+$O17)</f>
        <v>42713001</v>
      </c>
      <c r="AU17" s="1" cm="1">
        <f t="array" ref="AU17">IF(INDEX($I$3:$L$22,MATCH($P17,$G$3:$G$22,0),$Q17)=AU$2,$S17+$O17+9,$S17+$O17)</f>
        <v>42713001</v>
      </c>
      <c r="AV17" s="1" cm="1">
        <f t="array" ref="AV17">IF(INDEX($I$3:$L$22,MATCH($P17,$G$3:$G$22,0),$Q17)=AV$2,$S17+$O17+9,$S17+$O17)</f>
        <v>42713001</v>
      </c>
      <c r="AW17" s="1" cm="1">
        <f t="array" ref="AW17">IF(INDEX($I$3:$L$22,MATCH($P17,$G$3:$G$22,0),$Q17)=AW$2,$S17+$O17+9,$S17+$O17)</f>
        <v>42713001</v>
      </c>
      <c r="AX17" s="1" cm="1">
        <f t="array" ref="AX17">IF(INDEX($I$3:$L$22,MATCH($P17,$G$3:$G$22,0),$Q17)=AX$2,$S17+$O17+9,$S17+$O17)</f>
        <v>42713001</v>
      </c>
      <c r="AY17" s="1" cm="1">
        <f t="array" ref="AY17">IF(INDEX($I$3:$L$22,MATCH($P17,$G$3:$G$22,0),$Q17)=AY$2,$S17+$O17+9,$S17+$O17)</f>
        <v>42713001</v>
      </c>
      <c r="AZ17" s="1" cm="1">
        <f t="array" ref="AZ17">IF(INDEX($I$3:$L$22,MATCH($P17,$G$3:$G$22,0),$Q17)=AZ$2,$S17+$O17+9,$S17+$O17)</f>
        <v>42713001</v>
      </c>
      <c r="BA17" s="1" cm="1">
        <f t="array" ref="BA17">IF(INDEX($I$3:$L$22,MATCH($P17,$G$3:$G$22,0),$Q17)=BA$2,$S17+$O17+9,$S17+$O17)</f>
        <v>42713001</v>
      </c>
      <c r="BB17" s="1" cm="1">
        <f t="array" ref="BB17">IF(INDEX($I$3:$L$22,MATCH($P17,$G$3:$G$22,0),$Q17)=BB$2,$S17+$O17+9,$S17+$O17)</f>
        <v>42713001</v>
      </c>
      <c r="BC17" s="1" cm="1">
        <f t="array" ref="BC17">IF(INDEX($I$3:$L$22,MATCH($P17,$G$3:$G$22,0),$Q17)=BC$2,$S17+$O17+9,$S17+$O17)</f>
        <v>42713001</v>
      </c>
      <c r="BD17" s="1" cm="1">
        <f t="array" ref="BD17">IF(INDEX($I$3:$L$22,MATCH($P17,$G$3:$G$22,0),$Q17)=BD$2,$S17+$O17+9,$S17+$O17)</f>
        <v>42713001</v>
      </c>
      <c r="BE17" s="1" cm="1">
        <f t="array" ref="BE17">IF(INDEX($I$3:$L$22,MATCH($P17,$G$3:$G$22,0),$Q17)=BE$2,$S17+$O17+9,$S17+$O17)</f>
        <v>42713001</v>
      </c>
      <c r="BF17" s="1" cm="1">
        <f t="array" ref="BF17">IF(INDEX($I$3:$L$22,MATCH($P17,$G$3:$G$22,0),$Q17)=BF$2,$S17+$O17+9,$S17+$O17)</f>
        <v>42713001</v>
      </c>
      <c r="BG17" s="1" cm="1">
        <f t="array" ref="BG17">IF(INDEX($I$3:$L$22,MATCH($P17,$G$3:$G$22,0),$Q17)=BG$2,$S17+$O17+9,$S17+$O17)</f>
        <v>42713001</v>
      </c>
      <c r="BH17" s="1" cm="1">
        <f t="array" ref="BH17">IF(INDEX($I$3:$L$22,MATCH($P17,$G$3:$G$22,0),$Q17)=BH$2,$S17+$O17+9,$S17+$O17)</f>
        <v>42713001</v>
      </c>
      <c r="BI17" s="1" cm="1">
        <f t="array" ref="BI17">IF(INDEX($I$3:$L$22,MATCH($P17,$G$3:$G$22,0),$Q17)=BI$2,$S17+$O17+9,$S17+$O17)</f>
        <v>42713001</v>
      </c>
      <c r="BJ17" s="1" cm="1">
        <f t="array" ref="BJ17">IF(INDEX($I$3:$L$22,MATCH($P17,$G$3:$G$22,0),$Q17)=BJ$2,$S17+$O17+9,$S17+$O17)</f>
        <v>42713001</v>
      </c>
      <c r="BK17" s="1" cm="1">
        <f t="array" ref="BK17">IF(INDEX($I$3:$L$22,MATCH($P17,$G$3:$G$22,0),$Q17)=BK$2,$S17+$O17+9,$S17+$O17)</f>
        <v>42713001</v>
      </c>
      <c r="BL17" s="1" cm="1">
        <f t="array" ref="BL17">IF(INDEX($I$3:$L$22,MATCH($P17,$G$3:$G$22,0),$Q17)=BL$2,$S17+$O17+9,$S17+$O17)</f>
        <v>42713001</v>
      </c>
      <c r="BM17" s="1" cm="1">
        <f t="array" ref="BM17">IF(INDEX($I$3:$L$22,MATCH($P17,$G$3:$G$22,0),$Q17)=BM$2,$S17+$O17+9,$S17+$O17)</f>
        <v>42713001</v>
      </c>
      <c r="BN17" s="1" cm="1">
        <f t="array" ref="BN17">IF(INDEX($I$3:$L$22,MATCH($P17,$G$3:$G$22,0),$Q17)=BN$2,$S17+$O17+9,$S17+$O17)</f>
        <v>42713001</v>
      </c>
      <c r="BO17" s="1" cm="1">
        <f t="array" ref="BO17">IF(INDEX($I$3:$L$22,MATCH($P17,$G$3:$G$22,0),$Q17)=BO$2,$S17+$O17+9,$S17+$O17)</f>
        <v>42713001</v>
      </c>
      <c r="BP17" s="1" cm="1">
        <f t="array" ref="BP17">IF(INDEX($I$3:$L$22,MATCH($P17,$G$3:$G$22,0),$Q17)=BP$2,$S17+$O17+9,$S17+$O17)</f>
        <v>42713001</v>
      </c>
      <c r="BQ17" s="1" cm="1">
        <f t="array" ref="BQ17">IF(INDEX($I$3:$L$22,MATCH($P17,$G$3:$G$22,0),$Q17)=BQ$2,$S17+$O17+9,$S17+$O17)</f>
        <v>42713001</v>
      </c>
      <c r="BR17" s="1" cm="1">
        <f t="array" ref="BR17">IF(INDEX($I$3:$L$22,MATCH($P17,$G$3:$G$22,0),$Q17)=BR$2,$S17+$O17+9,$S17+$O17)</f>
        <v>42713001</v>
      </c>
      <c r="BS17" s="1" cm="1">
        <f t="array" ref="BS17">IF(INDEX($I$3:$L$22,MATCH($P17,$G$3:$G$22,0),$Q17)=BS$2,$S17+$O17+9,$S17+$O17)</f>
        <v>42713001</v>
      </c>
      <c r="BT17" s="1" cm="1">
        <f t="array" ref="BT17">IF(INDEX($I$3:$L$22,MATCH($P17,$G$3:$G$22,0),$Q17)=BT$2,$S17+$O17+9,$S17+$O17)</f>
        <v>42713001</v>
      </c>
    </row>
    <row r="18" spans="1:72" x14ac:dyDescent="0.15">
      <c r="A18" s="1">
        <v>0</v>
      </c>
      <c r="B18" s="1" cm="1">
        <f t="array" aca="1" ref="B18:E18" ca="1">_xlfn.RANDARRAY(1,4,1,50,TRUE)</f>
        <v>20</v>
      </c>
      <c r="C18" s="1">
        <f ca="1"/>
        <v>30</v>
      </c>
      <c r="D18" s="1">
        <f ca="1"/>
        <v>19</v>
      </c>
      <c r="E18" s="1">
        <f ca="1"/>
        <v>13</v>
      </c>
      <c r="G18" s="1">
        <f t="shared" si="4"/>
        <v>400</v>
      </c>
      <c r="H18" s="1">
        <v>1</v>
      </c>
      <c r="I18" s="1">
        <v>17</v>
      </c>
      <c r="J18" s="1">
        <v>37</v>
      </c>
      <c r="K18" s="1">
        <v>46</v>
      </c>
      <c r="L18" s="1">
        <v>47</v>
      </c>
      <c r="N18" s="1">
        <v>30001</v>
      </c>
      <c r="O18" s="1">
        <v>1</v>
      </c>
      <c r="P18" s="1">
        <f t="shared" si="3"/>
        <v>103</v>
      </c>
      <c r="Q18" s="1">
        <v>4</v>
      </c>
      <c r="R18" s="1" t="s">
        <v>15</v>
      </c>
      <c r="S18" s="1">
        <v>42716000</v>
      </c>
      <c r="T18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,42716001,42716001,42716001,42716001,42716001,42716001,42716001,42716001,42716001,42716001,42716001,42716001,42716001,42716001,42716001,42716001</v>
      </c>
      <c r="W18" s="1" cm="1">
        <f t="array" ref="W18">IF(INDEX($I$3:$L$22,MATCH($P18,$G$3:$G$22,0),$Q18)=W$2,$S18+$O18+9,$S18+$O18)</f>
        <v>42716001</v>
      </c>
      <c r="X18" s="1" cm="1">
        <f t="array" ref="X18">IF(INDEX($I$3:$L$22,MATCH($P18,$G$3:$G$22,0),$Q18)=X$2,$S18+$O18+9,$S18+$O18)</f>
        <v>42716001</v>
      </c>
      <c r="Y18" s="1" cm="1">
        <f t="array" ref="Y18">IF(INDEX($I$3:$L$22,MATCH($P18,$G$3:$G$22,0),$Q18)=Y$2,$S18+$O18+9,$S18+$O18)</f>
        <v>42716001</v>
      </c>
      <c r="Z18" s="1" cm="1">
        <f t="array" ref="Z18">IF(INDEX($I$3:$L$22,MATCH($P18,$G$3:$G$22,0),$Q18)=Z$2,$S18+$O18+9,$S18+$O18)</f>
        <v>42716001</v>
      </c>
      <c r="AA18" s="1" cm="1">
        <f t="array" ref="AA18">IF(INDEX($I$3:$L$22,MATCH($P18,$G$3:$G$22,0),$Q18)=AA$2,$S18+$O18+9,$S18+$O18)</f>
        <v>42716001</v>
      </c>
      <c r="AB18" s="1" cm="1">
        <f t="array" ref="AB18">IF(INDEX($I$3:$L$22,MATCH($P18,$G$3:$G$22,0),$Q18)=AB$2,$S18+$O18+9,$S18+$O18)</f>
        <v>42716001</v>
      </c>
      <c r="AC18" s="1" cm="1">
        <f t="array" ref="AC18">IF(INDEX($I$3:$L$22,MATCH($P18,$G$3:$G$22,0),$Q18)=AC$2,$S18+$O18+9,$S18+$O18)</f>
        <v>42716001</v>
      </c>
      <c r="AD18" s="1" cm="1">
        <f t="array" ref="AD18">IF(INDEX($I$3:$L$22,MATCH($P18,$G$3:$G$22,0),$Q18)=AD$2,$S18+$O18+9,$S18+$O18)</f>
        <v>42716001</v>
      </c>
      <c r="AE18" s="1" cm="1">
        <f t="array" ref="AE18">IF(INDEX($I$3:$L$22,MATCH($P18,$G$3:$G$22,0),$Q18)=AE$2,$S18+$O18+9,$S18+$O18)</f>
        <v>42716001</v>
      </c>
      <c r="AF18" s="1" cm="1">
        <f t="array" ref="AF18">IF(INDEX($I$3:$L$22,MATCH($P18,$G$3:$G$22,0),$Q18)=AF$2,$S18+$O18+9,$S18+$O18)</f>
        <v>42716001</v>
      </c>
      <c r="AG18" s="1" cm="1">
        <f t="array" ref="AG18">IF(INDEX($I$3:$L$22,MATCH($P18,$G$3:$G$22,0),$Q18)=AG$2,$S18+$O18+9,$S18+$O18)</f>
        <v>42716001</v>
      </c>
      <c r="AH18" s="1" cm="1">
        <f t="array" ref="AH18">IF(INDEX($I$3:$L$22,MATCH($P18,$G$3:$G$22,0),$Q18)=AH$2,$S18+$O18+9,$S18+$O18)</f>
        <v>42716001</v>
      </c>
      <c r="AI18" s="1" cm="1">
        <f t="array" ref="AI18">IF(INDEX($I$3:$L$22,MATCH($P18,$G$3:$G$22,0),$Q18)=AI$2,$S18+$O18+9,$S18+$O18)</f>
        <v>42716001</v>
      </c>
      <c r="AJ18" s="1" cm="1">
        <f t="array" ref="AJ18">IF(INDEX($I$3:$L$22,MATCH($P18,$G$3:$G$22,0),$Q18)=AJ$2,$S18+$O18+9,$S18+$O18)</f>
        <v>42716001</v>
      </c>
      <c r="AK18" s="1" cm="1">
        <f t="array" ref="AK18">IF(INDEX($I$3:$L$22,MATCH($P18,$G$3:$G$22,0),$Q18)=AK$2,$S18+$O18+9,$S18+$O18)</f>
        <v>42716001</v>
      </c>
      <c r="AL18" s="1" cm="1">
        <f t="array" ref="AL18">IF(INDEX($I$3:$L$22,MATCH($P18,$G$3:$G$22,0),$Q18)=AL$2,$S18+$O18+9,$S18+$O18)</f>
        <v>42716001</v>
      </c>
      <c r="AM18" s="1" cm="1">
        <f t="array" ref="AM18">IF(INDEX($I$3:$L$22,MATCH($P18,$G$3:$G$22,0),$Q18)=AM$2,$S18+$O18+9,$S18+$O18)</f>
        <v>42716001</v>
      </c>
      <c r="AN18" s="1" cm="1">
        <f t="array" ref="AN18">IF(INDEX($I$3:$L$22,MATCH($P18,$G$3:$G$22,0),$Q18)=AN$2,$S18+$O18+9,$S18+$O18)</f>
        <v>42716001</v>
      </c>
      <c r="AO18" s="1" cm="1">
        <f t="array" ref="AO18">IF(INDEX($I$3:$L$22,MATCH($P18,$G$3:$G$22,0),$Q18)=AO$2,$S18+$O18+9,$S18+$O18)</f>
        <v>42716001</v>
      </c>
      <c r="AP18" s="1" cm="1">
        <f t="array" ref="AP18">IF(INDEX($I$3:$L$22,MATCH($P18,$G$3:$G$22,0),$Q18)=AP$2,$S18+$O18+9,$S18+$O18)</f>
        <v>42716001</v>
      </c>
      <c r="AQ18" s="1" cm="1">
        <f t="array" ref="AQ18">IF(INDEX($I$3:$L$22,MATCH($P18,$G$3:$G$22,0),$Q18)=AQ$2,$S18+$O18+9,$S18+$O18)</f>
        <v>42716001</v>
      </c>
      <c r="AR18" s="1" cm="1">
        <f t="array" ref="AR18">IF(INDEX($I$3:$L$22,MATCH($P18,$G$3:$G$22,0),$Q18)=AR$2,$S18+$O18+9,$S18+$O18)</f>
        <v>42716001</v>
      </c>
      <c r="AS18" s="1" cm="1">
        <f t="array" ref="AS18">IF(INDEX($I$3:$L$22,MATCH($P18,$G$3:$G$22,0),$Q18)=AS$2,$S18+$O18+9,$S18+$O18)</f>
        <v>42716001</v>
      </c>
      <c r="AT18" s="1" cm="1">
        <f t="array" ref="AT18">IF(INDEX($I$3:$L$22,MATCH($P18,$G$3:$G$22,0),$Q18)=AT$2,$S18+$O18+9,$S18+$O18)</f>
        <v>42716001</v>
      </c>
      <c r="AU18" s="1" cm="1">
        <f t="array" ref="AU18">IF(INDEX($I$3:$L$22,MATCH($P18,$G$3:$G$22,0),$Q18)=AU$2,$S18+$O18+9,$S18+$O18)</f>
        <v>42716001</v>
      </c>
      <c r="AV18" s="1" cm="1">
        <f t="array" ref="AV18">IF(INDEX($I$3:$L$22,MATCH($P18,$G$3:$G$22,0),$Q18)=AV$2,$S18+$O18+9,$S18+$O18)</f>
        <v>42716001</v>
      </c>
      <c r="AW18" s="1" cm="1">
        <f t="array" ref="AW18">IF(INDEX($I$3:$L$22,MATCH($P18,$G$3:$G$22,0),$Q18)=AW$2,$S18+$O18+9,$S18+$O18)</f>
        <v>42716001</v>
      </c>
      <c r="AX18" s="1" cm="1">
        <f t="array" ref="AX18">IF(INDEX($I$3:$L$22,MATCH($P18,$G$3:$G$22,0),$Q18)=AX$2,$S18+$O18+9,$S18+$O18)</f>
        <v>42716001</v>
      </c>
      <c r="AY18" s="1" cm="1">
        <f t="array" ref="AY18">IF(INDEX($I$3:$L$22,MATCH($P18,$G$3:$G$22,0),$Q18)=AY$2,$S18+$O18+9,$S18+$O18)</f>
        <v>42716001</v>
      </c>
      <c r="AZ18" s="1" cm="1">
        <f t="array" ref="AZ18">IF(INDEX($I$3:$L$22,MATCH($P18,$G$3:$G$22,0),$Q18)=AZ$2,$S18+$O18+9,$S18+$O18)</f>
        <v>42716001</v>
      </c>
      <c r="BA18" s="1" cm="1">
        <f t="array" ref="BA18">IF(INDEX($I$3:$L$22,MATCH($P18,$G$3:$G$22,0),$Q18)=BA$2,$S18+$O18+9,$S18+$O18)</f>
        <v>42716001</v>
      </c>
      <c r="BB18" s="1" cm="1">
        <f t="array" ref="BB18">IF(INDEX($I$3:$L$22,MATCH($P18,$G$3:$G$22,0),$Q18)=BB$2,$S18+$O18+9,$S18+$O18)</f>
        <v>42716001</v>
      </c>
      <c r="BC18" s="1" cm="1">
        <f t="array" ref="BC18">IF(INDEX($I$3:$L$22,MATCH($P18,$G$3:$G$22,0),$Q18)=BC$2,$S18+$O18+9,$S18+$O18)</f>
        <v>42716010</v>
      </c>
      <c r="BD18" s="1" cm="1">
        <f t="array" ref="BD18">IF(INDEX($I$3:$L$22,MATCH($P18,$G$3:$G$22,0),$Q18)=BD$2,$S18+$O18+9,$S18+$O18)</f>
        <v>42716001</v>
      </c>
      <c r="BE18" s="1" cm="1">
        <f t="array" ref="BE18">IF(INDEX($I$3:$L$22,MATCH($P18,$G$3:$G$22,0),$Q18)=BE$2,$S18+$O18+9,$S18+$O18)</f>
        <v>42716001</v>
      </c>
      <c r="BF18" s="1" cm="1">
        <f t="array" ref="BF18">IF(INDEX($I$3:$L$22,MATCH($P18,$G$3:$G$22,0),$Q18)=BF$2,$S18+$O18+9,$S18+$O18)</f>
        <v>42716001</v>
      </c>
      <c r="BG18" s="1" cm="1">
        <f t="array" ref="BG18">IF(INDEX($I$3:$L$22,MATCH($P18,$G$3:$G$22,0),$Q18)=BG$2,$S18+$O18+9,$S18+$O18)</f>
        <v>42716001</v>
      </c>
      <c r="BH18" s="1" cm="1">
        <f t="array" ref="BH18">IF(INDEX($I$3:$L$22,MATCH($P18,$G$3:$G$22,0),$Q18)=BH$2,$S18+$O18+9,$S18+$O18)</f>
        <v>42716001</v>
      </c>
      <c r="BI18" s="1" cm="1">
        <f t="array" ref="BI18">IF(INDEX($I$3:$L$22,MATCH($P18,$G$3:$G$22,0),$Q18)=BI$2,$S18+$O18+9,$S18+$O18)</f>
        <v>42716001</v>
      </c>
      <c r="BJ18" s="1" cm="1">
        <f t="array" ref="BJ18">IF(INDEX($I$3:$L$22,MATCH($P18,$G$3:$G$22,0),$Q18)=BJ$2,$S18+$O18+9,$S18+$O18)</f>
        <v>42716001</v>
      </c>
      <c r="BK18" s="1" cm="1">
        <f t="array" ref="BK18">IF(INDEX($I$3:$L$22,MATCH($P18,$G$3:$G$22,0),$Q18)=BK$2,$S18+$O18+9,$S18+$O18)</f>
        <v>42716001</v>
      </c>
      <c r="BL18" s="1" cm="1">
        <f t="array" ref="BL18">IF(INDEX($I$3:$L$22,MATCH($P18,$G$3:$G$22,0),$Q18)=BL$2,$S18+$O18+9,$S18+$O18)</f>
        <v>42716001</v>
      </c>
      <c r="BM18" s="1" cm="1">
        <f t="array" ref="BM18">IF(INDEX($I$3:$L$22,MATCH($P18,$G$3:$G$22,0),$Q18)=BM$2,$S18+$O18+9,$S18+$O18)</f>
        <v>42716001</v>
      </c>
      <c r="BN18" s="1" cm="1">
        <f t="array" ref="BN18">IF(INDEX($I$3:$L$22,MATCH($P18,$G$3:$G$22,0),$Q18)=BN$2,$S18+$O18+9,$S18+$O18)</f>
        <v>42716001</v>
      </c>
      <c r="BO18" s="1" cm="1">
        <f t="array" ref="BO18">IF(INDEX($I$3:$L$22,MATCH($P18,$G$3:$G$22,0),$Q18)=BO$2,$S18+$O18+9,$S18+$O18)</f>
        <v>42716001</v>
      </c>
      <c r="BP18" s="1" cm="1">
        <f t="array" ref="BP18">IF(INDEX($I$3:$L$22,MATCH($P18,$G$3:$G$22,0),$Q18)=BP$2,$S18+$O18+9,$S18+$O18)</f>
        <v>42716001</v>
      </c>
      <c r="BQ18" s="1" cm="1">
        <f t="array" ref="BQ18">IF(INDEX($I$3:$L$22,MATCH($P18,$G$3:$G$22,0),$Q18)=BQ$2,$S18+$O18+9,$S18+$O18)</f>
        <v>42716001</v>
      </c>
      <c r="BR18" s="1" cm="1">
        <f t="array" ref="BR18">IF(INDEX($I$3:$L$22,MATCH($P18,$G$3:$G$22,0),$Q18)=BR$2,$S18+$O18+9,$S18+$O18)</f>
        <v>42716001</v>
      </c>
      <c r="BS18" s="1" cm="1">
        <f t="array" ref="BS18">IF(INDEX($I$3:$L$22,MATCH($P18,$G$3:$G$22,0),$Q18)=BS$2,$S18+$O18+9,$S18+$O18)</f>
        <v>42716001</v>
      </c>
      <c r="BT18" s="1" cm="1">
        <f t="array" ref="BT18">IF(INDEX($I$3:$L$22,MATCH($P18,$G$3:$G$22,0),$Q18)=BT$2,$S18+$O18+9,$S18+$O18)</f>
        <v>42716001</v>
      </c>
    </row>
    <row r="19" spans="1:72" x14ac:dyDescent="0.15">
      <c r="A19" s="1">
        <v>0</v>
      </c>
      <c r="B19" s="1" cm="1">
        <f t="array" aca="1" ref="B19:E19" ca="1">_xlfn.RANDARRAY(1,4,1,50,TRUE)</f>
        <v>44</v>
      </c>
      <c r="C19" s="1">
        <f ca="1"/>
        <v>24</v>
      </c>
      <c r="D19" s="1">
        <f ca="1"/>
        <v>2</v>
      </c>
      <c r="E19" s="1">
        <f ca="1"/>
        <v>6</v>
      </c>
      <c r="G19" s="1">
        <f t="shared" si="4"/>
        <v>401</v>
      </c>
      <c r="H19" s="1">
        <v>1</v>
      </c>
      <c r="I19" s="1">
        <v>42</v>
      </c>
      <c r="J19" s="1">
        <v>16</v>
      </c>
      <c r="K19" s="1">
        <v>42</v>
      </c>
      <c r="L19" s="1">
        <v>14</v>
      </c>
      <c r="N19" s="1">
        <v>30001</v>
      </c>
      <c r="O19" s="1">
        <v>1</v>
      </c>
      <c r="P19" s="1">
        <f t="shared" si="3"/>
        <v>104</v>
      </c>
      <c r="Q19" s="1">
        <v>1</v>
      </c>
      <c r="R19" s="1" t="s">
        <v>18</v>
      </c>
      <c r="S19" s="1">
        <v>42711000</v>
      </c>
      <c r="T19" s="1" t="str">
        <f t="shared" si="2"/>
        <v>42711001,42711001,42711001,42711001,42711001,42711001,42711001,42711001,42711001,42711010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,42711001</v>
      </c>
      <c r="W19" s="1" cm="1">
        <f t="array" ref="W19">IF(INDEX($I$3:$L$22,MATCH($P19,$G$3:$G$22,0),$Q19)=W$2,$S19+$O19+9,$S19+$O19)</f>
        <v>42711001</v>
      </c>
      <c r="X19" s="1" cm="1">
        <f t="array" ref="X19">IF(INDEX($I$3:$L$22,MATCH($P19,$G$3:$G$22,0),$Q19)=X$2,$S19+$O19+9,$S19+$O19)</f>
        <v>42711001</v>
      </c>
      <c r="Y19" s="1" cm="1">
        <f t="array" ref="Y19">IF(INDEX($I$3:$L$22,MATCH($P19,$G$3:$G$22,0),$Q19)=Y$2,$S19+$O19+9,$S19+$O19)</f>
        <v>42711001</v>
      </c>
      <c r="Z19" s="1" cm="1">
        <f t="array" ref="Z19">IF(INDEX($I$3:$L$22,MATCH($P19,$G$3:$G$22,0),$Q19)=Z$2,$S19+$O19+9,$S19+$O19)</f>
        <v>42711001</v>
      </c>
      <c r="AA19" s="1" cm="1">
        <f t="array" ref="AA19">IF(INDEX($I$3:$L$22,MATCH($P19,$G$3:$G$22,0),$Q19)=AA$2,$S19+$O19+9,$S19+$O19)</f>
        <v>42711001</v>
      </c>
      <c r="AB19" s="1" cm="1">
        <f t="array" ref="AB19">IF(INDEX($I$3:$L$22,MATCH($P19,$G$3:$G$22,0),$Q19)=AB$2,$S19+$O19+9,$S19+$O19)</f>
        <v>42711001</v>
      </c>
      <c r="AC19" s="1" cm="1">
        <f t="array" ref="AC19">IF(INDEX($I$3:$L$22,MATCH($P19,$G$3:$G$22,0),$Q19)=AC$2,$S19+$O19+9,$S19+$O19)</f>
        <v>42711001</v>
      </c>
      <c r="AD19" s="1" cm="1">
        <f t="array" ref="AD19">IF(INDEX($I$3:$L$22,MATCH($P19,$G$3:$G$22,0),$Q19)=AD$2,$S19+$O19+9,$S19+$O19)</f>
        <v>42711001</v>
      </c>
      <c r="AE19" s="1" cm="1">
        <f t="array" ref="AE19">IF(INDEX($I$3:$L$22,MATCH($P19,$G$3:$G$22,0),$Q19)=AE$2,$S19+$O19+9,$S19+$O19)</f>
        <v>42711001</v>
      </c>
      <c r="AF19" s="1" cm="1">
        <f t="array" ref="AF19">IF(INDEX($I$3:$L$22,MATCH($P19,$G$3:$G$22,0),$Q19)=AF$2,$S19+$O19+9,$S19+$O19)</f>
        <v>42711010</v>
      </c>
      <c r="AG19" s="1" cm="1">
        <f t="array" ref="AG19">IF(INDEX($I$3:$L$22,MATCH($P19,$G$3:$G$22,0),$Q19)=AG$2,$S19+$O19+9,$S19+$O19)</f>
        <v>42711001</v>
      </c>
      <c r="AH19" s="1" cm="1">
        <f t="array" ref="AH19">IF(INDEX($I$3:$L$22,MATCH($P19,$G$3:$G$22,0),$Q19)=AH$2,$S19+$O19+9,$S19+$O19)</f>
        <v>42711001</v>
      </c>
      <c r="AI19" s="1" cm="1">
        <f t="array" ref="AI19">IF(INDEX($I$3:$L$22,MATCH($P19,$G$3:$G$22,0),$Q19)=AI$2,$S19+$O19+9,$S19+$O19)</f>
        <v>42711001</v>
      </c>
      <c r="AJ19" s="1" cm="1">
        <f t="array" ref="AJ19">IF(INDEX($I$3:$L$22,MATCH($P19,$G$3:$G$22,0),$Q19)=AJ$2,$S19+$O19+9,$S19+$O19)</f>
        <v>42711001</v>
      </c>
      <c r="AK19" s="1" cm="1">
        <f t="array" ref="AK19">IF(INDEX($I$3:$L$22,MATCH($P19,$G$3:$G$22,0),$Q19)=AK$2,$S19+$O19+9,$S19+$O19)</f>
        <v>42711001</v>
      </c>
      <c r="AL19" s="1" cm="1">
        <f t="array" ref="AL19">IF(INDEX($I$3:$L$22,MATCH($P19,$G$3:$G$22,0),$Q19)=AL$2,$S19+$O19+9,$S19+$O19)</f>
        <v>42711001</v>
      </c>
      <c r="AM19" s="1" cm="1">
        <f t="array" ref="AM19">IF(INDEX($I$3:$L$22,MATCH($P19,$G$3:$G$22,0),$Q19)=AM$2,$S19+$O19+9,$S19+$O19)</f>
        <v>42711001</v>
      </c>
      <c r="AN19" s="1" cm="1">
        <f t="array" ref="AN19">IF(INDEX($I$3:$L$22,MATCH($P19,$G$3:$G$22,0),$Q19)=AN$2,$S19+$O19+9,$S19+$O19)</f>
        <v>42711001</v>
      </c>
      <c r="AO19" s="1" cm="1">
        <f t="array" ref="AO19">IF(INDEX($I$3:$L$22,MATCH($P19,$G$3:$G$22,0),$Q19)=AO$2,$S19+$O19+9,$S19+$O19)</f>
        <v>42711001</v>
      </c>
      <c r="AP19" s="1" cm="1">
        <f t="array" ref="AP19">IF(INDEX($I$3:$L$22,MATCH($P19,$G$3:$G$22,0),$Q19)=AP$2,$S19+$O19+9,$S19+$O19)</f>
        <v>42711001</v>
      </c>
      <c r="AQ19" s="1" cm="1">
        <f t="array" ref="AQ19">IF(INDEX($I$3:$L$22,MATCH($P19,$G$3:$G$22,0),$Q19)=AQ$2,$S19+$O19+9,$S19+$O19)</f>
        <v>42711001</v>
      </c>
      <c r="AR19" s="1" cm="1">
        <f t="array" ref="AR19">IF(INDEX($I$3:$L$22,MATCH($P19,$G$3:$G$22,0),$Q19)=AR$2,$S19+$O19+9,$S19+$O19)</f>
        <v>42711001</v>
      </c>
      <c r="AS19" s="1" cm="1">
        <f t="array" ref="AS19">IF(INDEX($I$3:$L$22,MATCH($P19,$G$3:$G$22,0),$Q19)=AS$2,$S19+$O19+9,$S19+$O19)</f>
        <v>42711001</v>
      </c>
      <c r="AT19" s="1" cm="1">
        <f t="array" ref="AT19">IF(INDEX($I$3:$L$22,MATCH($P19,$G$3:$G$22,0),$Q19)=AT$2,$S19+$O19+9,$S19+$O19)</f>
        <v>42711001</v>
      </c>
      <c r="AU19" s="1" cm="1">
        <f t="array" ref="AU19">IF(INDEX($I$3:$L$22,MATCH($P19,$G$3:$G$22,0),$Q19)=AU$2,$S19+$O19+9,$S19+$O19)</f>
        <v>42711001</v>
      </c>
      <c r="AV19" s="1" cm="1">
        <f t="array" ref="AV19">IF(INDEX($I$3:$L$22,MATCH($P19,$G$3:$G$22,0),$Q19)=AV$2,$S19+$O19+9,$S19+$O19)</f>
        <v>42711001</v>
      </c>
      <c r="AW19" s="1" cm="1">
        <f t="array" ref="AW19">IF(INDEX($I$3:$L$22,MATCH($P19,$G$3:$G$22,0),$Q19)=AW$2,$S19+$O19+9,$S19+$O19)</f>
        <v>42711001</v>
      </c>
      <c r="AX19" s="1" cm="1">
        <f t="array" ref="AX19">IF(INDEX($I$3:$L$22,MATCH($P19,$G$3:$G$22,0),$Q19)=AX$2,$S19+$O19+9,$S19+$O19)</f>
        <v>42711001</v>
      </c>
      <c r="AY19" s="1" cm="1">
        <f t="array" ref="AY19">IF(INDEX($I$3:$L$22,MATCH($P19,$G$3:$G$22,0),$Q19)=AY$2,$S19+$O19+9,$S19+$O19)</f>
        <v>42711001</v>
      </c>
      <c r="AZ19" s="1" cm="1">
        <f t="array" ref="AZ19">IF(INDEX($I$3:$L$22,MATCH($P19,$G$3:$G$22,0),$Q19)=AZ$2,$S19+$O19+9,$S19+$O19)</f>
        <v>42711001</v>
      </c>
      <c r="BA19" s="1" cm="1">
        <f t="array" ref="BA19">IF(INDEX($I$3:$L$22,MATCH($P19,$G$3:$G$22,0),$Q19)=BA$2,$S19+$O19+9,$S19+$O19)</f>
        <v>42711001</v>
      </c>
      <c r="BB19" s="1" cm="1">
        <f t="array" ref="BB19">IF(INDEX($I$3:$L$22,MATCH($P19,$G$3:$G$22,0),$Q19)=BB$2,$S19+$O19+9,$S19+$O19)</f>
        <v>42711001</v>
      </c>
      <c r="BC19" s="1" cm="1">
        <f t="array" ref="BC19">IF(INDEX($I$3:$L$22,MATCH($P19,$G$3:$G$22,0),$Q19)=BC$2,$S19+$O19+9,$S19+$O19)</f>
        <v>42711001</v>
      </c>
      <c r="BD19" s="1" cm="1">
        <f t="array" ref="BD19">IF(INDEX($I$3:$L$22,MATCH($P19,$G$3:$G$22,0),$Q19)=BD$2,$S19+$O19+9,$S19+$O19)</f>
        <v>42711001</v>
      </c>
      <c r="BE19" s="1" cm="1">
        <f t="array" ref="BE19">IF(INDEX($I$3:$L$22,MATCH($P19,$G$3:$G$22,0),$Q19)=BE$2,$S19+$O19+9,$S19+$O19)</f>
        <v>42711001</v>
      </c>
      <c r="BF19" s="1" cm="1">
        <f t="array" ref="BF19">IF(INDEX($I$3:$L$22,MATCH($P19,$G$3:$G$22,0),$Q19)=BF$2,$S19+$O19+9,$S19+$O19)</f>
        <v>42711001</v>
      </c>
      <c r="BG19" s="1" cm="1">
        <f t="array" ref="BG19">IF(INDEX($I$3:$L$22,MATCH($P19,$G$3:$G$22,0),$Q19)=BG$2,$S19+$O19+9,$S19+$O19)</f>
        <v>42711001</v>
      </c>
      <c r="BH19" s="1" cm="1">
        <f t="array" ref="BH19">IF(INDEX($I$3:$L$22,MATCH($P19,$G$3:$G$22,0),$Q19)=BH$2,$S19+$O19+9,$S19+$O19)</f>
        <v>42711001</v>
      </c>
      <c r="BI19" s="1" cm="1">
        <f t="array" ref="BI19">IF(INDEX($I$3:$L$22,MATCH($P19,$G$3:$G$22,0),$Q19)=BI$2,$S19+$O19+9,$S19+$O19)</f>
        <v>42711001</v>
      </c>
      <c r="BJ19" s="1" cm="1">
        <f t="array" ref="BJ19">IF(INDEX($I$3:$L$22,MATCH($P19,$G$3:$G$22,0),$Q19)=BJ$2,$S19+$O19+9,$S19+$O19)</f>
        <v>42711001</v>
      </c>
      <c r="BK19" s="1" cm="1">
        <f t="array" ref="BK19">IF(INDEX($I$3:$L$22,MATCH($P19,$G$3:$G$22,0),$Q19)=BK$2,$S19+$O19+9,$S19+$O19)</f>
        <v>42711001</v>
      </c>
      <c r="BL19" s="1" cm="1">
        <f t="array" ref="BL19">IF(INDEX($I$3:$L$22,MATCH($P19,$G$3:$G$22,0),$Q19)=BL$2,$S19+$O19+9,$S19+$O19)</f>
        <v>42711001</v>
      </c>
      <c r="BM19" s="1" cm="1">
        <f t="array" ref="BM19">IF(INDEX($I$3:$L$22,MATCH($P19,$G$3:$G$22,0),$Q19)=BM$2,$S19+$O19+9,$S19+$O19)</f>
        <v>42711001</v>
      </c>
      <c r="BN19" s="1" cm="1">
        <f t="array" ref="BN19">IF(INDEX($I$3:$L$22,MATCH($P19,$G$3:$G$22,0),$Q19)=BN$2,$S19+$O19+9,$S19+$O19)</f>
        <v>42711001</v>
      </c>
      <c r="BO19" s="1" cm="1">
        <f t="array" ref="BO19">IF(INDEX($I$3:$L$22,MATCH($P19,$G$3:$G$22,0),$Q19)=BO$2,$S19+$O19+9,$S19+$O19)</f>
        <v>42711001</v>
      </c>
      <c r="BP19" s="1" cm="1">
        <f t="array" ref="BP19">IF(INDEX($I$3:$L$22,MATCH($P19,$G$3:$G$22,0),$Q19)=BP$2,$S19+$O19+9,$S19+$O19)</f>
        <v>42711001</v>
      </c>
      <c r="BQ19" s="1" cm="1">
        <f t="array" ref="BQ19">IF(INDEX($I$3:$L$22,MATCH($P19,$G$3:$G$22,0),$Q19)=BQ$2,$S19+$O19+9,$S19+$O19)</f>
        <v>42711001</v>
      </c>
      <c r="BR19" s="1" cm="1">
        <f t="array" ref="BR19">IF(INDEX($I$3:$L$22,MATCH($P19,$G$3:$G$22,0),$Q19)=BR$2,$S19+$O19+9,$S19+$O19)</f>
        <v>42711001</v>
      </c>
      <c r="BS19" s="1" cm="1">
        <f t="array" ref="BS19">IF(INDEX($I$3:$L$22,MATCH($P19,$G$3:$G$22,0),$Q19)=BS$2,$S19+$O19+9,$S19+$O19)</f>
        <v>42711001</v>
      </c>
      <c r="BT19" s="1" cm="1">
        <f t="array" ref="BT19">IF(INDEX($I$3:$L$22,MATCH($P19,$G$3:$G$22,0),$Q19)=BT$2,$S19+$O19+9,$S19+$O19)</f>
        <v>42711001</v>
      </c>
    </row>
    <row r="20" spans="1:72" x14ac:dyDescent="0.15">
      <c r="A20" s="1">
        <v>0</v>
      </c>
      <c r="B20" s="1" cm="1">
        <f t="array" aca="1" ref="B20:E20" ca="1">_xlfn.RANDARRAY(1,4,1,50,TRUE)</f>
        <v>33</v>
      </c>
      <c r="C20" s="1">
        <f ca="1"/>
        <v>43</v>
      </c>
      <c r="D20" s="1">
        <f ca="1"/>
        <v>18</v>
      </c>
      <c r="E20" s="1">
        <f ca="1"/>
        <v>10</v>
      </c>
      <c r="G20" s="1">
        <f t="shared" si="4"/>
        <v>402</v>
      </c>
      <c r="H20" s="1">
        <v>1</v>
      </c>
      <c r="I20" s="1">
        <v>50</v>
      </c>
      <c r="J20" s="1">
        <v>43</v>
      </c>
      <c r="K20" s="1">
        <v>7</v>
      </c>
      <c r="L20" s="1">
        <v>6</v>
      </c>
      <c r="N20" s="1">
        <v>30001</v>
      </c>
      <c r="O20" s="1">
        <v>1</v>
      </c>
      <c r="P20" s="1">
        <f t="shared" si="3"/>
        <v>104</v>
      </c>
      <c r="Q20" s="1">
        <v>2</v>
      </c>
      <c r="R20" s="1" t="s">
        <v>17</v>
      </c>
      <c r="S20" s="1">
        <v>42612000</v>
      </c>
      <c r="T20" s="1" t="str">
        <f t="shared" si="2"/>
        <v>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42612001,42612010,42612001,42612001,42612001,42612001,42612001</v>
      </c>
      <c r="W20" s="1" cm="1">
        <f t="array" ref="W20">IF(INDEX($I$3:$L$22,MATCH($P20,$G$3:$G$22,0),$Q20)=W$2,$S20+$O20+9,$S20+$O20)</f>
        <v>42612001</v>
      </c>
      <c r="X20" s="1" cm="1">
        <f t="array" ref="X20">IF(INDEX($I$3:$L$22,MATCH($P20,$G$3:$G$22,0),$Q20)=X$2,$S20+$O20+9,$S20+$O20)</f>
        <v>42612001</v>
      </c>
      <c r="Y20" s="1" cm="1">
        <f t="array" ref="Y20">IF(INDEX($I$3:$L$22,MATCH($P20,$G$3:$G$22,0),$Q20)=Y$2,$S20+$O20+9,$S20+$O20)</f>
        <v>42612001</v>
      </c>
      <c r="Z20" s="1" cm="1">
        <f t="array" ref="Z20">IF(INDEX($I$3:$L$22,MATCH($P20,$G$3:$G$22,0),$Q20)=Z$2,$S20+$O20+9,$S20+$O20)</f>
        <v>42612001</v>
      </c>
      <c r="AA20" s="1" cm="1">
        <f t="array" ref="AA20">IF(INDEX($I$3:$L$22,MATCH($P20,$G$3:$G$22,0),$Q20)=AA$2,$S20+$O20+9,$S20+$O20)</f>
        <v>42612001</v>
      </c>
      <c r="AB20" s="1" cm="1">
        <f t="array" ref="AB20">IF(INDEX($I$3:$L$22,MATCH($P20,$G$3:$G$22,0),$Q20)=AB$2,$S20+$O20+9,$S20+$O20)</f>
        <v>42612001</v>
      </c>
      <c r="AC20" s="1" cm="1">
        <f t="array" ref="AC20">IF(INDEX($I$3:$L$22,MATCH($P20,$G$3:$G$22,0),$Q20)=AC$2,$S20+$O20+9,$S20+$O20)</f>
        <v>42612001</v>
      </c>
      <c r="AD20" s="1" cm="1">
        <f t="array" ref="AD20">IF(INDEX($I$3:$L$22,MATCH($P20,$G$3:$G$22,0),$Q20)=AD$2,$S20+$O20+9,$S20+$O20)</f>
        <v>42612001</v>
      </c>
      <c r="AE20" s="1" cm="1">
        <f t="array" ref="AE20">IF(INDEX($I$3:$L$22,MATCH($P20,$G$3:$G$22,0),$Q20)=AE$2,$S20+$O20+9,$S20+$O20)</f>
        <v>42612001</v>
      </c>
      <c r="AF20" s="1" cm="1">
        <f t="array" ref="AF20">IF(INDEX($I$3:$L$22,MATCH($P20,$G$3:$G$22,0),$Q20)=AF$2,$S20+$O20+9,$S20+$O20)</f>
        <v>42612001</v>
      </c>
      <c r="AG20" s="1" cm="1">
        <f t="array" ref="AG20">IF(INDEX($I$3:$L$22,MATCH($P20,$G$3:$G$22,0),$Q20)=AG$2,$S20+$O20+9,$S20+$O20)</f>
        <v>42612001</v>
      </c>
      <c r="AH20" s="1" cm="1">
        <f t="array" ref="AH20">IF(INDEX($I$3:$L$22,MATCH($P20,$G$3:$G$22,0),$Q20)=AH$2,$S20+$O20+9,$S20+$O20)</f>
        <v>42612001</v>
      </c>
      <c r="AI20" s="1" cm="1">
        <f t="array" ref="AI20">IF(INDEX($I$3:$L$22,MATCH($P20,$G$3:$G$22,0),$Q20)=AI$2,$S20+$O20+9,$S20+$O20)</f>
        <v>42612001</v>
      </c>
      <c r="AJ20" s="1" cm="1">
        <f t="array" ref="AJ20">IF(INDEX($I$3:$L$22,MATCH($P20,$G$3:$G$22,0),$Q20)=AJ$2,$S20+$O20+9,$S20+$O20)</f>
        <v>42612001</v>
      </c>
      <c r="AK20" s="1" cm="1">
        <f t="array" ref="AK20">IF(INDEX($I$3:$L$22,MATCH($P20,$G$3:$G$22,0),$Q20)=AK$2,$S20+$O20+9,$S20+$O20)</f>
        <v>42612001</v>
      </c>
      <c r="AL20" s="1" cm="1">
        <f t="array" ref="AL20">IF(INDEX($I$3:$L$22,MATCH($P20,$G$3:$G$22,0),$Q20)=AL$2,$S20+$O20+9,$S20+$O20)</f>
        <v>42612001</v>
      </c>
      <c r="AM20" s="1" cm="1">
        <f t="array" ref="AM20">IF(INDEX($I$3:$L$22,MATCH($P20,$G$3:$G$22,0),$Q20)=AM$2,$S20+$O20+9,$S20+$O20)</f>
        <v>42612001</v>
      </c>
      <c r="AN20" s="1" cm="1">
        <f t="array" ref="AN20">IF(INDEX($I$3:$L$22,MATCH($P20,$G$3:$G$22,0),$Q20)=AN$2,$S20+$O20+9,$S20+$O20)</f>
        <v>42612001</v>
      </c>
      <c r="AO20" s="1" cm="1">
        <f t="array" ref="AO20">IF(INDEX($I$3:$L$22,MATCH($P20,$G$3:$G$22,0),$Q20)=AO$2,$S20+$O20+9,$S20+$O20)</f>
        <v>42612001</v>
      </c>
      <c r="AP20" s="1" cm="1">
        <f t="array" ref="AP20">IF(INDEX($I$3:$L$22,MATCH($P20,$G$3:$G$22,0),$Q20)=AP$2,$S20+$O20+9,$S20+$O20)</f>
        <v>42612001</v>
      </c>
      <c r="AQ20" s="1" cm="1">
        <f t="array" ref="AQ20">IF(INDEX($I$3:$L$22,MATCH($P20,$G$3:$G$22,0),$Q20)=AQ$2,$S20+$O20+9,$S20+$O20)</f>
        <v>42612001</v>
      </c>
      <c r="AR20" s="1" cm="1">
        <f t="array" ref="AR20">IF(INDEX($I$3:$L$22,MATCH($P20,$G$3:$G$22,0),$Q20)=AR$2,$S20+$O20+9,$S20+$O20)</f>
        <v>42612001</v>
      </c>
      <c r="AS20" s="1" cm="1">
        <f t="array" ref="AS20">IF(INDEX($I$3:$L$22,MATCH($P20,$G$3:$G$22,0),$Q20)=AS$2,$S20+$O20+9,$S20+$O20)</f>
        <v>42612001</v>
      </c>
      <c r="AT20" s="1" cm="1">
        <f t="array" ref="AT20">IF(INDEX($I$3:$L$22,MATCH($P20,$G$3:$G$22,0),$Q20)=AT$2,$S20+$O20+9,$S20+$O20)</f>
        <v>42612001</v>
      </c>
      <c r="AU20" s="1" cm="1">
        <f t="array" ref="AU20">IF(INDEX($I$3:$L$22,MATCH($P20,$G$3:$G$22,0),$Q20)=AU$2,$S20+$O20+9,$S20+$O20)</f>
        <v>42612001</v>
      </c>
      <c r="AV20" s="1" cm="1">
        <f t="array" ref="AV20">IF(INDEX($I$3:$L$22,MATCH($P20,$G$3:$G$22,0),$Q20)=AV$2,$S20+$O20+9,$S20+$O20)</f>
        <v>42612001</v>
      </c>
      <c r="AW20" s="1" cm="1">
        <f t="array" ref="AW20">IF(INDEX($I$3:$L$22,MATCH($P20,$G$3:$G$22,0),$Q20)=AW$2,$S20+$O20+9,$S20+$O20)</f>
        <v>42612001</v>
      </c>
      <c r="AX20" s="1" cm="1">
        <f t="array" ref="AX20">IF(INDEX($I$3:$L$22,MATCH($P20,$G$3:$G$22,0),$Q20)=AX$2,$S20+$O20+9,$S20+$O20)</f>
        <v>42612001</v>
      </c>
      <c r="AY20" s="1" cm="1">
        <f t="array" ref="AY20">IF(INDEX($I$3:$L$22,MATCH($P20,$G$3:$G$22,0),$Q20)=AY$2,$S20+$O20+9,$S20+$O20)</f>
        <v>42612001</v>
      </c>
      <c r="AZ20" s="1" cm="1">
        <f t="array" ref="AZ20">IF(INDEX($I$3:$L$22,MATCH($P20,$G$3:$G$22,0),$Q20)=AZ$2,$S20+$O20+9,$S20+$O20)</f>
        <v>42612001</v>
      </c>
      <c r="BA20" s="1" cm="1">
        <f t="array" ref="BA20">IF(INDEX($I$3:$L$22,MATCH($P20,$G$3:$G$22,0),$Q20)=BA$2,$S20+$O20+9,$S20+$O20)</f>
        <v>42612001</v>
      </c>
      <c r="BB20" s="1" cm="1">
        <f t="array" ref="BB20">IF(INDEX($I$3:$L$22,MATCH($P20,$G$3:$G$22,0),$Q20)=BB$2,$S20+$O20+9,$S20+$O20)</f>
        <v>42612001</v>
      </c>
      <c r="BC20" s="1" cm="1">
        <f t="array" ref="BC20">IF(INDEX($I$3:$L$22,MATCH($P20,$G$3:$G$22,0),$Q20)=BC$2,$S20+$O20+9,$S20+$O20)</f>
        <v>42612001</v>
      </c>
      <c r="BD20" s="1" cm="1">
        <f t="array" ref="BD20">IF(INDEX($I$3:$L$22,MATCH($P20,$G$3:$G$22,0),$Q20)=BD$2,$S20+$O20+9,$S20+$O20)</f>
        <v>42612001</v>
      </c>
      <c r="BE20" s="1" cm="1">
        <f t="array" ref="BE20">IF(INDEX($I$3:$L$22,MATCH($P20,$G$3:$G$22,0),$Q20)=BE$2,$S20+$O20+9,$S20+$O20)</f>
        <v>42612001</v>
      </c>
      <c r="BF20" s="1" cm="1">
        <f t="array" ref="BF20">IF(INDEX($I$3:$L$22,MATCH($P20,$G$3:$G$22,0),$Q20)=BF$2,$S20+$O20+9,$S20+$O20)</f>
        <v>42612001</v>
      </c>
      <c r="BG20" s="1" cm="1">
        <f t="array" ref="BG20">IF(INDEX($I$3:$L$22,MATCH($P20,$G$3:$G$22,0),$Q20)=BG$2,$S20+$O20+9,$S20+$O20)</f>
        <v>42612001</v>
      </c>
      <c r="BH20" s="1" cm="1">
        <f t="array" ref="BH20">IF(INDEX($I$3:$L$22,MATCH($P20,$G$3:$G$22,0),$Q20)=BH$2,$S20+$O20+9,$S20+$O20)</f>
        <v>42612001</v>
      </c>
      <c r="BI20" s="1" cm="1">
        <f t="array" ref="BI20">IF(INDEX($I$3:$L$22,MATCH($P20,$G$3:$G$22,0),$Q20)=BI$2,$S20+$O20+9,$S20+$O20)</f>
        <v>42612001</v>
      </c>
      <c r="BJ20" s="1" cm="1">
        <f t="array" ref="BJ20">IF(INDEX($I$3:$L$22,MATCH($P20,$G$3:$G$22,0),$Q20)=BJ$2,$S20+$O20+9,$S20+$O20)</f>
        <v>42612001</v>
      </c>
      <c r="BK20" s="1" cm="1">
        <f t="array" ref="BK20">IF(INDEX($I$3:$L$22,MATCH($P20,$G$3:$G$22,0),$Q20)=BK$2,$S20+$O20+9,$S20+$O20)</f>
        <v>42612001</v>
      </c>
      <c r="BL20" s="1" cm="1">
        <f t="array" ref="BL20">IF(INDEX($I$3:$L$22,MATCH($P20,$G$3:$G$22,0),$Q20)=BL$2,$S20+$O20+9,$S20+$O20)</f>
        <v>42612001</v>
      </c>
      <c r="BM20" s="1" cm="1">
        <f t="array" ref="BM20">IF(INDEX($I$3:$L$22,MATCH($P20,$G$3:$G$22,0),$Q20)=BM$2,$S20+$O20+9,$S20+$O20)</f>
        <v>42612001</v>
      </c>
      <c r="BN20" s="1" cm="1">
        <f t="array" ref="BN20">IF(INDEX($I$3:$L$22,MATCH($P20,$G$3:$G$22,0),$Q20)=BN$2,$S20+$O20+9,$S20+$O20)</f>
        <v>42612001</v>
      </c>
      <c r="BO20" s="1" cm="1">
        <f t="array" ref="BO20">IF(INDEX($I$3:$L$22,MATCH($P20,$G$3:$G$22,0),$Q20)=BO$2,$S20+$O20+9,$S20+$O20)</f>
        <v>42612010</v>
      </c>
      <c r="BP20" s="1" cm="1">
        <f t="array" ref="BP20">IF(INDEX($I$3:$L$22,MATCH($P20,$G$3:$G$22,0),$Q20)=BP$2,$S20+$O20+9,$S20+$O20)</f>
        <v>42612001</v>
      </c>
      <c r="BQ20" s="1" cm="1">
        <f t="array" ref="BQ20">IF(INDEX($I$3:$L$22,MATCH($P20,$G$3:$G$22,0),$Q20)=BQ$2,$S20+$O20+9,$S20+$O20)</f>
        <v>42612001</v>
      </c>
      <c r="BR20" s="1" cm="1">
        <f t="array" ref="BR20">IF(INDEX($I$3:$L$22,MATCH($P20,$G$3:$G$22,0),$Q20)=BR$2,$S20+$O20+9,$S20+$O20)</f>
        <v>42612001</v>
      </c>
      <c r="BS20" s="1" cm="1">
        <f t="array" ref="BS20">IF(INDEX($I$3:$L$22,MATCH($P20,$G$3:$G$22,0),$Q20)=BS$2,$S20+$O20+9,$S20+$O20)</f>
        <v>42612001</v>
      </c>
      <c r="BT20" s="1" cm="1">
        <f t="array" ref="BT20">IF(INDEX($I$3:$L$22,MATCH($P20,$G$3:$G$22,0),$Q20)=BT$2,$S20+$O20+9,$S20+$O20)</f>
        <v>42612001</v>
      </c>
    </row>
    <row r="21" spans="1:72" x14ac:dyDescent="0.15">
      <c r="A21" s="1">
        <v>0</v>
      </c>
      <c r="B21" s="1" cm="1">
        <f t="array" aca="1" ref="B21:E21" ca="1">_xlfn.RANDARRAY(1,4,1,50,TRUE)</f>
        <v>32</v>
      </c>
      <c r="C21" s="1">
        <f ca="1"/>
        <v>12</v>
      </c>
      <c r="D21" s="1">
        <f ca="1"/>
        <v>12</v>
      </c>
      <c r="E21" s="1">
        <f ca="1"/>
        <v>3</v>
      </c>
      <c r="G21" s="1">
        <f t="shared" si="4"/>
        <v>403</v>
      </c>
      <c r="H21" s="1">
        <v>1</v>
      </c>
      <c r="I21" s="1">
        <v>50</v>
      </c>
      <c r="J21" s="1">
        <v>48</v>
      </c>
      <c r="K21" s="1">
        <v>2</v>
      </c>
      <c r="L21" s="1">
        <v>38</v>
      </c>
      <c r="N21" s="1">
        <v>30001</v>
      </c>
      <c r="O21" s="1">
        <v>1</v>
      </c>
      <c r="P21" s="1">
        <f t="shared" si="3"/>
        <v>104</v>
      </c>
      <c r="Q21" s="1">
        <v>3</v>
      </c>
      <c r="R21" s="1" t="s">
        <v>16</v>
      </c>
      <c r="S21" s="1">
        <v>42713000</v>
      </c>
      <c r="T21" s="1" t="str">
        <f t="shared" si="2"/>
        <v>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42713001,42713010,42713001,42713001,42713001,42713001,42713001</v>
      </c>
      <c r="W21" s="1" cm="1">
        <f t="array" ref="W21">IF(INDEX($I$3:$L$22,MATCH($P21,$G$3:$G$22,0),$Q21)=W$2,$S21+$O21+9,$S21+$O21)</f>
        <v>42713001</v>
      </c>
      <c r="X21" s="1" cm="1">
        <f t="array" ref="X21">IF(INDEX($I$3:$L$22,MATCH($P21,$G$3:$G$22,0),$Q21)=X$2,$S21+$O21+9,$S21+$O21)</f>
        <v>42713001</v>
      </c>
      <c r="Y21" s="1" cm="1">
        <f t="array" ref="Y21">IF(INDEX($I$3:$L$22,MATCH($P21,$G$3:$G$22,0),$Q21)=Y$2,$S21+$O21+9,$S21+$O21)</f>
        <v>42713001</v>
      </c>
      <c r="Z21" s="1" cm="1">
        <f t="array" ref="Z21">IF(INDEX($I$3:$L$22,MATCH($P21,$G$3:$G$22,0),$Q21)=Z$2,$S21+$O21+9,$S21+$O21)</f>
        <v>42713001</v>
      </c>
      <c r="AA21" s="1" cm="1">
        <f t="array" ref="AA21">IF(INDEX($I$3:$L$22,MATCH($P21,$G$3:$G$22,0),$Q21)=AA$2,$S21+$O21+9,$S21+$O21)</f>
        <v>42713001</v>
      </c>
      <c r="AB21" s="1" cm="1">
        <f t="array" ref="AB21">IF(INDEX($I$3:$L$22,MATCH($P21,$G$3:$G$22,0),$Q21)=AB$2,$S21+$O21+9,$S21+$O21)</f>
        <v>42713001</v>
      </c>
      <c r="AC21" s="1" cm="1">
        <f t="array" ref="AC21">IF(INDEX($I$3:$L$22,MATCH($P21,$G$3:$G$22,0),$Q21)=AC$2,$S21+$O21+9,$S21+$O21)</f>
        <v>42713001</v>
      </c>
      <c r="AD21" s="1" cm="1">
        <f t="array" ref="AD21">IF(INDEX($I$3:$L$22,MATCH($P21,$G$3:$G$22,0),$Q21)=AD$2,$S21+$O21+9,$S21+$O21)</f>
        <v>42713001</v>
      </c>
      <c r="AE21" s="1" cm="1">
        <f t="array" ref="AE21">IF(INDEX($I$3:$L$22,MATCH($P21,$G$3:$G$22,0),$Q21)=AE$2,$S21+$O21+9,$S21+$O21)</f>
        <v>42713001</v>
      </c>
      <c r="AF21" s="1" cm="1">
        <f t="array" ref="AF21">IF(INDEX($I$3:$L$22,MATCH($P21,$G$3:$G$22,0),$Q21)=AF$2,$S21+$O21+9,$S21+$O21)</f>
        <v>42713001</v>
      </c>
      <c r="AG21" s="1" cm="1">
        <f t="array" ref="AG21">IF(INDEX($I$3:$L$22,MATCH($P21,$G$3:$G$22,0),$Q21)=AG$2,$S21+$O21+9,$S21+$O21)</f>
        <v>42713001</v>
      </c>
      <c r="AH21" s="1" cm="1">
        <f t="array" ref="AH21">IF(INDEX($I$3:$L$22,MATCH($P21,$G$3:$G$22,0),$Q21)=AH$2,$S21+$O21+9,$S21+$O21)</f>
        <v>42713001</v>
      </c>
      <c r="AI21" s="1" cm="1">
        <f t="array" ref="AI21">IF(INDEX($I$3:$L$22,MATCH($P21,$G$3:$G$22,0),$Q21)=AI$2,$S21+$O21+9,$S21+$O21)</f>
        <v>42713001</v>
      </c>
      <c r="AJ21" s="1" cm="1">
        <f t="array" ref="AJ21">IF(INDEX($I$3:$L$22,MATCH($P21,$G$3:$G$22,0),$Q21)=AJ$2,$S21+$O21+9,$S21+$O21)</f>
        <v>42713001</v>
      </c>
      <c r="AK21" s="1" cm="1">
        <f t="array" ref="AK21">IF(INDEX($I$3:$L$22,MATCH($P21,$G$3:$G$22,0),$Q21)=AK$2,$S21+$O21+9,$S21+$O21)</f>
        <v>42713001</v>
      </c>
      <c r="AL21" s="1" cm="1">
        <f t="array" ref="AL21">IF(INDEX($I$3:$L$22,MATCH($P21,$G$3:$G$22,0),$Q21)=AL$2,$S21+$O21+9,$S21+$O21)</f>
        <v>42713001</v>
      </c>
      <c r="AM21" s="1" cm="1">
        <f t="array" ref="AM21">IF(INDEX($I$3:$L$22,MATCH($P21,$G$3:$G$22,0),$Q21)=AM$2,$S21+$O21+9,$S21+$O21)</f>
        <v>42713001</v>
      </c>
      <c r="AN21" s="1" cm="1">
        <f t="array" ref="AN21">IF(INDEX($I$3:$L$22,MATCH($P21,$G$3:$G$22,0),$Q21)=AN$2,$S21+$O21+9,$S21+$O21)</f>
        <v>42713001</v>
      </c>
      <c r="AO21" s="1" cm="1">
        <f t="array" ref="AO21">IF(INDEX($I$3:$L$22,MATCH($P21,$G$3:$G$22,0),$Q21)=AO$2,$S21+$O21+9,$S21+$O21)</f>
        <v>42713001</v>
      </c>
      <c r="AP21" s="1" cm="1">
        <f t="array" ref="AP21">IF(INDEX($I$3:$L$22,MATCH($P21,$G$3:$G$22,0),$Q21)=AP$2,$S21+$O21+9,$S21+$O21)</f>
        <v>42713001</v>
      </c>
      <c r="AQ21" s="1" cm="1">
        <f t="array" ref="AQ21">IF(INDEX($I$3:$L$22,MATCH($P21,$G$3:$G$22,0),$Q21)=AQ$2,$S21+$O21+9,$S21+$O21)</f>
        <v>42713001</v>
      </c>
      <c r="AR21" s="1" cm="1">
        <f t="array" ref="AR21">IF(INDEX($I$3:$L$22,MATCH($P21,$G$3:$G$22,0),$Q21)=AR$2,$S21+$O21+9,$S21+$O21)</f>
        <v>42713001</v>
      </c>
      <c r="AS21" s="1" cm="1">
        <f t="array" ref="AS21">IF(INDEX($I$3:$L$22,MATCH($P21,$G$3:$G$22,0),$Q21)=AS$2,$S21+$O21+9,$S21+$O21)</f>
        <v>42713001</v>
      </c>
      <c r="AT21" s="1" cm="1">
        <f t="array" ref="AT21">IF(INDEX($I$3:$L$22,MATCH($P21,$G$3:$G$22,0),$Q21)=AT$2,$S21+$O21+9,$S21+$O21)</f>
        <v>42713001</v>
      </c>
      <c r="AU21" s="1" cm="1">
        <f t="array" ref="AU21">IF(INDEX($I$3:$L$22,MATCH($P21,$G$3:$G$22,0),$Q21)=AU$2,$S21+$O21+9,$S21+$O21)</f>
        <v>42713001</v>
      </c>
      <c r="AV21" s="1" cm="1">
        <f t="array" ref="AV21">IF(INDEX($I$3:$L$22,MATCH($P21,$G$3:$G$22,0),$Q21)=AV$2,$S21+$O21+9,$S21+$O21)</f>
        <v>42713001</v>
      </c>
      <c r="AW21" s="1" cm="1">
        <f t="array" ref="AW21">IF(INDEX($I$3:$L$22,MATCH($P21,$G$3:$G$22,0),$Q21)=AW$2,$S21+$O21+9,$S21+$O21)</f>
        <v>42713001</v>
      </c>
      <c r="AX21" s="1" cm="1">
        <f t="array" ref="AX21">IF(INDEX($I$3:$L$22,MATCH($P21,$G$3:$G$22,0),$Q21)=AX$2,$S21+$O21+9,$S21+$O21)</f>
        <v>42713001</v>
      </c>
      <c r="AY21" s="1" cm="1">
        <f t="array" ref="AY21">IF(INDEX($I$3:$L$22,MATCH($P21,$G$3:$G$22,0),$Q21)=AY$2,$S21+$O21+9,$S21+$O21)</f>
        <v>42713001</v>
      </c>
      <c r="AZ21" s="1" cm="1">
        <f t="array" ref="AZ21">IF(INDEX($I$3:$L$22,MATCH($P21,$G$3:$G$22,0),$Q21)=AZ$2,$S21+$O21+9,$S21+$O21)</f>
        <v>42713001</v>
      </c>
      <c r="BA21" s="1" cm="1">
        <f t="array" ref="BA21">IF(INDEX($I$3:$L$22,MATCH($P21,$G$3:$G$22,0),$Q21)=BA$2,$S21+$O21+9,$S21+$O21)</f>
        <v>42713001</v>
      </c>
      <c r="BB21" s="1" cm="1">
        <f t="array" ref="BB21">IF(INDEX($I$3:$L$22,MATCH($P21,$G$3:$G$22,0),$Q21)=BB$2,$S21+$O21+9,$S21+$O21)</f>
        <v>42713001</v>
      </c>
      <c r="BC21" s="1" cm="1">
        <f t="array" ref="BC21">IF(INDEX($I$3:$L$22,MATCH($P21,$G$3:$G$22,0),$Q21)=BC$2,$S21+$O21+9,$S21+$O21)</f>
        <v>42713001</v>
      </c>
      <c r="BD21" s="1" cm="1">
        <f t="array" ref="BD21">IF(INDEX($I$3:$L$22,MATCH($P21,$G$3:$G$22,0),$Q21)=BD$2,$S21+$O21+9,$S21+$O21)</f>
        <v>42713001</v>
      </c>
      <c r="BE21" s="1" cm="1">
        <f t="array" ref="BE21">IF(INDEX($I$3:$L$22,MATCH($P21,$G$3:$G$22,0),$Q21)=BE$2,$S21+$O21+9,$S21+$O21)</f>
        <v>42713001</v>
      </c>
      <c r="BF21" s="1" cm="1">
        <f t="array" ref="BF21">IF(INDEX($I$3:$L$22,MATCH($P21,$G$3:$G$22,0),$Q21)=BF$2,$S21+$O21+9,$S21+$O21)</f>
        <v>42713001</v>
      </c>
      <c r="BG21" s="1" cm="1">
        <f t="array" ref="BG21">IF(INDEX($I$3:$L$22,MATCH($P21,$G$3:$G$22,0),$Q21)=BG$2,$S21+$O21+9,$S21+$O21)</f>
        <v>42713001</v>
      </c>
      <c r="BH21" s="1" cm="1">
        <f t="array" ref="BH21">IF(INDEX($I$3:$L$22,MATCH($P21,$G$3:$G$22,0),$Q21)=BH$2,$S21+$O21+9,$S21+$O21)</f>
        <v>42713001</v>
      </c>
      <c r="BI21" s="1" cm="1">
        <f t="array" ref="BI21">IF(INDEX($I$3:$L$22,MATCH($P21,$G$3:$G$22,0),$Q21)=BI$2,$S21+$O21+9,$S21+$O21)</f>
        <v>42713001</v>
      </c>
      <c r="BJ21" s="1" cm="1">
        <f t="array" ref="BJ21">IF(INDEX($I$3:$L$22,MATCH($P21,$G$3:$G$22,0),$Q21)=BJ$2,$S21+$O21+9,$S21+$O21)</f>
        <v>42713001</v>
      </c>
      <c r="BK21" s="1" cm="1">
        <f t="array" ref="BK21">IF(INDEX($I$3:$L$22,MATCH($P21,$G$3:$G$22,0),$Q21)=BK$2,$S21+$O21+9,$S21+$O21)</f>
        <v>42713001</v>
      </c>
      <c r="BL21" s="1" cm="1">
        <f t="array" ref="BL21">IF(INDEX($I$3:$L$22,MATCH($P21,$G$3:$G$22,0),$Q21)=BL$2,$S21+$O21+9,$S21+$O21)</f>
        <v>42713001</v>
      </c>
      <c r="BM21" s="1" cm="1">
        <f t="array" ref="BM21">IF(INDEX($I$3:$L$22,MATCH($P21,$G$3:$G$22,0),$Q21)=BM$2,$S21+$O21+9,$S21+$O21)</f>
        <v>42713001</v>
      </c>
      <c r="BN21" s="1" cm="1">
        <f t="array" ref="BN21">IF(INDEX($I$3:$L$22,MATCH($P21,$G$3:$G$22,0),$Q21)=BN$2,$S21+$O21+9,$S21+$O21)</f>
        <v>42713001</v>
      </c>
      <c r="BO21" s="1" cm="1">
        <f t="array" ref="BO21">IF(INDEX($I$3:$L$22,MATCH($P21,$G$3:$G$22,0),$Q21)=BO$2,$S21+$O21+9,$S21+$O21)</f>
        <v>42713010</v>
      </c>
      <c r="BP21" s="1" cm="1">
        <f t="array" ref="BP21">IF(INDEX($I$3:$L$22,MATCH($P21,$G$3:$G$22,0),$Q21)=BP$2,$S21+$O21+9,$S21+$O21)</f>
        <v>42713001</v>
      </c>
      <c r="BQ21" s="1" cm="1">
        <f t="array" ref="BQ21">IF(INDEX($I$3:$L$22,MATCH($P21,$G$3:$G$22,0),$Q21)=BQ$2,$S21+$O21+9,$S21+$O21)</f>
        <v>42713001</v>
      </c>
      <c r="BR21" s="1" cm="1">
        <f t="array" ref="BR21">IF(INDEX($I$3:$L$22,MATCH($P21,$G$3:$G$22,0),$Q21)=BR$2,$S21+$O21+9,$S21+$O21)</f>
        <v>42713001</v>
      </c>
      <c r="BS21" s="1" cm="1">
        <f t="array" ref="BS21">IF(INDEX($I$3:$L$22,MATCH($P21,$G$3:$G$22,0),$Q21)=BS$2,$S21+$O21+9,$S21+$O21)</f>
        <v>42713001</v>
      </c>
      <c r="BT21" s="1" cm="1">
        <f t="array" ref="BT21">IF(INDEX($I$3:$L$22,MATCH($P21,$G$3:$G$22,0),$Q21)=BT$2,$S21+$O21+9,$S21+$O21)</f>
        <v>42713001</v>
      </c>
    </row>
    <row r="22" spans="1:72" x14ac:dyDescent="0.15">
      <c r="A22" s="1">
        <v>0</v>
      </c>
      <c r="B22" s="1" cm="1">
        <f t="array" aca="1" ref="B22:E22" ca="1">_xlfn.RANDARRAY(1,4,1,50,TRUE)</f>
        <v>1</v>
      </c>
      <c r="C22" s="1">
        <f ca="1"/>
        <v>49</v>
      </c>
      <c r="D22" s="1">
        <f ca="1"/>
        <v>30</v>
      </c>
      <c r="E22" s="1">
        <f ca="1"/>
        <v>33</v>
      </c>
      <c r="G22" s="1">
        <f t="shared" si="4"/>
        <v>404</v>
      </c>
      <c r="H22" s="1">
        <v>1</v>
      </c>
      <c r="I22" s="1">
        <v>49</v>
      </c>
      <c r="J22" s="1">
        <v>30</v>
      </c>
      <c r="K22" s="1">
        <v>21</v>
      </c>
      <c r="L22" s="1">
        <v>37</v>
      </c>
      <c r="N22" s="1">
        <v>30001</v>
      </c>
      <c r="O22" s="1">
        <v>1</v>
      </c>
      <c r="P22" s="1">
        <f t="shared" si="3"/>
        <v>104</v>
      </c>
      <c r="Q22" s="1">
        <v>4</v>
      </c>
      <c r="R22" s="1" t="s">
        <v>15</v>
      </c>
      <c r="S22" s="1">
        <v>42716000</v>
      </c>
      <c r="T22" s="1" t="str">
        <f t="shared" si="2"/>
        <v>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42716001,42716010,42716001</v>
      </c>
      <c r="W22" s="1" cm="1">
        <f t="array" ref="W22">IF(INDEX($I$3:$L$22,MATCH($P22,$G$3:$G$22,0),$Q22)=W$2,$S22+$O22+9,$S22+$O22)</f>
        <v>42716001</v>
      </c>
      <c r="X22" s="1" cm="1">
        <f t="array" ref="X22">IF(INDEX($I$3:$L$22,MATCH($P22,$G$3:$G$22,0),$Q22)=X$2,$S22+$O22+9,$S22+$O22)</f>
        <v>42716001</v>
      </c>
      <c r="Y22" s="1" cm="1">
        <f t="array" ref="Y22">IF(INDEX($I$3:$L$22,MATCH($P22,$G$3:$G$22,0),$Q22)=Y$2,$S22+$O22+9,$S22+$O22)</f>
        <v>42716001</v>
      </c>
      <c r="Z22" s="1" cm="1">
        <f t="array" ref="Z22">IF(INDEX($I$3:$L$22,MATCH($P22,$G$3:$G$22,0),$Q22)=Z$2,$S22+$O22+9,$S22+$O22)</f>
        <v>42716001</v>
      </c>
      <c r="AA22" s="1" cm="1">
        <f t="array" ref="AA22">IF(INDEX($I$3:$L$22,MATCH($P22,$G$3:$G$22,0),$Q22)=AA$2,$S22+$O22+9,$S22+$O22)</f>
        <v>42716001</v>
      </c>
      <c r="AB22" s="1" cm="1">
        <f t="array" ref="AB22">IF(INDEX($I$3:$L$22,MATCH($P22,$G$3:$G$22,0),$Q22)=AB$2,$S22+$O22+9,$S22+$O22)</f>
        <v>42716001</v>
      </c>
      <c r="AC22" s="1" cm="1">
        <f t="array" ref="AC22">IF(INDEX($I$3:$L$22,MATCH($P22,$G$3:$G$22,0),$Q22)=AC$2,$S22+$O22+9,$S22+$O22)</f>
        <v>42716001</v>
      </c>
      <c r="AD22" s="1" cm="1">
        <f t="array" ref="AD22">IF(INDEX($I$3:$L$22,MATCH($P22,$G$3:$G$22,0),$Q22)=AD$2,$S22+$O22+9,$S22+$O22)</f>
        <v>42716001</v>
      </c>
      <c r="AE22" s="1" cm="1">
        <f t="array" ref="AE22">IF(INDEX($I$3:$L$22,MATCH($P22,$G$3:$G$22,0),$Q22)=AE$2,$S22+$O22+9,$S22+$O22)</f>
        <v>42716001</v>
      </c>
      <c r="AF22" s="1" cm="1">
        <f t="array" ref="AF22">IF(INDEX($I$3:$L$22,MATCH($P22,$G$3:$G$22,0),$Q22)=AF$2,$S22+$O22+9,$S22+$O22)</f>
        <v>42716001</v>
      </c>
      <c r="AG22" s="1" cm="1">
        <f t="array" ref="AG22">IF(INDEX($I$3:$L$22,MATCH($P22,$G$3:$G$22,0),$Q22)=AG$2,$S22+$O22+9,$S22+$O22)</f>
        <v>42716001</v>
      </c>
      <c r="AH22" s="1" cm="1">
        <f t="array" ref="AH22">IF(INDEX($I$3:$L$22,MATCH($P22,$G$3:$G$22,0),$Q22)=AH$2,$S22+$O22+9,$S22+$O22)</f>
        <v>42716001</v>
      </c>
      <c r="AI22" s="1" cm="1">
        <f t="array" ref="AI22">IF(INDEX($I$3:$L$22,MATCH($P22,$G$3:$G$22,0),$Q22)=AI$2,$S22+$O22+9,$S22+$O22)</f>
        <v>42716001</v>
      </c>
      <c r="AJ22" s="1" cm="1">
        <f t="array" ref="AJ22">IF(INDEX($I$3:$L$22,MATCH($P22,$G$3:$G$22,0),$Q22)=AJ$2,$S22+$O22+9,$S22+$O22)</f>
        <v>42716001</v>
      </c>
      <c r="AK22" s="1" cm="1">
        <f t="array" ref="AK22">IF(INDEX($I$3:$L$22,MATCH($P22,$G$3:$G$22,0),$Q22)=AK$2,$S22+$O22+9,$S22+$O22)</f>
        <v>42716001</v>
      </c>
      <c r="AL22" s="1" cm="1">
        <f t="array" ref="AL22">IF(INDEX($I$3:$L$22,MATCH($P22,$G$3:$G$22,0),$Q22)=AL$2,$S22+$O22+9,$S22+$O22)</f>
        <v>42716001</v>
      </c>
      <c r="AM22" s="1" cm="1">
        <f t="array" ref="AM22">IF(INDEX($I$3:$L$22,MATCH($P22,$G$3:$G$22,0),$Q22)=AM$2,$S22+$O22+9,$S22+$O22)</f>
        <v>42716001</v>
      </c>
      <c r="AN22" s="1" cm="1">
        <f t="array" ref="AN22">IF(INDEX($I$3:$L$22,MATCH($P22,$G$3:$G$22,0),$Q22)=AN$2,$S22+$O22+9,$S22+$O22)</f>
        <v>42716001</v>
      </c>
      <c r="AO22" s="1" cm="1">
        <f t="array" ref="AO22">IF(INDEX($I$3:$L$22,MATCH($P22,$G$3:$G$22,0),$Q22)=AO$2,$S22+$O22+9,$S22+$O22)</f>
        <v>42716001</v>
      </c>
      <c r="AP22" s="1" cm="1">
        <f t="array" ref="AP22">IF(INDEX($I$3:$L$22,MATCH($P22,$G$3:$G$22,0),$Q22)=AP$2,$S22+$O22+9,$S22+$O22)</f>
        <v>42716001</v>
      </c>
      <c r="AQ22" s="1" cm="1">
        <f t="array" ref="AQ22">IF(INDEX($I$3:$L$22,MATCH($P22,$G$3:$G$22,0),$Q22)=AQ$2,$S22+$O22+9,$S22+$O22)</f>
        <v>42716001</v>
      </c>
      <c r="AR22" s="1" cm="1">
        <f t="array" ref="AR22">IF(INDEX($I$3:$L$22,MATCH($P22,$G$3:$G$22,0),$Q22)=AR$2,$S22+$O22+9,$S22+$O22)</f>
        <v>42716001</v>
      </c>
      <c r="AS22" s="1" cm="1">
        <f t="array" ref="AS22">IF(INDEX($I$3:$L$22,MATCH($P22,$G$3:$G$22,0),$Q22)=AS$2,$S22+$O22+9,$S22+$O22)</f>
        <v>42716001</v>
      </c>
      <c r="AT22" s="1" cm="1">
        <f t="array" ref="AT22">IF(INDEX($I$3:$L$22,MATCH($P22,$G$3:$G$22,0),$Q22)=AT$2,$S22+$O22+9,$S22+$O22)</f>
        <v>42716001</v>
      </c>
      <c r="AU22" s="1" cm="1">
        <f t="array" ref="AU22">IF(INDEX($I$3:$L$22,MATCH($P22,$G$3:$G$22,0),$Q22)=AU$2,$S22+$O22+9,$S22+$O22)</f>
        <v>42716001</v>
      </c>
      <c r="AV22" s="1" cm="1">
        <f t="array" ref="AV22">IF(INDEX($I$3:$L$22,MATCH($P22,$G$3:$G$22,0),$Q22)=AV$2,$S22+$O22+9,$S22+$O22)</f>
        <v>42716001</v>
      </c>
      <c r="AW22" s="1" cm="1">
        <f t="array" ref="AW22">IF(INDEX($I$3:$L$22,MATCH($P22,$G$3:$G$22,0),$Q22)=AW$2,$S22+$O22+9,$S22+$O22)</f>
        <v>42716001</v>
      </c>
      <c r="AX22" s="1" cm="1">
        <f t="array" ref="AX22">IF(INDEX($I$3:$L$22,MATCH($P22,$G$3:$G$22,0),$Q22)=AX$2,$S22+$O22+9,$S22+$O22)</f>
        <v>42716001</v>
      </c>
      <c r="AY22" s="1" cm="1">
        <f t="array" ref="AY22">IF(INDEX($I$3:$L$22,MATCH($P22,$G$3:$G$22,0),$Q22)=AY$2,$S22+$O22+9,$S22+$O22)</f>
        <v>42716001</v>
      </c>
      <c r="AZ22" s="1" cm="1">
        <f t="array" ref="AZ22">IF(INDEX($I$3:$L$22,MATCH($P22,$G$3:$G$22,0),$Q22)=AZ$2,$S22+$O22+9,$S22+$O22)</f>
        <v>42716001</v>
      </c>
      <c r="BA22" s="1" cm="1">
        <f t="array" ref="BA22">IF(INDEX($I$3:$L$22,MATCH($P22,$G$3:$G$22,0),$Q22)=BA$2,$S22+$O22+9,$S22+$O22)</f>
        <v>42716001</v>
      </c>
      <c r="BB22" s="1" cm="1">
        <f t="array" ref="BB22">IF(INDEX($I$3:$L$22,MATCH($P22,$G$3:$G$22,0),$Q22)=BB$2,$S22+$O22+9,$S22+$O22)</f>
        <v>42716001</v>
      </c>
      <c r="BC22" s="1" cm="1">
        <f t="array" ref="BC22">IF(INDEX($I$3:$L$22,MATCH($P22,$G$3:$G$22,0),$Q22)=BC$2,$S22+$O22+9,$S22+$O22)</f>
        <v>42716001</v>
      </c>
      <c r="BD22" s="1" cm="1">
        <f t="array" ref="BD22">IF(INDEX($I$3:$L$22,MATCH($P22,$G$3:$G$22,0),$Q22)=BD$2,$S22+$O22+9,$S22+$O22)</f>
        <v>42716001</v>
      </c>
      <c r="BE22" s="1" cm="1">
        <f t="array" ref="BE22">IF(INDEX($I$3:$L$22,MATCH($P22,$G$3:$G$22,0),$Q22)=BE$2,$S22+$O22+9,$S22+$O22)</f>
        <v>42716001</v>
      </c>
      <c r="BF22" s="1" cm="1">
        <f t="array" ref="BF22">IF(INDEX($I$3:$L$22,MATCH($P22,$G$3:$G$22,0),$Q22)=BF$2,$S22+$O22+9,$S22+$O22)</f>
        <v>42716001</v>
      </c>
      <c r="BG22" s="1" cm="1">
        <f t="array" ref="BG22">IF(INDEX($I$3:$L$22,MATCH($P22,$G$3:$G$22,0),$Q22)=BG$2,$S22+$O22+9,$S22+$O22)</f>
        <v>42716001</v>
      </c>
      <c r="BH22" s="1" cm="1">
        <f t="array" ref="BH22">IF(INDEX($I$3:$L$22,MATCH($P22,$G$3:$G$22,0),$Q22)=BH$2,$S22+$O22+9,$S22+$O22)</f>
        <v>42716001</v>
      </c>
      <c r="BI22" s="1" cm="1">
        <f t="array" ref="BI22">IF(INDEX($I$3:$L$22,MATCH($P22,$G$3:$G$22,0),$Q22)=BI$2,$S22+$O22+9,$S22+$O22)</f>
        <v>42716001</v>
      </c>
      <c r="BJ22" s="1" cm="1">
        <f t="array" ref="BJ22">IF(INDEX($I$3:$L$22,MATCH($P22,$G$3:$G$22,0),$Q22)=BJ$2,$S22+$O22+9,$S22+$O22)</f>
        <v>42716001</v>
      </c>
      <c r="BK22" s="1" cm="1">
        <f t="array" ref="BK22">IF(INDEX($I$3:$L$22,MATCH($P22,$G$3:$G$22,0),$Q22)=BK$2,$S22+$O22+9,$S22+$O22)</f>
        <v>42716001</v>
      </c>
      <c r="BL22" s="1" cm="1">
        <f t="array" ref="BL22">IF(INDEX($I$3:$L$22,MATCH($P22,$G$3:$G$22,0),$Q22)=BL$2,$S22+$O22+9,$S22+$O22)</f>
        <v>42716001</v>
      </c>
      <c r="BM22" s="1" cm="1">
        <f t="array" ref="BM22">IF(INDEX($I$3:$L$22,MATCH($P22,$G$3:$G$22,0),$Q22)=BM$2,$S22+$O22+9,$S22+$O22)</f>
        <v>42716001</v>
      </c>
      <c r="BN22" s="1" cm="1">
        <f t="array" ref="BN22">IF(INDEX($I$3:$L$22,MATCH($P22,$G$3:$G$22,0),$Q22)=BN$2,$S22+$O22+9,$S22+$O22)</f>
        <v>42716001</v>
      </c>
      <c r="BO22" s="1" cm="1">
        <f t="array" ref="BO22">IF(INDEX($I$3:$L$22,MATCH($P22,$G$3:$G$22,0),$Q22)=BO$2,$S22+$O22+9,$S22+$O22)</f>
        <v>42716001</v>
      </c>
      <c r="BP22" s="1" cm="1">
        <f t="array" ref="BP22">IF(INDEX($I$3:$L$22,MATCH($P22,$G$3:$G$22,0),$Q22)=BP$2,$S22+$O22+9,$S22+$O22)</f>
        <v>42716001</v>
      </c>
      <c r="BQ22" s="1" cm="1">
        <f t="array" ref="BQ22">IF(INDEX($I$3:$L$22,MATCH($P22,$G$3:$G$22,0),$Q22)=BQ$2,$S22+$O22+9,$S22+$O22)</f>
        <v>42716001</v>
      </c>
      <c r="BR22" s="1" cm="1">
        <f t="array" ref="BR22">IF(INDEX($I$3:$L$22,MATCH($P22,$G$3:$G$22,0),$Q22)=BR$2,$S22+$O22+9,$S22+$O22)</f>
        <v>42716001</v>
      </c>
      <c r="BS22" s="1" cm="1">
        <f t="array" ref="BS22">IF(INDEX($I$3:$L$22,MATCH($P22,$G$3:$G$22,0),$Q22)=BS$2,$S22+$O22+9,$S22+$O22)</f>
        <v>42716010</v>
      </c>
      <c r="BT22" s="1" cm="1">
        <f t="array" ref="BT22">IF(INDEX($I$3:$L$22,MATCH($P22,$G$3:$G$22,0),$Q22)=BT$2,$S22+$O22+9,$S22+$O22)</f>
        <v>42716001</v>
      </c>
    </row>
    <row r="23" spans="1:72" x14ac:dyDescent="0.15">
      <c r="A23" s="1">
        <v>0</v>
      </c>
      <c r="B23" s="1" cm="1">
        <f t="array" aca="1" ref="B23:E23" ca="1">_xlfn.RANDARRAY(1,4,1,50,TRUE)</f>
        <v>6</v>
      </c>
      <c r="C23" s="1">
        <f ca="1"/>
        <v>46</v>
      </c>
      <c r="D23" s="1">
        <f ca="1"/>
        <v>15</v>
      </c>
      <c r="E23" s="1">
        <f ca="1"/>
        <v>46</v>
      </c>
      <c r="N23" s="1">
        <v>40001</v>
      </c>
      <c r="O23" s="1">
        <f t="shared" ref="O23:O54" si="5">O3+10</f>
        <v>11</v>
      </c>
      <c r="P23" s="1">
        <f t="shared" ref="P23:P54" si="6">P3+100</f>
        <v>200</v>
      </c>
      <c r="Q23" s="1">
        <f t="shared" ref="Q23:Q54" si="7">Q3</f>
        <v>1</v>
      </c>
      <c r="R23" s="1" t="s">
        <v>18</v>
      </c>
      <c r="S23" s="1">
        <v>42711000</v>
      </c>
      <c r="T23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3" s="1" cm="1">
        <f t="array" ref="W23">IF(INDEX($I$3:$L$22,MATCH($P23,$G$3:$G$22,0),$Q23)=W$2,$S23+$O23+9,$S23+$O23)</f>
        <v>42711011</v>
      </c>
      <c r="X23" s="1" cm="1">
        <f t="array" ref="X23">IF(INDEX($I$3:$L$22,MATCH($P23,$G$3:$G$22,0),$Q23)=X$2,$S23+$O23+9,$S23+$O23)</f>
        <v>42711011</v>
      </c>
      <c r="Y23" s="1" cm="1">
        <f t="array" ref="Y23">IF(INDEX($I$3:$L$22,MATCH($P23,$G$3:$G$22,0),$Q23)=Y$2,$S23+$O23+9,$S23+$O23)</f>
        <v>42711011</v>
      </c>
      <c r="Z23" s="1" cm="1">
        <f t="array" ref="Z23">IF(INDEX($I$3:$L$22,MATCH($P23,$G$3:$G$22,0),$Q23)=Z$2,$S23+$O23+9,$S23+$O23)</f>
        <v>42711011</v>
      </c>
      <c r="AA23" s="1" cm="1">
        <f t="array" ref="AA23">IF(INDEX($I$3:$L$22,MATCH($P23,$G$3:$G$22,0),$Q23)=AA$2,$S23+$O23+9,$S23+$O23)</f>
        <v>42711011</v>
      </c>
      <c r="AB23" s="1" cm="1">
        <f t="array" ref="AB23">IF(INDEX($I$3:$L$22,MATCH($P23,$G$3:$G$22,0),$Q23)=AB$2,$S23+$O23+9,$S23+$O23)</f>
        <v>42711011</v>
      </c>
      <c r="AC23" s="1" cm="1">
        <f t="array" ref="AC23">IF(INDEX($I$3:$L$22,MATCH($P23,$G$3:$G$22,0),$Q23)=AC$2,$S23+$O23+9,$S23+$O23)</f>
        <v>42711011</v>
      </c>
      <c r="AD23" s="1" cm="1">
        <f t="array" ref="AD23">IF(INDEX($I$3:$L$22,MATCH($P23,$G$3:$G$22,0),$Q23)=AD$2,$S23+$O23+9,$S23+$O23)</f>
        <v>42711011</v>
      </c>
      <c r="AE23" s="1" cm="1">
        <f t="array" ref="AE23">IF(INDEX($I$3:$L$22,MATCH($P23,$G$3:$G$22,0),$Q23)=AE$2,$S23+$O23+9,$S23+$O23)</f>
        <v>42711011</v>
      </c>
      <c r="AF23" s="1" cm="1">
        <f t="array" ref="AF23">IF(INDEX($I$3:$L$22,MATCH($P23,$G$3:$G$22,0),$Q23)=AF$2,$S23+$O23+9,$S23+$O23)</f>
        <v>42711011</v>
      </c>
      <c r="AG23" s="1" cm="1">
        <f t="array" ref="AG23">IF(INDEX($I$3:$L$22,MATCH($P23,$G$3:$G$22,0),$Q23)=AG$2,$S23+$O23+9,$S23+$O23)</f>
        <v>42711011</v>
      </c>
      <c r="AH23" s="1" cm="1">
        <f t="array" ref="AH23">IF(INDEX($I$3:$L$22,MATCH($P23,$G$3:$G$22,0),$Q23)=AH$2,$S23+$O23+9,$S23+$O23)</f>
        <v>42711011</v>
      </c>
      <c r="AI23" s="1" cm="1">
        <f t="array" ref="AI23">IF(INDEX($I$3:$L$22,MATCH($P23,$G$3:$G$22,0),$Q23)=AI$2,$S23+$O23+9,$S23+$O23)</f>
        <v>42711011</v>
      </c>
      <c r="AJ23" s="1" cm="1">
        <f t="array" ref="AJ23">IF(INDEX($I$3:$L$22,MATCH($P23,$G$3:$G$22,0),$Q23)=AJ$2,$S23+$O23+9,$S23+$O23)</f>
        <v>42711011</v>
      </c>
      <c r="AK23" s="1" cm="1">
        <f t="array" ref="AK23">IF(INDEX($I$3:$L$22,MATCH($P23,$G$3:$G$22,0),$Q23)=AK$2,$S23+$O23+9,$S23+$O23)</f>
        <v>42711011</v>
      </c>
      <c r="AL23" s="1" cm="1">
        <f t="array" ref="AL23">IF(INDEX($I$3:$L$22,MATCH($P23,$G$3:$G$22,0),$Q23)=AL$2,$S23+$O23+9,$S23+$O23)</f>
        <v>42711011</v>
      </c>
      <c r="AM23" s="1" cm="1">
        <f t="array" ref="AM23">IF(INDEX($I$3:$L$22,MATCH($P23,$G$3:$G$22,0),$Q23)=AM$2,$S23+$O23+9,$S23+$O23)</f>
        <v>42711011</v>
      </c>
      <c r="AN23" s="1" cm="1">
        <f t="array" ref="AN23">IF(INDEX($I$3:$L$22,MATCH($P23,$G$3:$G$22,0),$Q23)=AN$2,$S23+$O23+9,$S23+$O23)</f>
        <v>42711011</v>
      </c>
      <c r="AO23" s="1" cm="1">
        <f t="array" ref="AO23">IF(INDEX($I$3:$L$22,MATCH($P23,$G$3:$G$22,0),$Q23)=AO$2,$S23+$O23+9,$S23+$O23)</f>
        <v>42711011</v>
      </c>
      <c r="AP23" s="1" cm="1">
        <f t="array" ref="AP23">IF(INDEX($I$3:$L$22,MATCH($P23,$G$3:$G$22,0),$Q23)=AP$2,$S23+$O23+9,$S23+$O23)</f>
        <v>42711011</v>
      </c>
      <c r="AQ23" s="1" cm="1">
        <f t="array" ref="AQ23">IF(INDEX($I$3:$L$22,MATCH($P23,$G$3:$G$22,0),$Q23)=AQ$2,$S23+$O23+9,$S23+$O23)</f>
        <v>42711011</v>
      </c>
      <c r="AR23" s="1" cm="1">
        <f t="array" ref="AR23">IF(INDEX($I$3:$L$22,MATCH($P23,$G$3:$G$22,0),$Q23)=AR$2,$S23+$O23+9,$S23+$O23)</f>
        <v>42711011</v>
      </c>
      <c r="AS23" s="1" cm="1">
        <f t="array" ref="AS23">IF(INDEX($I$3:$L$22,MATCH($P23,$G$3:$G$22,0),$Q23)=AS$2,$S23+$O23+9,$S23+$O23)</f>
        <v>42711011</v>
      </c>
      <c r="AT23" s="1" cm="1">
        <f t="array" ref="AT23">IF(INDEX($I$3:$L$22,MATCH($P23,$G$3:$G$22,0),$Q23)=AT$2,$S23+$O23+9,$S23+$O23)</f>
        <v>42711011</v>
      </c>
      <c r="AU23" s="1" cm="1">
        <f t="array" ref="AU23">IF(INDEX($I$3:$L$22,MATCH($P23,$G$3:$G$22,0),$Q23)=AU$2,$S23+$O23+9,$S23+$O23)</f>
        <v>42711011</v>
      </c>
      <c r="AV23" s="1" cm="1">
        <f t="array" ref="AV23">IF(INDEX($I$3:$L$22,MATCH($P23,$G$3:$G$22,0),$Q23)=AV$2,$S23+$O23+9,$S23+$O23)</f>
        <v>42711011</v>
      </c>
      <c r="AW23" s="1" cm="1">
        <f t="array" ref="AW23">IF(INDEX($I$3:$L$22,MATCH($P23,$G$3:$G$22,0),$Q23)=AW$2,$S23+$O23+9,$S23+$O23)</f>
        <v>42711011</v>
      </c>
      <c r="AX23" s="1" cm="1">
        <f t="array" ref="AX23">IF(INDEX($I$3:$L$22,MATCH($P23,$G$3:$G$22,0),$Q23)=AX$2,$S23+$O23+9,$S23+$O23)</f>
        <v>42711011</v>
      </c>
      <c r="AY23" s="1" cm="1">
        <f t="array" ref="AY23">IF(INDEX($I$3:$L$22,MATCH($P23,$G$3:$G$22,0),$Q23)=AY$2,$S23+$O23+9,$S23+$O23)</f>
        <v>42711011</v>
      </c>
      <c r="AZ23" s="1" cm="1">
        <f t="array" ref="AZ23">IF(INDEX($I$3:$L$22,MATCH($P23,$G$3:$G$22,0),$Q23)=AZ$2,$S23+$O23+9,$S23+$O23)</f>
        <v>42711011</v>
      </c>
      <c r="BA23" s="1" cm="1">
        <f t="array" ref="BA23">IF(INDEX($I$3:$L$22,MATCH($P23,$G$3:$G$22,0),$Q23)=BA$2,$S23+$O23+9,$S23+$O23)</f>
        <v>42711011</v>
      </c>
      <c r="BB23" s="1" cm="1">
        <f t="array" ref="BB23">IF(INDEX($I$3:$L$22,MATCH($P23,$G$3:$G$22,0),$Q23)=BB$2,$S23+$O23+9,$S23+$O23)</f>
        <v>42711011</v>
      </c>
      <c r="BC23" s="1" cm="1">
        <f t="array" ref="BC23">IF(INDEX($I$3:$L$22,MATCH($P23,$G$3:$G$22,0),$Q23)=BC$2,$S23+$O23+9,$S23+$O23)</f>
        <v>42711011</v>
      </c>
      <c r="BD23" s="1" cm="1">
        <f t="array" ref="BD23">IF(INDEX($I$3:$L$22,MATCH($P23,$G$3:$G$22,0),$Q23)=BD$2,$S23+$O23+9,$S23+$O23)</f>
        <v>42711011</v>
      </c>
      <c r="BE23" s="1" cm="1">
        <f t="array" ref="BE23">IF(INDEX($I$3:$L$22,MATCH($P23,$G$3:$G$22,0),$Q23)=BE$2,$S23+$O23+9,$S23+$O23)</f>
        <v>42711011</v>
      </c>
      <c r="BF23" s="1" cm="1">
        <f t="array" ref="BF23">IF(INDEX($I$3:$L$22,MATCH($P23,$G$3:$G$22,0),$Q23)=BF$2,$S23+$O23+9,$S23+$O23)</f>
        <v>42711011</v>
      </c>
      <c r="BG23" s="1" cm="1">
        <f t="array" ref="BG23">IF(INDEX($I$3:$L$22,MATCH($P23,$G$3:$G$22,0),$Q23)=BG$2,$S23+$O23+9,$S23+$O23)</f>
        <v>42711011</v>
      </c>
      <c r="BH23" s="1" cm="1">
        <f t="array" ref="BH23">IF(INDEX($I$3:$L$22,MATCH($P23,$G$3:$G$22,0),$Q23)=BH$2,$S23+$O23+9,$S23+$O23)</f>
        <v>42711011</v>
      </c>
      <c r="BI23" s="1" cm="1">
        <f t="array" ref="BI23">IF(INDEX($I$3:$L$22,MATCH($P23,$G$3:$G$22,0),$Q23)=BI$2,$S23+$O23+9,$S23+$O23)</f>
        <v>42711011</v>
      </c>
      <c r="BJ23" s="1" cm="1">
        <f t="array" ref="BJ23">IF(INDEX($I$3:$L$22,MATCH($P23,$G$3:$G$22,0),$Q23)=BJ$2,$S23+$O23+9,$S23+$O23)</f>
        <v>42711011</v>
      </c>
      <c r="BK23" s="1" cm="1">
        <f t="array" ref="BK23">IF(INDEX($I$3:$L$22,MATCH($P23,$G$3:$G$22,0),$Q23)=BK$2,$S23+$O23+9,$S23+$O23)</f>
        <v>42711011</v>
      </c>
      <c r="BL23" s="1" cm="1">
        <f t="array" ref="BL23">IF(INDEX($I$3:$L$22,MATCH($P23,$G$3:$G$22,0),$Q23)=BL$2,$S23+$O23+9,$S23+$O23)</f>
        <v>42711011</v>
      </c>
      <c r="BM23" s="1" cm="1">
        <f t="array" ref="BM23">IF(INDEX($I$3:$L$22,MATCH($P23,$G$3:$G$22,0),$Q23)=BM$2,$S23+$O23+9,$S23+$O23)</f>
        <v>42711020</v>
      </c>
      <c r="BN23" s="1" cm="1">
        <f t="array" ref="BN23">IF(INDEX($I$3:$L$22,MATCH($P23,$G$3:$G$22,0),$Q23)=BN$2,$S23+$O23+9,$S23+$O23)</f>
        <v>42711011</v>
      </c>
      <c r="BO23" s="1" cm="1">
        <f t="array" ref="BO23">IF(INDEX($I$3:$L$22,MATCH($P23,$G$3:$G$22,0),$Q23)=BO$2,$S23+$O23+9,$S23+$O23)</f>
        <v>42711011</v>
      </c>
      <c r="BP23" s="1" cm="1">
        <f t="array" ref="BP23">IF(INDEX($I$3:$L$22,MATCH($P23,$G$3:$G$22,0),$Q23)=BP$2,$S23+$O23+9,$S23+$O23)</f>
        <v>42711011</v>
      </c>
      <c r="BQ23" s="1" cm="1">
        <f t="array" ref="BQ23">IF(INDEX($I$3:$L$22,MATCH($P23,$G$3:$G$22,0),$Q23)=BQ$2,$S23+$O23+9,$S23+$O23)</f>
        <v>42711011</v>
      </c>
      <c r="BR23" s="1" cm="1">
        <f t="array" ref="BR23">IF(INDEX($I$3:$L$22,MATCH($P23,$G$3:$G$22,0),$Q23)=BR$2,$S23+$O23+9,$S23+$O23)</f>
        <v>42711011</v>
      </c>
      <c r="BS23" s="1" cm="1">
        <f t="array" ref="BS23">IF(INDEX($I$3:$L$22,MATCH($P23,$G$3:$G$22,0),$Q23)=BS$2,$S23+$O23+9,$S23+$O23)</f>
        <v>42711011</v>
      </c>
      <c r="BT23" s="1" cm="1">
        <f t="array" ref="BT23">IF(INDEX($I$3:$L$22,MATCH($P23,$G$3:$G$22,0),$Q23)=BT$2,$S23+$O23+9,$S23+$O23)</f>
        <v>42711011</v>
      </c>
    </row>
    <row r="24" spans="1:72" x14ac:dyDescent="0.15">
      <c r="A24" s="1">
        <v>0</v>
      </c>
      <c r="B24" s="1" cm="1">
        <f t="array" aca="1" ref="B24:E24" ca="1">_xlfn.RANDARRAY(1,4,1,50,TRUE)</f>
        <v>44</v>
      </c>
      <c r="C24" s="1">
        <f ca="1"/>
        <v>43</v>
      </c>
      <c r="D24" s="1">
        <f ca="1"/>
        <v>24</v>
      </c>
      <c r="E24" s="1">
        <f ca="1"/>
        <v>34</v>
      </c>
      <c r="N24" s="1">
        <v>40001</v>
      </c>
      <c r="O24" s="1">
        <f t="shared" si="5"/>
        <v>11</v>
      </c>
      <c r="P24" s="1">
        <f t="shared" si="6"/>
        <v>200</v>
      </c>
      <c r="Q24" s="1">
        <f t="shared" si="7"/>
        <v>2</v>
      </c>
      <c r="R24" s="1" t="s">
        <v>17</v>
      </c>
      <c r="S24" s="1">
        <v>42612000</v>
      </c>
      <c r="T24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24" s="1" cm="1">
        <f t="array" ref="W24">IF(INDEX($I$3:$L$22,MATCH($P24,$G$3:$G$22,0),$Q24)=W$2,$S24+$O24+9,$S24+$O24)</f>
        <v>42612011</v>
      </c>
      <c r="X24" s="1" cm="1">
        <f t="array" ref="X24">IF(INDEX($I$3:$L$22,MATCH($P24,$G$3:$G$22,0),$Q24)=X$2,$S24+$O24+9,$S24+$O24)</f>
        <v>42612011</v>
      </c>
      <c r="Y24" s="1" cm="1">
        <f t="array" ref="Y24">IF(INDEX($I$3:$L$22,MATCH($P24,$G$3:$G$22,0),$Q24)=Y$2,$S24+$O24+9,$S24+$O24)</f>
        <v>42612011</v>
      </c>
      <c r="Z24" s="1" cm="1">
        <f t="array" ref="Z24">IF(INDEX($I$3:$L$22,MATCH($P24,$G$3:$G$22,0),$Q24)=Z$2,$S24+$O24+9,$S24+$O24)</f>
        <v>42612011</v>
      </c>
      <c r="AA24" s="1" cm="1">
        <f t="array" ref="AA24">IF(INDEX($I$3:$L$22,MATCH($P24,$G$3:$G$22,0),$Q24)=AA$2,$S24+$O24+9,$S24+$O24)</f>
        <v>42612011</v>
      </c>
      <c r="AB24" s="1" cm="1">
        <f t="array" ref="AB24">IF(INDEX($I$3:$L$22,MATCH($P24,$G$3:$G$22,0),$Q24)=AB$2,$S24+$O24+9,$S24+$O24)</f>
        <v>42612011</v>
      </c>
      <c r="AC24" s="1" cm="1">
        <f t="array" ref="AC24">IF(INDEX($I$3:$L$22,MATCH($P24,$G$3:$G$22,0),$Q24)=AC$2,$S24+$O24+9,$S24+$O24)</f>
        <v>42612011</v>
      </c>
      <c r="AD24" s="1" cm="1">
        <f t="array" ref="AD24">IF(INDEX($I$3:$L$22,MATCH($P24,$G$3:$G$22,0),$Q24)=AD$2,$S24+$O24+9,$S24+$O24)</f>
        <v>42612011</v>
      </c>
      <c r="AE24" s="1" cm="1">
        <f t="array" ref="AE24">IF(INDEX($I$3:$L$22,MATCH($P24,$G$3:$G$22,0),$Q24)=AE$2,$S24+$O24+9,$S24+$O24)</f>
        <v>42612011</v>
      </c>
      <c r="AF24" s="1" cm="1">
        <f t="array" ref="AF24">IF(INDEX($I$3:$L$22,MATCH($P24,$G$3:$G$22,0),$Q24)=AF$2,$S24+$O24+9,$S24+$O24)</f>
        <v>42612011</v>
      </c>
      <c r="AG24" s="1" cm="1">
        <f t="array" ref="AG24">IF(INDEX($I$3:$L$22,MATCH($P24,$G$3:$G$22,0),$Q24)=AG$2,$S24+$O24+9,$S24+$O24)</f>
        <v>42612011</v>
      </c>
      <c r="AH24" s="1" cm="1">
        <f t="array" ref="AH24">IF(INDEX($I$3:$L$22,MATCH($P24,$G$3:$G$22,0),$Q24)=AH$2,$S24+$O24+9,$S24+$O24)</f>
        <v>42612011</v>
      </c>
      <c r="AI24" s="1" cm="1">
        <f t="array" ref="AI24">IF(INDEX($I$3:$L$22,MATCH($P24,$G$3:$G$22,0),$Q24)=AI$2,$S24+$O24+9,$S24+$O24)</f>
        <v>42612011</v>
      </c>
      <c r="AJ24" s="1" cm="1">
        <f t="array" ref="AJ24">IF(INDEX($I$3:$L$22,MATCH($P24,$G$3:$G$22,0),$Q24)=AJ$2,$S24+$O24+9,$S24+$O24)</f>
        <v>42612011</v>
      </c>
      <c r="AK24" s="1" cm="1">
        <f t="array" ref="AK24">IF(INDEX($I$3:$L$22,MATCH($P24,$G$3:$G$22,0),$Q24)=AK$2,$S24+$O24+9,$S24+$O24)</f>
        <v>42612011</v>
      </c>
      <c r="AL24" s="1" cm="1">
        <f t="array" ref="AL24">IF(INDEX($I$3:$L$22,MATCH($P24,$G$3:$G$22,0),$Q24)=AL$2,$S24+$O24+9,$S24+$O24)</f>
        <v>42612011</v>
      </c>
      <c r="AM24" s="1" cm="1">
        <f t="array" ref="AM24">IF(INDEX($I$3:$L$22,MATCH($P24,$G$3:$G$22,0),$Q24)=AM$2,$S24+$O24+9,$S24+$O24)</f>
        <v>42612011</v>
      </c>
      <c r="AN24" s="1" cm="1">
        <f t="array" ref="AN24">IF(INDEX($I$3:$L$22,MATCH($P24,$G$3:$G$22,0),$Q24)=AN$2,$S24+$O24+9,$S24+$O24)</f>
        <v>42612011</v>
      </c>
      <c r="AO24" s="1" cm="1">
        <f t="array" ref="AO24">IF(INDEX($I$3:$L$22,MATCH($P24,$G$3:$G$22,0),$Q24)=AO$2,$S24+$O24+9,$S24+$O24)</f>
        <v>42612011</v>
      </c>
      <c r="AP24" s="1" cm="1">
        <f t="array" ref="AP24">IF(INDEX($I$3:$L$22,MATCH($P24,$G$3:$G$22,0),$Q24)=AP$2,$S24+$O24+9,$S24+$O24)</f>
        <v>42612011</v>
      </c>
      <c r="AQ24" s="1" cm="1">
        <f t="array" ref="AQ24">IF(INDEX($I$3:$L$22,MATCH($P24,$G$3:$G$22,0),$Q24)=AQ$2,$S24+$O24+9,$S24+$O24)</f>
        <v>42612011</v>
      </c>
      <c r="AR24" s="1" cm="1">
        <f t="array" ref="AR24">IF(INDEX($I$3:$L$22,MATCH($P24,$G$3:$G$22,0),$Q24)=AR$2,$S24+$O24+9,$S24+$O24)</f>
        <v>42612011</v>
      </c>
      <c r="AS24" s="1" cm="1">
        <f t="array" ref="AS24">IF(INDEX($I$3:$L$22,MATCH($P24,$G$3:$G$22,0),$Q24)=AS$2,$S24+$O24+9,$S24+$O24)</f>
        <v>42612011</v>
      </c>
      <c r="AT24" s="1" cm="1">
        <f t="array" ref="AT24">IF(INDEX($I$3:$L$22,MATCH($P24,$G$3:$G$22,0),$Q24)=AT$2,$S24+$O24+9,$S24+$O24)</f>
        <v>42612011</v>
      </c>
      <c r="AU24" s="1" cm="1">
        <f t="array" ref="AU24">IF(INDEX($I$3:$L$22,MATCH($P24,$G$3:$G$22,0),$Q24)=AU$2,$S24+$O24+9,$S24+$O24)</f>
        <v>42612011</v>
      </c>
      <c r="AV24" s="1" cm="1">
        <f t="array" ref="AV24">IF(INDEX($I$3:$L$22,MATCH($P24,$G$3:$G$22,0),$Q24)=AV$2,$S24+$O24+9,$S24+$O24)</f>
        <v>42612011</v>
      </c>
      <c r="AW24" s="1" cm="1">
        <f t="array" ref="AW24">IF(INDEX($I$3:$L$22,MATCH($P24,$G$3:$G$22,0),$Q24)=AW$2,$S24+$O24+9,$S24+$O24)</f>
        <v>42612011</v>
      </c>
      <c r="AX24" s="1" cm="1">
        <f t="array" ref="AX24">IF(INDEX($I$3:$L$22,MATCH($P24,$G$3:$G$22,0),$Q24)=AX$2,$S24+$O24+9,$S24+$O24)</f>
        <v>42612011</v>
      </c>
      <c r="AY24" s="1" cm="1">
        <f t="array" ref="AY24">IF(INDEX($I$3:$L$22,MATCH($P24,$G$3:$G$22,0),$Q24)=AY$2,$S24+$O24+9,$S24+$O24)</f>
        <v>42612011</v>
      </c>
      <c r="AZ24" s="1" cm="1">
        <f t="array" ref="AZ24">IF(INDEX($I$3:$L$22,MATCH($P24,$G$3:$G$22,0),$Q24)=AZ$2,$S24+$O24+9,$S24+$O24)</f>
        <v>42612011</v>
      </c>
      <c r="BA24" s="1" cm="1">
        <f t="array" ref="BA24">IF(INDEX($I$3:$L$22,MATCH($P24,$G$3:$G$22,0),$Q24)=BA$2,$S24+$O24+9,$S24+$O24)</f>
        <v>42612011</v>
      </c>
      <c r="BB24" s="1" cm="1">
        <f t="array" ref="BB24">IF(INDEX($I$3:$L$22,MATCH($P24,$G$3:$G$22,0),$Q24)=BB$2,$S24+$O24+9,$S24+$O24)</f>
        <v>42612011</v>
      </c>
      <c r="BC24" s="1" cm="1">
        <f t="array" ref="BC24">IF(INDEX($I$3:$L$22,MATCH($P24,$G$3:$G$22,0),$Q24)=BC$2,$S24+$O24+9,$S24+$O24)</f>
        <v>42612011</v>
      </c>
      <c r="BD24" s="1" cm="1">
        <f t="array" ref="BD24">IF(INDEX($I$3:$L$22,MATCH($P24,$G$3:$G$22,0),$Q24)=BD$2,$S24+$O24+9,$S24+$O24)</f>
        <v>42612011</v>
      </c>
      <c r="BE24" s="1" cm="1">
        <f t="array" ref="BE24">IF(INDEX($I$3:$L$22,MATCH($P24,$G$3:$G$22,0),$Q24)=BE$2,$S24+$O24+9,$S24+$O24)</f>
        <v>42612011</v>
      </c>
      <c r="BF24" s="1" cm="1">
        <f t="array" ref="BF24">IF(INDEX($I$3:$L$22,MATCH($P24,$G$3:$G$22,0),$Q24)=BF$2,$S24+$O24+9,$S24+$O24)</f>
        <v>42612011</v>
      </c>
      <c r="BG24" s="1" cm="1">
        <f t="array" ref="BG24">IF(INDEX($I$3:$L$22,MATCH($P24,$G$3:$G$22,0),$Q24)=BG$2,$S24+$O24+9,$S24+$O24)</f>
        <v>42612011</v>
      </c>
      <c r="BH24" s="1" cm="1">
        <f t="array" ref="BH24">IF(INDEX($I$3:$L$22,MATCH($P24,$G$3:$G$22,0),$Q24)=BH$2,$S24+$O24+9,$S24+$O24)</f>
        <v>42612011</v>
      </c>
      <c r="BI24" s="1" cm="1">
        <f t="array" ref="BI24">IF(INDEX($I$3:$L$22,MATCH($P24,$G$3:$G$22,0),$Q24)=BI$2,$S24+$O24+9,$S24+$O24)</f>
        <v>42612011</v>
      </c>
      <c r="BJ24" s="1" cm="1">
        <f t="array" ref="BJ24">IF(INDEX($I$3:$L$22,MATCH($P24,$G$3:$G$22,0),$Q24)=BJ$2,$S24+$O24+9,$S24+$O24)</f>
        <v>42612011</v>
      </c>
      <c r="BK24" s="1" cm="1">
        <f t="array" ref="BK24">IF(INDEX($I$3:$L$22,MATCH($P24,$G$3:$G$22,0),$Q24)=BK$2,$S24+$O24+9,$S24+$O24)</f>
        <v>42612011</v>
      </c>
      <c r="BL24" s="1" cm="1">
        <f t="array" ref="BL24">IF(INDEX($I$3:$L$22,MATCH($P24,$G$3:$G$22,0),$Q24)=BL$2,$S24+$O24+9,$S24+$O24)</f>
        <v>42612011</v>
      </c>
      <c r="BM24" s="1" cm="1">
        <f t="array" ref="BM24">IF(INDEX($I$3:$L$22,MATCH($P24,$G$3:$G$22,0),$Q24)=BM$2,$S24+$O24+9,$S24+$O24)</f>
        <v>42612011</v>
      </c>
      <c r="BN24" s="1" cm="1">
        <f t="array" ref="BN24">IF(INDEX($I$3:$L$22,MATCH($P24,$G$3:$G$22,0),$Q24)=BN$2,$S24+$O24+9,$S24+$O24)</f>
        <v>42612011</v>
      </c>
      <c r="BO24" s="1" cm="1">
        <f t="array" ref="BO24">IF(INDEX($I$3:$L$22,MATCH($P24,$G$3:$G$22,0),$Q24)=BO$2,$S24+$O24+9,$S24+$O24)</f>
        <v>42612011</v>
      </c>
      <c r="BP24" s="1" cm="1">
        <f t="array" ref="BP24">IF(INDEX($I$3:$L$22,MATCH($P24,$G$3:$G$22,0),$Q24)=BP$2,$S24+$O24+9,$S24+$O24)</f>
        <v>42612020</v>
      </c>
      <c r="BQ24" s="1" cm="1">
        <f t="array" ref="BQ24">IF(INDEX($I$3:$L$22,MATCH($P24,$G$3:$G$22,0),$Q24)=BQ$2,$S24+$O24+9,$S24+$O24)</f>
        <v>42612011</v>
      </c>
      <c r="BR24" s="1" cm="1">
        <f t="array" ref="BR24">IF(INDEX($I$3:$L$22,MATCH($P24,$G$3:$G$22,0),$Q24)=BR$2,$S24+$O24+9,$S24+$O24)</f>
        <v>42612011</v>
      </c>
      <c r="BS24" s="1" cm="1">
        <f t="array" ref="BS24">IF(INDEX($I$3:$L$22,MATCH($P24,$G$3:$G$22,0),$Q24)=BS$2,$S24+$O24+9,$S24+$O24)</f>
        <v>42612011</v>
      </c>
      <c r="BT24" s="1" cm="1">
        <f t="array" ref="BT24">IF(INDEX($I$3:$L$22,MATCH($P24,$G$3:$G$22,0),$Q24)=BT$2,$S24+$O24+9,$S24+$O24)</f>
        <v>42612011</v>
      </c>
    </row>
    <row r="25" spans="1:72" x14ac:dyDescent="0.15">
      <c r="A25" s="1">
        <v>0</v>
      </c>
      <c r="B25" s="1" cm="1">
        <f t="array" aca="1" ref="B25:E25" ca="1">_xlfn.RANDARRAY(1,4,1,50,TRUE)</f>
        <v>28</v>
      </c>
      <c r="C25" s="1">
        <f ca="1"/>
        <v>27</v>
      </c>
      <c r="D25" s="1">
        <f ca="1"/>
        <v>47</v>
      </c>
      <c r="E25" s="1">
        <f ca="1"/>
        <v>29</v>
      </c>
      <c r="N25" s="1">
        <v>40001</v>
      </c>
      <c r="O25" s="1">
        <f t="shared" si="5"/>
        <v>11</v>
      </c>
      <c r="P25" s="1">
        <f t="shared" si="6"/>
        <v>200</v>
      </c>
      <c r="Q25" s="1">
        <f t="shared" si="7"/>
        <v>3</v>
      </c>
      <c r="R25" s="1" t="s">
        <v>16</v>
      </c>
      <c r="S25" s="1">
        <v>42713000</v>
      </c>
      <c r="T25" s="1" t="str">
        <f t="shared" si="2"/>
        <v>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25" s="1" cm="1">
        <f t="array" ref="W25">IF(INDEX($I$3:$L$22,MATCH($P25,$G$3:$G$22,0),$Q25)=W$2,$S25+$O25+9,$S25+$O25)</f>
        <v>42713011</v>
      </c>
      <c r="X25" s="1" cm="1">
        <f t="array" ref="X25">IF(INDEX($I$3:$L$22,MATCH($P25,$G$3:$G$22,0),$Q25)=X$2,$S25+$O25+9,$S25+$O25)</f>
        <v>42713011</v>
      </c>
      <c r="Y25" s="1" cm="1">
        <f t="array" ref="Y25">IF(INDEX($I$3:$L$22,MATCH($P25,$G$3:$G$22,0),$Q25)=Y$2,$S25+$O25+9,$S25+$O25)</f>
        <v>42713011</v>
      </c>
      <c r="Z25" s="1" cm="1">
        <f t="array" ref="Z25">IF(INDEX($I$3:$L$22,MATCH($P25,$G$3:$G$22,0),$Q25)=Z$2,$S25+$O25+9,$S25+$O25)</f>
        <v>42713011</v>
      </c>
      <c r="AA25" s="1" cm="1">
        <f t="array" ref="AA25">IF(INDEX($I$3:$L$22,MATCH($P25,$G$3:$G$22,0),$Q25)=AA$2,$S25+$O25+9,$S25+$O25)</f>
        <v>42713011</v>
      </c>
      <c r="AB25" s="1" cm="1">
        <f t="array" ref="AB25">IF(INDEX($I$3:$L$22,MATCH($P25,$G$3:$G$22,0),$Q25)=AB$2,$S25+$O25+9,$S25+$O25)</f>
        <v>42713011</v>
      </c>
      <c r="AC25" s="1" cm="1">
        <f t="array" ref="AC25">IF(INDEX($I$3:$L$22,MATCH($P25,$G$3:$G$22,0),$Q25)=AC$2,$S25+$O25+9,$S25+$O25)</f>
        <v>42713011</v>
      </c>
      <c r="AD25" s="1" cm="1">
        <f t="array" ref="AD25">IF(INDEX($I$3:$L$22,MATCH($P25,$G$3:$G$22,0),$Q25)=AD$2,$S25+$O25+9,$S25+$O25)</f>
        <v>42713011</v>
      </c>
      <c r="AE25" s="1" cm="1">
        <f t="array" ref="AE25">IF(INDEX($I$3:$L$22,MATCH($P25,$G$3:$G$22,0),$Q25)=AE$2,$S25+$O25+9,$S25+$O25)</f>
        <v>42713011</v>
      </c>
      <c r="AF25" s="1" cm="1">
        <f t="array" ref="AF25">IF(INDEX($I$3:$L$22,MATCH($P25,$G$3:$G$22,0),$Q25)=AF$2,$S25+$O25+9,$S25+$O25)</f>
        <v>42713011</v>
      </c>
      <c r="AG25" s="1" cm="1">
        <f t="array" ref="AG25">IF(INDEX($I$3:$L$22,MATCH($P25,$G$3:$G$22,0),$Q25)=AG$2,$S25+$O25+9,$S25+$O25)</f>
        <v>42713020</v>
      </c>
      <c r="AH25" s="1" cm="1">
        <f t="array" ref="AH25">IF(INDEX($I$3:$L$22,MATCH($P25,$G$3:$G$22,0),$Q25)=AH$2,$S25+$O25+9,$S25+$O25)</f>
        <v>42713011</v>
      </c>
      <c r="AI25" s="1" cm="1">
        <f t="array" ref="AI25">IF(INDEX($I$3:$L$22,MATCH($P25,$G$3:$G$22,0),$Q25)=AI$2,$S25+$O25+9,$S25+$O25)</f>
        <v>42713011</v>
      </c>
      <c r="AJ25" s="1" cm="1">
        <f t="array" ref="AJ25">IF(INDEX($I$3:$L$22,MATCH($P25,$G$3:$G$22,0),$Q25)=AJ$2,$S25+$O25+9,$S25+$O25)</f>
        <v>42713011</v>
      </c>
      <c r="AK25" s="1" cm="1">
        <f t="array" ref="AK25">IF(INDEX($I$3:$L$22,MATCH($P25,$G$3:$G$22,0),$Q25)=AK$2,$S25+$O25+9,$S25+$O25)</f>
        <v>42713011</v>
      </c>
      <c r="AL25" s="1" cm="1">
        <f t="array" ref="AL25">IF(INDEX($I$3:$L$22,MATCH($P25,$G$3:$G$22,0),$Q25)=AL$2,$S25+$O25+9,$S25+$O25)</f>
        <v>42713011</v>
      </c>
      <c r="AM25" s="1" cm="1">
        <f t="array" ref="AM25">IF(INDEX($I$3:$L$22,MATCH($P25,$G$3:$G$22,0),$Q25)=AM$2,$S25+$O25+9,$S25+$O25)</f>
        <v>42713011</v>
      </c>
      <c r="AN25" s="1" cm="1">
        <f t="array" ref="AN25">IF(INDEX($I$3:$L$22,MATCH($P25,$G$3:$G$22,0),$Q25)=AN$2,$S25+$O25+9,$S25+$O25)</f>
        <v>42713011</v>
      </c>
      <c r="AO25" s="1" cm="1">
        <f t="array" ref="AO25">IF(INDEX($I$3:$L$22,MATCH($P25,$G$3:$G$22,0),$Q25)=AO$2,$S25+$O25+9,$S25+$O25)</f>
        <v>42713011</v>
      </c>
      <c r="AP25" s="1" cm="1">
        <f t="array" ref="AP25">IF(INDEX($I$3:$L$22,MATCH($P25,$G$3:$G$22,0),$Q25)=AP$2,$S25+$O25+9,$S25+$O25)</f>
        <v>42713011</v>
      </c>
      <c r="AQ25" s="1" cm="1">
        <f t="array" ref="AQ25">IF(INDEX($I$3:$L$22,MATCH($P25,$G$3:$G$22,0),$Q25)=AQ$2,$S25+$O25+9,$S25+$O25)</f>
        <v>42713011</v>
      </c>
      <c r="AR25" s="1" cm="1">
        <f t="array" ref="AR25">IF(INDEX($I$3:$L$22,MATCH($P25,$G$3:$G$22,0),$Q25)=AR$2,$S25+$O25+9,$S25+$O25)</f>
        <v>42713011</v>
      </c>
      <c r="AS25" s="1" cm="1">
        <f t="array" ref="AS25">IF(INDEX($I$3:$L$22,MATCH($P25,$G$3:$G$22,0),$Q25)=AS$2,$S25+$O25+9,$S25+$O25)</f>
        <v>42713011</v>
      </c>
      <c r="AT25" s="1" cm="1">
        <f t="array" ref="AT25">IF(INDEX($I$3:$L$22,MATCH($P25,$G$3:$G$22,0),$Q25)=AT$2,$S25+$O25+9,$S25+$O25)</f>
        <v>42713011</v>
      </c>
      <c r="AU25" s="1" cm="1">
        <f t="array" ref="AU25">IF(INDEX($I$3:$L$22,MATCH($P25,$G$3:$G$22,0),$Q25)=AU$2,$S25+$O25+9,$S25+$O25)</f>
        <v>42713011</v>
      </c>
      <c r="AV25" s="1" cm="1">
        <f t="array" ref="AV25">IF(INDEX($I$3:$L$22,MATCH($P25,$G$3:$G$22,0),$Q25)=AV$2,$S25+$O25+9,$S25+$O25)</f>
        <v>42713011</v>
      </c>
      <c r="AW25" s="1" cm="1">
        <f t="array" ref="AW25">IF(INDEX($I$3:$L$22,MATCH($P25,$G$3:$G$22,0),$Q25)=AW$2,$S25+$O25+9,$S25+$O25)</f>
        <v>42713011</v>
      </c>
      <c r="AX25" s="1" cm="1">
        <f t="array" ref="AX25">IF(INDEX($I$3:$L$22,MATCH($P25,$G$3:$G$22,0),$Q25)=AX$2,$S25+$O25+9,$S25+$O25)</f>
        <v>42713011</v>
      </c>
      <c r="AY25" s="1" cm="1">
        <f t="array" ref="AY25">IF(INDEX($I$3:$L$22,MATCH($P25,$G$3:$G$22,0),$Q25)=AY$2,$S25+$O25+9,$S25+$O25)</f>
        <v>42713011</v>
      </c>
      <c r="AZ25" s="1" cm="1">
        <f t="array" ref="AZ25">IF(INDEX($I$3:$L$22,MATCH($P25,$G$3:$G$22,0),$Q25)=AZ$2,$S25+$O25+9,$S25+$O25)</f>
        <v>42713011</v>
      </c>
      <c r="BA25" s="1" cm="1">
        <f t="array" ref="BA25">IF(INDEX($I$3:$L$22,MATCH($P25,$G$3:$G$22,0),$Q25)=BA$2,$S25+$O25+9,$S25+$O25)</f>
        <v>42713011</v>
      </c>
      <c r="BB25" s="1" cm="1">
        <f t="array" ref="BB25">IF(INDEX($I$3:$L$22,MATCH($P25,$G$3:$G$22,0),$Q25)=BB$2,$S25+$O25+9,$S25+$O25)</f>
        <v>42713011</v>
      </c>
      <c r="BC25" s="1" cm="1">
        <f t="array" ref="BC25">IF(INDEX($I$3:$L$22,MATCH($P25,$G$3:$G$22,0),$Q25)=BC$2,$S25+$O25+9,$S25+$O25)</f>
        <v>42713011</v>
      </c>
      <c r="BD25" s="1" cm="1">
        <f t="array" ref="BD25">IF(INDEX($I$3:$L$22,MATCH($P25,$G$3:$G$22,0),$Q25)=BD$2,$S25+$O25+9,$S25+$O25)</f>
        <v>42713011</v>
      </c>
      <c r="BE25" s="1" cm="1">
        <f t="array" ref="BE25">IF(INDEX($I$3:$L$22,MATCH($P25,$G$3:$G$22,0),$Q25)=BE$2,$S25+$O25+9,$S25+$O25)</f>
        <v>42713011</v>
      </c>
      <c r="BF25" s="1" cm="1">
        <f t="array" ref="BF25">IF(INDEX($I$3:$L$22,MATCH($P25,$G$3:$G$22,0),$Q25)=BF$2,$S25+$O25+9,$S25+$O25)</f>
        <v>42713011</v>
      </c>
      <c r="BG25" s="1" cm="1">
        <f t="array" ref="BG25">IF(INDEX($I$3:$L$22,MATCH($P25,$G$3:$G$22,0),$Q25)=BG$2,$S25+$O25+9,$S25+$O25)</f>
        <v>42713011</v>
      </c>
      <c r="BH25" s="1" cm="1">
        <f t="array" ref="BH25">IF(INDEX($I$3:$L$22,MATCH($P25,$G$3:$G$22,0),$Q25)=BH$2,$S25+$O25+9,$S25+$O25)</f>
        <v>42713011</v>
      </c>
      <c r="BI25" s="1" cm="1">
        <f t="array" ref="BI25">IF(INDEX($I$3:$L$22,MATCH($P25,$G$3:$G$22,0),$Q25)=BI$2,$S25+$O25+9,$S25+$O25)</f>
        <v>42713011</v>
      </c>
      <c r="BJ25" s="1" cm="1">
        <f t="array" ref="BJ25">IF(INDEX($I$3:$L$22,MATCH($P25,$G$3:$G$22,0),$Q25)=BJ$2,$S25+$O25+9,$S25+$O25)</f>
        <v>42713011</v>
      </c>
      <c r="BK25" s="1" cm="1">
        <f t="array" ref="BK25">IF(INDEX($I$3:$L$22,MATCH($P25,$G$3:$G$22,0),$Q25)=BK$2,$S25+$O25+9,$S25+$O25)</f>
        <v>42713011</v>
      </c>
      <c r="BL25" s="1" cm="1">
        <f t="array" ref="BL25">IF(INDEX($I$3:$L$22,MATCH($P25,$G$3:$G$22,0),$Q25)=BL$2,$S25+$O25+9,$S25+$O25)</f>
        <v>42713011</v>
      </c>
      <c r="BM25" s="1" cm="1">
        <f t="array" ref="BM25">IF(INDEX($I$3:$L$22,MATCH($P25,$G$3:$G$22,0),$Q25)=BM$2,$S25+$O25+9,$S25+$O25)</f>
        <v>42713011</v>
      </c>
      <c r="BN25" s="1" cm="1">
        <f t="array" ref="BN25">IF(INDEX($I$3:$L$22,MATCH($P25,$G$3:$G$22,0),$Q25)=BN$2,$S25+$O25+9,$S25+$O25)</f>
        <v>42713011</v>
      </c>
      <c r="BO25" s="1" cm="1">
        <f t="array" ref="BO25">IF(INDEX($I$3:$L$22,MATCH($P25,$G$3:$G$22,0),$Q25)=BO$2,$S25+$O25+9,$S25+$O25)</f>
        <v>42713011</v>
      </c>
      <c r="BP25" s="1" cm="1">
        <f t="array" ref="BP25">IF(INDEX($I$3:$L$22,MATCH($P25,$G$3:$G$22,0),$Q25)=BP$2,$S25+$O25+9,$S25+$O25)</f>
        <v>42713011</v>
      </c>
      <c r="BQ25" s="1" cm="1">
        <f t="array" ref="BQ25">IF(INDEX($I$3:$L$22,MATCH($P25,$G$3:$G$22,0),$Q25)=BQ$2,$S25+$O25+9,$S25+$O25)</f>
        <v>42713011</v>
      </c>
      <c r="BR25" s="1" cm="1">
        <f t="array" ref="BR25">IF(INDEX($I$3:$L$22,MATCH($P25,$G$3:$G$22,0),$Q25)=BR$2,$S25+$O25+9,$S25+$O25)</f>
        <v>42713011</v>
      </c>
      <c r="BS25" s="1" cm="1">
        <f t="array" ref="BS25">IF(INDEX($I$3:$L$22,MATCH($P25,$G$3:$G$22,0),$Q25)=BS$2,$S25+$O25+9,$S25+$O25)</f>
        <v>42713011</v>
      </c>
      <c r="BT25" s="1" cm="1">
        <f t="array" ref="BT25">IF(INDEX($I$3:$L$22,MATCH($P25,$G$3:$G$22,0),$Q25)=BT$2,$S25+$O25+9,$S25+$O25)</f>
        <v>42713011</v>
      </c>
    </row>
    <row r="26" spans="1:72" x14ac:dyDescent="0.15">
      <c r="A26" s="1">
        <v>0</v>
      </c>
      <c r="B26" s="1" cm="1">
        <f t="array" aca="1" ref="B26:E26" ca="1">_xlfn.RANDARRAY(1,4,1,50,TRUE)</f>
        <v>38</v>
      </c>
      <c r="C26" s="1">
        <f ca="1"/>
        <v>14</v>
      </c>
      <c r="D26" s="1">
        <f ca="1"/>
        <v>9</v>
      </c>
      <c r="E26" s="1">
        <f ca="1"/>
        <v>15</v>
      </c>
      <c r="N26" s="1">
        <v>40001</v>
      </c>
      <c r="O26" s="1">
        <f t="shared" si="5"/>
        <v>11</v>
      </c>
      <c r="P26" s="1">
        <f t="shared" si="6"/>
        <v>200</v>
      </c>
      <c r="Q26" s="1">
        <f t="shared" si="7"/>
        <v>4</v>
      </c>
      <c r="R26" s="1" t="s">
        <v>15</v>
      </c>
      <c r="S26" s="1">
        <v>42716000</v>
      </c>
      <c r="T26" s="1" t="str">
        <f t="shared" si="2"/>
        <v>42716011,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</v>
      </c>
      <c r="W26" s="1" cm="1">
        <f t="array" ref="W26">IF(INDEX($I$3:$L$22,MATCH($P26,$G$3:$G$22,0),$Q26)=W$2,$S26+$O26+9,$S26+$O26)</f>
        <v>42716011</v>
      </c>
      <c r="X26" s="1" cm="1">
        <f t="array" ref="X26">IF(INDEX($I$3:$L$22,MATCH($P26,$G$3:$G$22,0),$Q26)=X$2,$S26+$O26+9,$S26+$O26)</f>
        <v>42716011</v>
      </c>
      <c r="Y26" s="1" cm="1">
        <f t="array" ref="Y26">IF(INDEX($I$3:$L$22,MATCH($P26,$G$3:$G$22,0),$Q26)=Y$2,$S26+$O26+9,$S26+$O26)</f>
        <v>42716011</v>
      </c>
      <c r="Z26" s="1" cm="1">
        <f t="array" ref="Z26">IF(INDEX($I$3:$L$22,MATCH($P26,$G$3:$G$22,0),$Q26)=Z$2,$S26+$O26+9,$S26+$O26)</f>
        <v>42716011</v>
      </c>
      <c r="AA26" s="1" cm="1">
        <f t="array" ref="AA26">IF(INDEX($I$3:$L$22,MATCH($P26,$G$3:$G$22,0),$Q26)=AA$2,$S26+$O26+9,$S26+$O26)</f>
        <v>42716011</v>
      </c>
      <c r="AB26" s="1" cm="1">
        <f t="array" ref="AB26">IF(INDEX($I$3:$L$22,MATCH($P26,$G$3:$G$22,0),$Q26)=AB$2,$S26+$O26+9,$S26+$O26)</f>
        <v>42716011</v>
      </c>
      <c r="AC26" s="1" cm="1">
        <f t="array" ref="AC26">IF(INDEX($I$3:$L$22,MATCH($P26,$G$3:$G$22,0),$Q26)=AC$2,$S26+$O26+9,$S26+$O26)</f>
        <v>42716011</v>
      </c>
      <c r="AD26" s="1" cm="1">
        <f t="array" ref="AD26">IF(INDEX($I$3:$L$22,MATCH($P26,$G$3:$G$22,0),$Q26)=AD$2,$S26+$O26+9,$S26+$O26)</f>
        <v>42716011</v>
      </c>
      <c r="AE26" s="1" cm="1">
        <f t="array" ref="AE26">IF(INDEX($I$3:$L$22,MATCH($P26,$G$3:$G$22,0),$Q26)=AE$2,$S26+$O26+9,$S26+$O26)</f>
        <v>42716011</v>
      </c>
      <c r="AF26" s="1" cm="1">
        <f t="array" ref="AF26">IF(INDEX($I$3:$L$22,MATCH($P26,$G$3:$G$22,0),$Q26)=AF$2,$S26+$O26+9,$S26+$O26)</f>
        <v>42716011</v>
      </c>
      <c r="AG26" s="1" cm="1">
        <f t="array" ref="AG26">IF(INDEX($I$3:$L$22,MATCH($P26,$G$3:$G$22,0),$Q26)=AG$2,$S26+$O26+9,$S26+$O26)</f>
        <v>42716011</v>
      </c>
      <c r="AH26" s="1" cm="1">
        <f t="array" ref="AH26">IF(INDEX($I$3:$L$22,MATCH($P26,$G$3:$G$22,0),$Q26)=AH$2,$S26+$O26+9,$S26+$O26)</f>
        <v>42716011</v>
      </c>
      <c r="AI26" s="1" cm="1">
        <f t="array" ref="AI26">IF(INDEX($I$3:$L$22,MATCH($P26,$G$3:$G$22,0),$Q26)=AI$2,$S26+$O26+9,$S26+$O26)</f>
        <v>42716011</v>
      </c>
      <c r="AJ26" s="1" cm="1">
        <f t="array" ref="AJ26">IF(INDEX($I$3:$L$22,MATCH($P26,$G$3:$G$22,0),$Q26)=AJ$2,$S26+$O26+9,$S26+$O26)</f>
        <v>42716011</v>
      </c>
      <c r="AK26" s="1" cm="1">
        <f t="array" ref="AK26">IF(INDEX($I$3:$L$22,MATCH($P26,$G$3:$G$22,0),$Q26)=AK$2,$S26+$O26+9,$S26+$O26)</f>
        <v>42716011</v>
      </c>
      <c r="AL26" s="1" cm="1">
        <f t="array" ref="AL26">IF(INDEX($I$3:$L$22,MATCH($P26,$G$3:$G$22,0),$Q26)=AL$2,$S26+$O26+9,$S26+$O26)</f>
        <v>42716011</v>
      </c>
      <c r="AM26" s="1" cm="1">
        <f t="array" ref="AM26">IF(INDEX($I$3:$L$22,MATCH($P26,$G$3:$G$22,0),$Q26)=AM$2,$S26+$O26+9,$S26+$O26)</f>
        <v>42716011</v>
      </c>
      <c r="AN26" s="1" cm="1">
        <f t="array" ref="AN26">IF(INDEX($I$3:$L$22,MATCH($P26,$G$3:$G$22,0),$Q26)=AN$2,$S26+$O26+9,$S26+$O26)</f>
        <v>42716011</v>
      </c>
      <c r="AO26" s="1" cm="1">
        <f t="array" ref="AO26">IF(INDEX($I$3:$L$22,MATCH($P26,$G$3:$G$22,0),$Q26)=AO$2,$S26+$O26+9,$S26+$O26)</f>
        <v>42716011</v>
      </c>
      <c r="AP26" s="1" cm="1">
        <f t="array" ref="AP26">IF(INDEX($I$3:$L$22,MATCH($P26,$G$3:$G$22,0),$Q26)=AP$2,$S26+$O26+9,$S26+$O26)</f>
        <v>42716011</v>
      </c>
      <c r="AQ26" s="1" cm="1">
        <f t="array" ref="AQ26">IF(INDEX($I$3:$L$22,MATCH($P26,$G$3:$G$22,0),$Q26)=AQ$2,$S26+$O26+9,$S26+$O26)</f>
        <v>42716011</v>
      </c>
      <c r="AR26" s="1" cm="1">
        <f t="array" ref="AR26">IF(INDEX($I$3:$L$22,MATCH($P26,$G$3:$G$22,0),$Q26)=AR$2,$S26+$O26+9,$S26+$O26)</f>
        <v>42716011</v>
      </c>
      <c r="AS26" s="1" cm="1">
        <f t="array" ref="AS26">IF(INDEX($I$3:$L$22,MATCH($P26,$G$3:$G$22,0),$Q26)=AS$2,$S26+$O26+9,$S26+$O26)</f>
        <v>42716011</v>
      </c>
      <c r="AT26" s="1" cm="1">
        <f t="array" ref="AT26">IF(INDEX($I$3:$L$22,MATCH($P26,$G$3:$G$22,0),$Q26)=AT$2,$S26+$O26+9,$S26+$O26)</f>
        <v>42716020</v>
      </c>
      <c r="AU26" s="1" cm="1">
        <f t="array" ref="AU26">IF(INDEX($I$3:$L$22,MATCH($P26,$G$3:$G$22,0),$Q26)=AU$2,$S26+$O26+9,$S26+$O26)</f>
        <v>42716011</v>
      </c>
      <c r="AV26" s="1" cm="1">
        <f t="array" ref="AV26">IF(INDEX($I$3:$L$22,MATCH($P26,$G$3:$G$22,0),$Q26)=AV$2,$S26+$O26+9,$S26+$O26)</f>
        <v>42716011</v>
      </c>
      <c r="AW26" s="1" cm="1">
        <f t="array" ref="AW26">IF(INDEX($I$3:$L$22,MATCH($P26,$G$3:$G$22,0),$Q26)=AW$2,$S26+$O26+9,$S26+$O26)</f>
        <v>42716011</v>
      </c>
      <c r="AX26" s="1" cm="1">
        <f t="array" ref="AX26">IF(INDEX($I$3:$L$22,MATCH($P26,$G$3:$G$22,0),$Q26)=AX$2,$S26+$O26+9,$S26+$O26)</f>
        <v>42716011</v>
      </c>
      <c r="AY26" s="1" cm="1">
        <f t="array" ref="AY26">IF(INDEX($I$3:$L$22,MATCH($P26,$G$3:$G$22,0),$Q26)=AY$2,$S26+$O26+9,$S26+$O26)</f>
        <v>42716011</v>
      </c>
      <c r="AZ26" s="1" cm="1">
        <f t="array" ref="AZ26">IF(INDEX($I$3:$L$22,MATCH($P26,$G$3:$G$22,0),$Q26)=AZ$2,$S26+$O26+9,$S26+$O26)</f>
        <v>42716011</v>
      </c>
      <c r="BA26" s="1" cm="1">
        <f t="array" ref="BA26">IF(INDEX($I$3:$L$22,MATCH($P26,$G$3:$G$22,0),$Q26)=BA$2,$S26+$O26+9,$S26+$O26)</f>
        <v>42716011</v>
      </c>
      <c r="BB26" s="1" cm="1">
        <f t="array" ref="BB26">IF(INDEX($I$3:$L$22,MATCH($P26,$G$3:$G$22,0),$Q26)=BB$2,$S26+$O26+9,$S26+$O26)</f>
        <v>42716011</v>
      </c>
      <c r="BC26" s="1" cm="1">
        <f t="array" ref="BC26">IF(INDEX($I$3:$L$22,MATCH($P26,$G$3:$G$22,0),$Q26)=BC$2,$S26+$O26+9,$S26+$O26)</f>
        <v>42716011</v>
      </c>
      <c r="BD26" s="1" cm="1">
        <f t="array" ref="BD26">IF(INDEX($I$3:$L$22,MATCH($P26,$G$3:$G$22,0),$Q26)=BD$2,$S26+$O26+9,$S26+$O26)</f>
        <v>42716011</v>
      </c>
      <c r="BE26" s="1" cm="1">
        <f t="array" ref="BE26">IF(INDEX($I$3:$L$22,MATCH($P26,$G$3:$G$22,0),$Q26)=BE$2,$S26+$O26+9,$S26+$O26)</f>
        <v>42716011</v>
      </c>
      <c r="BF26" s="1" cm="1">
        <f t="array" ref="BF26">IF(INDEX($I$3:$L$22,MATCH($P26,$G$3:$G$22,0),$Q26)=BF$2,$S26+$O26+9,$S26+$O26)</f>
        <v>42716011</v>
      </c>
      <c r="BG26" s="1" cm="1">
        <f t="array" ref="BG26">IF(INDEX($I$3:$L$22,MATCH($P26,$G$3:$G$22,0),$Q26)=BG$2,$S26+$O26+9,$S26+$O26)</f>
        <v>42716011</v>
      </c>
      <c r="BH26" s="1" cm="1">
        <f t="array" ref="BH26">IF(INDEX($I$3:$L$22,MATCH($P26,$G$3:$G$22,0),$Q26)=BH$2,$S26+$O26+9,$S26+$O26)</f>
        <v>42716011</v>
      </c>
      <c r="BI26" s="1" cm="1">
        <f t="array" ref="BI26">IF(INDEX($I$3:$L$22,MATCH($P26,$G$3:$G$22,0),$Q26)=BI$2,$S26+$O26+9,$S26+$O26)</f>
        <v>42716011</v>
      </c>
      <c r="BJ26" s="1" cm="1">
        <f t="array" ref="BJ26">IF(INDEX($I$3:$L$22,MATCH($P26,$G$3:$G$22,0),$Q26)=BJ$2,$S26+$O26+9,$S26+$O26)</f>
        <v>42716011</v>
      </c>
      <c r="BK26" s="1" cm="1">
        <f t="array" ref="BK26">IF(INDEX($I$3:$L$22,MATCH($P26,$G$3:$G$22,0),$Q26)=BK$2,$S26+$O26+9,$S26+$O26)</f>
        <v>42716011</v>
      </c>
      <c r="BL26" s="1" cm="1">
        <f t="array" ref="BL26">IF(INDEX($I$3:$L$22,MATCH($P26,$G$3:$G$22,0),$Q26)=BL$2,$S26+$O26+9,$S26+$O26)</f>
        <v>42716011</v>
      </c>
      <c r="BM26" s="1" cm="1">
        <f t="array" ref="BM26">IF(INDEX($I$3:$L$22,MATCH($P26,$G$3:$G$22,0),$Q26)=BM$2,$S26+$O26+9,$S26+$O26)</f>
        <v>42716011</v>
      </c>
      <c r="BN26" s="1" cm="1">
        <f t="array" ref="BN26">IF(INDEX($I$3:$L$22,MATCH($P26,$G$3:$G$22,0),$Q26)=BN$2,$S26+$O26+9,$S26+$O26)</f>
        <v>42716011</v>
      </c>
      <c r="BO26" s="1" cm="1">
        <f t="array" ref="BO26">IF(INDEX($I$3:$L$22,MATCH($P26,$G$3:$G$22,0),$Q26)=BO$2,$S26+$O26+9,$S26+$O26)</f>
        <v>42716011</v>
      </c>
      <c r="BP26" s="1" cm="1">
        <f t="array" ref="BP26">IF(INDEX($I$3:$L$22,MATCH($P26,$G$3:$G$22,0),$Q26)=BP$2,$S26+$O26+9,$S26+$O26)</f>
        <v>42716011</v>
      </c>
      <c r="BQ26" s="1" cm="1">
        <f t="array" ref="BQ26">IF(INDEX($I$3:$L$22,MATCH($P26,$G$3:$G$22,0),$Q26)=BQ$2,$S26+$O26+9,$S26+$O26)</f>
        <v>42716011</v>
      </c>
      <c r="BR26" s="1" cm="1">
        <f t="array" ref="BR26">IF(INDEX($I$3:$L$22,MATCH($P26,$G$3:$G$22,0),$Q26)=BR$2,$S26+$O26+9,$S26+$O26)</f>
        <v>42716011</v>
      </c>
      <c r="BS26" s="1" cm="1">
        <f t="array" ref="BS26">IF(INDEX($I$3:$L$22,MATCH($P26,$G$3:$G$22,0),$Q26)=BS$2,$S26+$O26+9,$S26+$O26)</f>
        <v>42716011</v>
      </c>
      <c r="BT26" s="1" cm="1">
        <f t="array" ref="BT26">IF(INDEX($I$3:$L$22,MATCH($P26,$G$3:$G$22,0),$Q26)=BT$2,$S26+$O26+9,$S26+$O26)</f>
        <v>42716011</v>
      </c>
    </row>
    <row r="27" spans="1:72" x14ac:dyDescent="0.15">
      <c r="A27" s="1">
        <v>0</v>
      </c>
      <c r="B27" s="1" cm="1">
        <f t="array" aca="1" ref="B27:E27" ca="1">_xlfn.RANDARRAY(1,4,1,50,TRUE)</f>
        <v>4</v>
      </c>
      <c r="C27" s="1">
        <f ca="1"/>
        <v>25</v>
      </c>
      <c r="D27" s="1">
        <f ca="1"/>
        <v>8</v>
      </c>
      <c r="E27" s="1">
        <f ca="1"/>
        <v>25</v>
      </c>
      <c r="N27" s="1">
        <v>40001</v>
      </c>
      <c r="O27" s="1">
        <f t="shared" si="5"/>
        <v>11</v>
      </c>
      <c r="P27" s="1">
        <f t="shared" si="6"/>
        <v>201</v>
      </c>
      <c r="Q27" s="1">
        <f t="shared" si="7"/>
        <v>1</v>
      </c>
      <c r="R27" s="1" t="s">
        <v>18</v>
      </c>
      <c r="S27" s="1">
        <v>42711000</v>
      </c>
      <c r="T27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</v>
      </c>
      <c r="W27" s="1" cm="1">
        <f t="array" ref="W27">IF(INDEX($I$3:$L$22,MATCH($P27,$G$3:$G$22,0),$Q27)=W$2,$S27+$O27+9,$S27+$O27)</f>
        <v>42711011</v>
      </c>
      <c r="X27" s="1" cm="1">
        <f t="array" ref="X27">IF(INDEX($I$3:$L$22,MATCH($P27,$G$3:$G$22,0),$Q27)=X$2,$S27+$O27+9,$S27+$O27)</f>
        <v>42711011</v>
      </c>
      <c r="Y27" s="1" cm="1">
        <f t="array" ref="Y27">IF(INDEX($I$3:$L$22,MATCH($P27,$G$3:$G$22,0),$Q27)=Y$2,$S27+$O27+9,$S27+$O27)</f>
        <v>42711011</v>
      </c>
      <c r="Z27" s="1" cm="1">
        <f t="array" ref="Z27">IF(INDEX($I$3:$L$22,MATCH($P27,$G$3:$G$22,0),$Q27)=Z$2,$S27+$O27+9,$S27+$O27)</f>
        <v>42711011</v>
      </c>
      <c r="AA27" s="1" cm="1">
        <f t="array" ref="AA27">IF(INDEX($I$3:$L$22,MATCH($P27,$G$3:$G$22,0),$Q27)=AA$2,$S27+$O27+9,$S27+$O27)</f>
        <v>42711011</v>
      </c>
      <c r="AB27" s="1" cm="1">
        <f t="array" ref="AB27">IF(INDEX($I$3:$L$22,MATCH($P27,$G$3:$G$22,0),$Q27)=AB$2,$S27+$O27+9,$S27+$O27)</f>
        <v>42711011</v>
      </c>
      <c r="AC27" s="1" cm="1">
        <f t="array" ref="AC27">IF(INDEX($I$3:$L$22,MATCH($P27,$G$3:$G$22,0),$Q27)=AC$2,$S27+$O27+9,$S27+$O27)</f>
        <v>42711011</v>
      </c>
      <c r="AD27" s="1" cm="1">
        <f t="array" ref="AD27">IF(INDEX($I$3:$L$22,MATCH($P27,$G$3:$G$22,0),$Q27)=AD$2,$S27+$O27+9,$S27+$O27)</f>
        <v>42711011</v>
      </c>
      <c r="AE27" s="1" cm="1">
        <f t="array" ref="AE27">IF(INDEX($I$3:$L$22,MATCH($P27,$G$3:$G$22,0),$Q27)=AE$2,$S27+$O27+9,$S27+$O27)</f>
        <v>42711011</v>
      </c>
      <c r="AF27" s="1" cm="1">
        <f t="array" ref="AF27">IF(INDEX($I$3:$L$22,MATCH($P27,$G$3:$G$22,0),$Q27)=AF$2,$S27+$O27+9,$S27+$O27)</f>
        <v>42711011</v>
      </c>
      <c r="AG27" s="1" cm="1">
        <f t="array" ref="AG27">IF(INDEX($I$3:$L$22,MATCH($P27,$G$3:$G$22,0),$Q27)=AG$2,$S27+$O27+9,$S27+$O27)</f>
        <v>42711011</v>
      </c>
      <c r="AH27" s="1" cm="1">
        <f t="array" ref="AH27">IF(INDEX($I$3:$L$22,MATCH($P27,$G$3:$G$22,0),$Q27)=AH$2,$S27+$O27+9,$S27+$O27)</f>
        <v>42711011</v>
      </c>
      <c r="AI27" s="1" cm="1">
        <f t="array" ref="AI27">IF(INDEX($I$3:$L$22,MATCH($P27,$G$3:$G$22,0),$Q27)=AI$2,$S27+$O27+9,$S27+$O27)</f>
        <v>42711011</v>
      </c>
      <c r="AJ27" s="1" cm="1">
        <f t="array" ref="AJ27">IF(INDEX($I$3:$L$22,MATCH($P27,$G$3:$G$22,0),$Q27)=AJ$2,$S27+$O27+9,$S27+$O27)</f>
        <v>42711011</v>
      </c>
      <c r="AK27" s="1" cm="1">
        <f t="array" ref="AK27">IF(INDEX($I$3:$L$22,MATCH($P27,$G$3:$G$22,0),$Q27)=AK$2,$S27+$O27+9,$S27+$O27)</f>
        <v>42711011</v>
      </c>
      <c r="AL27" s="1" cm="1">
        <f t="array" ref="AL27">IF(INDEX($I$3:$L$22,MATCH($P27,$G$3:$G$22,0),$Q27)=AL$2,$S27+$O27+9,$S27+$O27)</f>
        <v>42711011</v>
      </c>
      <c r="AM27" s="1" cm="1">
        <f t="array" ref="AM27">IF(INDEX($I$3:$L$22,MATCH($P27,$G$3:$G$22,0),$Q27)=AM$2,$S27+$O27+9,$S27+$O27)</f>
        <v>42711011</v>
      </c>
      <c r="AN27" s="1" cm="1">
        <f t="array" ref="AN27">IF(INDEX($I$3:$L$22,MATCH($P27,$G$3:$G$22,0),$Q27)=AN$2,$S27+$O27+9,$S27+$O27)</f>
        <v>42711011</v>
      </c>
      <c r="AO27" s="1" cm="1">
        <f t="array" ref="AO27">IF(INDEX($I$3:$L$22,MATCH($P27,$G$3:$G$22,0),$Q27)=AO$2,$S27+$O27+9,$S27+$O27)</f>
        <v>42711011</v>
      </c>
      <c r="AP27" s="1" cm="1">
        <f t="array" ref="AP27">IF(INDEX($I$3:$L$22,MATCH($P27,$G$3:$G$22,0),$Q27)=AP$2,$S27+$O27+9,$S27+$O27)</f>
        <v>42711011</v>
      </c>
      <c r="AQ27" s="1" cm="1">
        <f t="array" ref="AQ27">IF(INDEX($I$3:$L$22,MATCH($P27,$G$3:$G$22,0),$Q27)=AQ$2,$S27+$O27+9,$S27+$O27)</f>
        <v>42711011</v>
      </c>
      <c r="AR27" s="1" cm="1">
        <f t="array" ref="AR27">IF(INDEX($I$3:$L$22,MATCH($P27,$G$3:$G$22,0),$Q27)=AR$2,$S27+$O27+9,$S27+$O27)</f>
        <v>42711011</v>
      </c>
      <c r="AS27" s="1" cm="1">
        <f t="array" ref="AS27">IF(INDEX($I$3:$L$22,MATCH($P27,$G$3:$G$22,0),$Q27)=AS$2,$S27+$O27+9,$S27+$O27)</f>
        <v>42711011</v>
      </c>
      <c r="AT27" s="1" cm="1">
        <f t="array" ref="AT27">IF(INDEX($I$3:$L$22,MATCH($P27,$G$3:$G$22,0),$Q27)=AT$2,$S27+$O27+9,$S27+$O27)</f>
        <v>42711011</v>
      </c>
      <c r="AU27" s="1" cm="1">
        <f t="array" ref="AU27">IF(INDEX($I$3:$L$22,MATCH($P27,$G$3:$G$22,0),$Q27)=AU$2,$S27+$O27+9,$S27+$O27)</f>
        <v>42711011</v>
      </c>
      <c r="AV27" s="1" cm="1">
        <f t="array" ref="AV27">IF(INDEX($I$3:$L$22,MATCH($P27,$G$3:$G$22,0),$Q27)=AV$2,$S27+$O27+9,$S27+$O27)</f>
        <v>42711011</v>
      </c>
      <c r="AW27" s="1" cm="1">
        <f t="array" ref="AW27">IF(INDEX($I$3:$L$22,MATCH($P27,$G$3:$G$22,0),$Q27)=AW$2,$S27+$O27+9,$S27+$O27)</f>
        <v>42711011</v>
      </c>
      <c r="AX27" s="1" cm="1">
        <f t="array" ref="AX27">IF(INDEX($I$3:$L$22,MATCH($P27,$G$3:$G$22,0),$Q27)=AX$2,$S27+$O27+9,$S27+$O27)</f>
        <v>42711011</v>
      </c>
      <c r="AY27" s="1" cm="1">
        <f t="array" ref="AY27">IF(INDEX($I$3:$L$22,MATCH($P27,$G$3:$G$22,0),$Q27)=AY$2,$S27+$O27+9,$S27+$O27)</f>
        <v>42711011</v>
      </c>
      <c r="AZ27" s="1" cm="1">
        <f t="array" ref="AZ27">IF(INDEX($I$3:$L$22,MATCH($P27,$G$3:$G$22,0),$Q27)=AZ$2,$S27+$O27+9,$S27+$O27)</f>
        <v>42711011</v>
      </c>
      <c r="BA27" s="1" cm="1">
        <f t="array" ref="BA27">IF(INDEX($I$3:$L$22,MATCH($P27,$G$3:$G$22,0),$Q27)=BA$2,$S27+$O27+9,$S27+$O27)</f>
        <v>42711011</v>
      </c>
      <c r="BB27" s="1" cm="1">
        <f t="array" ref="BB27">IF(INDEX($I$3:$L$22,MATCH($P27,$G$3:$G$22,0),$Q27)=BB$2,$S27+$O27+9,$S27+$O27)</f>
        <v>42711011</v>
      </c>
      <c r="BC27" s="1" cm="1">
        <f t="array" ref="BC27">IF(INDEX($I$3:$L$22,MATCH($P27,$G$3:$G$22,0),$Q27)=BC$2,$S27+$O27+9,$S27+$O27)</f>
        <v>42711011</v>
      </c>
      <c r="BD27" s="1" cm="1">
        <f t="array" ref="BD27">IF(INDEX($I$3:$L$22,MATCH($P27,$G$3:$G$22,0),$Q27)=BD$2,$S27+$O27+9,$S27+$O27)</f>
        <v>42711011</v>
      </c>
      <c r="BE27" s="1" cm="1">
        <f t="array" ref="BE27">IF(INDEX($I$3:$L$22,MATCH($P27,$G$3:$G$22,0),$Q27)=BE$2,$S27+$O27+9,$S27+$O27)</f>
        <v>42711011</v>
      </c>
      <c r="BF27" s="1" cm="1">
        <f t="array" ref="BF27">IF(INDEX($I$3:$L$22,MATCH($P27,$G$3:$G$22,0),$Q27)=BF$2,$S27+$O27+9,$S27+$O27)</f>
        <v>42711011</v>
      </c>
      <c r="BG27" s="1" cm="1">
        <f t="array" ref="BG27">IF(INDEX($I$3:$L$22,MATCH($P27,$G$3:$G$22,0),$Q27)=BG$2,$S27+$O27+9,$S27+$O27)</f>
        <v>42711011</v>
      </c>
      <c r="BH27" s="1" cm="1">
        <f t="array" ref="BH27">IF(INDEX($I$3:$L$22,MATCH($P27,$G$3:$G$22,0),$Q27)=BH$2,$S27+$O27+9,$S27+$O27)</f>
        <v>42711011</v>
      </c>
      <c r="BI27" s="1" cm="1">
        <f t="array" ref="BI27">IF(INDEX($I$3:$L$22,MATCH($P27,$G$3:$G$22,0),$Q27)=BI$2,$S27+$O27+9,$S27+$O27)</f>
        <v>42711011</v>
      </c>
      <c r="BJ27" s="1" cm="1">
        <f t="array" ref="BJ27">IF(INDEX($I$3:$L$22,MATCH($P27,$G$3:$G$22,0),$Q27)=BJ$2,$S27+$O27+9,$S27+$O27)</f>
        <v>42711011</v>
      </c>
      <c r="BK27" s="1" cm="1">
        <f t="array" ref="BK27">IF(INDEX($I$3:$L$22,MATCH($P27,$G$3:$G$22,0),$Q27)=BK$2,$S27+$O27+9,$S27+$O27)</f>
        <v>42711011</v>
      </c>
      <c r="BL27" s="1" cm="1">
        <f t="array" ref="BL27">IF(INDEX($I$3:$L$22,MATCH($P27,$G$3:$G$22,0),$Q27)=BL$2,$S27+$O27+9,$S27+$O27)</f>
        <v>42711011</v>
      </c>
      <c r="BM27" s="1" cm="1">
        <f t="array" ref="BM27">IF(INDEX($I$3:$L$22,MATCH($P27,$G$3:$G$22,0),$Q27)=BM$2,$S27+$O27+9,$S27+$O27)</f>
        <v>42711020</v>
      </c>
      <c r="BN27" s="1" cm="1">
        <f t="array" ref="BN27">IF(INDEX($I$3:$L$22,MATCH($P27,$G$3:$G$22,0),$Q27)=BN$2,$S27+$O27+9,$S27+$O27)</f>
        <v>42711011</v>
      </c>
      <c r="BO27" s="1" cm="1">
        <f t="array" ref="BO27">IF(INDEX($I$3:$L$22,MATCH($P27,$G$3:$G$22,0),$Q27)=BO$2,$S27+$O27+9,$S27+$O27)</f>
        <v>42711011</v>
      </c>
      <c r="BP27" s="1" cm="1">
        <f t="array" ref="BP27">IF(INDEX($I$3:$L$22,MATCH($P27,$G$3:$G$22,0),$Q27)=BP$2,$S27+$O27+9,$S27+$O27)</f>
        <v>42711011</v>
      </c>
      <c r="BQ27" s="1" cm="1">
        <f t="array" ref="BQ27">IF(INDEX($I$3:$L$22,MATCH($P27,$G$3:$G$22,0),$Q27)=BQ$2,$S27+$O27+9,$S27+$O27)</f>
        <v>42711011</v>
      </c>
      <c r="BR27" s="1" cm="1">
        <f t="array" ref="BR27">IF(INDEX($I$3:$L$22,MATCH($P27,$G$3:$G$22,0),$Q27)=BR$2,$S27+$O27+9,$S27+$O27)</f>
        <v>42711011</v>
      </c>
      <c r="BS27" s="1" cm="1">
        <f t="array" ref="BS27">IF(INDEX($I$3:$L$22,MATCH($P27,$G$3:$G$22,0),$Q27)=BS$2,$S27+$O27+9,$S27+$O27)</f>
        <v>42711011</v>
      </c>
      <c r="BT27" s="1" cm="1">
        <f t="array" ref="BT27">IF(INDEX($I$3:$L$22,MATCH($P27,$G$3:$G$22,0),$Q27)=BT$2,$S27+$O27+9,$S27+$O27)</f>
        <v>42711011</v>
      </c>
    </row>
    <row r="28" spans="1:72" x14ac:dyDescent="0.15">
      <c r="A28" s="1">
        <v>0</v>
      </c>
      <c r="B28" s="1" cm="1">
        <f t="array" aca="1" ref="B28:E28" ca="1">_xlfn.RANDARRAY(1,4,1,50,TRUE)</f>
        <v>19</v>
      </c>
      <c r="C28" s="1">
        <f ca="1"/>
        <v>3</v>
      </c>
      <c r="D28" s="1">
        <f ca="1"/>
        <v>43</v>
      </c>
      <c r="E28" s="1">
        <f ca="1"/>
        <v>4</v>
      </c>
      <c r="N28" s="1">
        <v>40001</v>
      </c>
      <c r="O28" s="1">
        <f t="shared" si="5"/>
        <v>11</v>
      </c>
      <c r="P28" s="1">
        <f t="shared" si="6"/>
        <v>201</v>
      </c>
      <c r="Q28" s="1">
        <f t="shared" si="7"/>
        <v>2</v>
      </c>
      <c r="R28" s="1" t="s">
        <v>17</v>
      </c>
      <c r="S28" s="1">
        <v>42612000</v>
      </c>
      <c r="T28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</v>
      </c>
      <c r="W28" s="1" cm="1">
        <f t="array" ref="W28">IF(INDEX($I$3:$L$22,MATCH($P28,$G$3:$G$22,0),$Q28)=W$2,$S28+$O28+9,$S28+$O28)</f>
        <v>42612011</v>
      </c>
      <c r="X28" s="1" cm="1">
        <f t="array" ref="X28">IF(INDEX($I$3:$L$22,MATCH($P28,$G$3:$G$22,0),$Q28)=X$2,$S28+$O28+9,$S28+$O28)</f>
        <v>42612011</v>
      </c>
      <c r="Y28" s="1" cm="1">
        <f t="array" ref="Y28">IF(INDEX($I$3:$L$22,MATCH($P28,$G$3:$G$22,0),$Q28)=Y$2,$S28+$O28+9,$S28+$O28)</f>
        <v>42612011</v>
      </c>
      <c r="Z28" s="1" cm="1">
        <f t="array" ref="Z28">IF(INDEX($I$3:$L$22,MATCH($P28,$G$3:$G$22,0),$Q28)=Z$2,$S28+$O28+9,$S28+$O28)</f>
        <v>42612011</v>
      </c>
      <c r="AA28" s="1" cm="1">
        <f t="array" ref="AA28">IF(INDEX($I$3:$L$22,MATCH($P28,$G$3:$G$22,0),$Q28)=AA$2,$S28+$O28+9,$S28+$O28)</f>
        <v>42612011</v>
      </c>
      <c r="AB28" s="1" cm="1">
        <f t="array" ref="AB28">IF(INDEX($I$3:$L$22,MATCH($P28,$G$3:$G$22,0),$Q28)=AB$2,$S28+$O28+9,$S28+$O28)</f>
        <v>42612011</v>
      </c>
      <c r="AC28" s="1" cm="1">
        <f t="array" ref="AC28">IF(INDEX($I$3:$L$22,MATCH($P28,$G$3:$G$22,0),$Q28)=AC$2,$S28+$O28+9,$S28+$O28)</f>
        <v>42612011</v>
      </c>
      <c r="AD28" s="1" cm="1">
        <f t="array" ref="AD28">IF(INDEX($I$3:$L$22,MATCH($P28,$G$3:$G$22,0),$Q28)=AD$2,$S28+$O28+9,$S28+$O28)</f>
        <v>42612011</v>
      </c>
      <c r="AE28" s="1" cm="1">
        <f t="array" ref="AE28">IF(INDEX($I$3:$L$22,MATCH($P28,$G$3:$G$22,0),$Q28)=AE$2,$S28+$O28+9,$S28+$O28)</f>
        <v>42612011</v>
      </c>
      <c r="AF28" s="1" cm="1">
        <f t="array" ref="AF28">IF(INDEX($I$3:$L$22,MATCH($P28,$G$3:$G$22,0),$Q28)=AF$2,$S28+$O28+9,$S28+$O28)</f>
        <v>42612011</v>
      </c>
      <c r="AG28" s="1" cm="1">
        <f t="array" ref="AG28">IF(INDEX($I$3:$L$22,MATCH($P28,$G$3:$G$22,0),$Q28)=AG$2,$S28+$O28+9,$S28+$O28)</f>
        <v>42612011</v>
      </c>
      <c r="AH28" s="1" cm="1">
        <f t="array" ref="AH28">IF(INDEX($I$3:$L$22,MATCH($P28,$G$3:$G$22,0),$Q28)=AH$2,$S28+$O28+9,$S28+$O28)</f>
        <v>42612011</v>
      </c>
      <c r="AI28" s="1" cm="1">
        <f t="array" ref="AI28">IF(INDEX($I$3:$L$22,MATCH($P28,$G$3:$G$22,0),$Q28)=AI$2,$S28+$O28+9,$S28+$O28)</f>
        <v>42612011</v>
      </c>
      <c r="AJ28" s="1" cm="1">
        <f t="array" ref="AJ28">IF(INDEX($I$3:$L$22,MATCH($P28,$G$3:$G$22,0),$Q28)=AJ$2,$S28+$O28+9,$S28+$O28)</f>
        <v>42612011</v>
      </c>
      <c r="AK28" s="1" cm="1">
        <f t="array" ref="AK28">IF(INDEX($I$3:$L$22,MATCH($P28,$G$3:$G$22,0),$Q28)=AK$2,$S28+$O28+9,$S28+$O28)</f>
        <v>42612011</v>
      </c>
      <c r="AL28" s="1" cm="1">
        <f t="array" ref="AL28">IF(INDEX($I$3:$L$22,MATCH($P28,$G$3:$G$22,0),$Q28)=AL$2,$S28+$O28+9,$S28+$O28)</f>
        <v>42612011</v>
      </c>
      <c r="AM28" s="1" cm="1">
        <f t="array" ref="AM28">IF(INDEX($I$3:$L$22,MATCH($P28,$G$3:$G$22,0),$Q28)=AM$2,$S28+$O28+9,$S28+$O28)</f>
        <v>42612011</v>
      </c>
      <c r="AN28" s="1" cm="1">
        <f t="array" ref="AN28">IF(INDEX($I$3:$L$22,MATCH($P28,$G$3:$G$22,0),$Q28)=AN$2,$S28+$O28+9,$S28+$O28)</f>
        <v>42612011</v>
      </c>
      <c r="AO28" s="1" cm="1">
        <f t="array" ref="AO28">IF(INDEX($I$3:$L$22,MATCH($P28,$G$3:$G$22,0),$Q28)=AO$2,$S28+$O28+9,$S28+$O28)</f>
        <v>42612011</v>
      </c>
      <c r="AP28" s="1" cm="1">
        <f t="array" ref="AP28">IF(INDEX($I$3:$L$22,MATCH($P28,$G$3:$G$22,0),$Q28)=AP$2,$S28+$O28+9,$S28+$O28)</f>
        <v>42612011</v>
      </c>
      <c r="AQ28" s="1" cm="1">
        <f t="array" ref="AQ28">IF(INDEX($I$3:$L$22,MATCH($P28,$G$3:$G$22,0),$Q28)=AQ$2,$S28+$O28+9,$S28+$O28)</f>
        <v>42612011</v>
      </c>
      <c r="AR28" s="1" cm="1">
        <f t="array" ref="AR28">IF(INDEX($I$3:$L$22,MATCH($P28,$G$3:$G$22,0),$Q28)=AR$2,$S28+$O28+9,$S28+$O28)</f>
        <v>42612011</v>
      </c>
      <c r="AS28" s="1" cm="1">
        <f t="array" ref="AS28">IF(INDEX($I$3:$L$22,MATCH($P28,$G$3:$G$22,0),$Q28)=AS$2,$S28+$O28+9,$S28+$O28)</f>
        <v>42612011</v>
      </c>
      <c r="AT28" s="1" cm="1">
        <f t="array" ref="AT28">IF(INDEX($I$3:$L$22,MATCH($P28,$G$3:$G$22,0),$Q28)=AT$2,$S28+$O28+9,$S28+$O28)</f>
        <v>42612011</v>
      </c>
      <c r="AU28" s="1" cm="1">
        <f t="array" ref="AU28">IF(INDEX($I$3:$L$22,MATCH($P28,$G$3:$G$22,0),$Q28)=AU$2,$S28+$O28+9,$S28+$O28)</f>
        <v>42612011</v>
      </c>
      <c r="AV28" s="1" cm="1">
        <f t="array" ref="AV28">IF(INDEX($I$3:$L$22,MATCH($P28,$G$3:$G$22,0),$Q28)=AV$2,$S28+$O28+9,$S28+$O28)</f>
        <v>42612011</v>
      </c>
      <c r="AW28" s="1" cm="1">
        <f t="array" ref="AW28">IF(INDEX($I$3:$L$22,MATCH($P28,$G$3:$G$22,0),$Q28)=AW$2,$S28+$O28+9,$S28+$O28)</f>
        <v>42612011</v>
      </c>
      <c r="AX28" s="1" cm="1">
        <f t="array" ref="AX28">IF(INDEX($I$3:$L$22,MATCH($P28,$G$3:$G$22,0),$Q28)=AX$2,$S28+$O28+9,$S28+$O28)</f>
        <v>42612011</v>
      </c>
      <c r="AY28" s="1" cm="1">
        <f t="array" ref="AY28">IF(INDEX($I$3:$L$22,MATCH($P28,$G$3:$G$22,0),$Q28)=AY$2,$S28+$O28+9,$S28+$O28)</f>
        <v>42612011</v>
      </c>
      <c r="AZ28" s="1" cm="1">
        <f t="array" ref="AZ28">IF(INDEX($I$3:$L$22,MATCH($P28,$G$3:$G$22,0),$Q28)=AZ$2,$S28+$O28+9,$S28+$O28)</f>
        <v>42612011</v>
      </c>
      <c r="BA28" s="1" cm="1">
        <f t="array" ref="BA28">IF(INDEX($I$3:$L$22,MATCH($P28,$G$3:$G$22,0),$Q28)=BA$2,$S28+$O28+9,$S28+$O28)</f>
        <v>42612011</v>
      </c>
      <c r="BB28" s="1" cm="1">
        <f t="array" ref="BB28">IF(INDEX($I$3:$L$22,MATCH($P28,$G$3:$G$22,0),$Q28)=BB$2,$S28+$O28+9,$S28+$O28)</f>
        <v>42612011</v>
      </c>
      <c r="BC28" s="1" cm="1">
        <f t="array" ref="BC28">IF(INDEX($I$3:$L$22,MATCH($P28,$G$3:$G$22,0),$Q28)=BC$2,$S28+$O28+9,$S28+$O28)</f>
        <v>42612011</v>
      </c>
      <c r="BD28" s="1" cm="1">
        <f t="array" ref="BD28">IF(INDEX($I$3:$L$22,MATCH($P28,$G$3:$G$22,0),$Q28)=BD$2,$S28+$O28+9,$S28+$O28)</f>
        <v>42612020</v>
      </c>
      <c r="BE28" s="1" cm="1">
        <f t="array" ref="BE28">IF(INDEX($I$3:$L$22,MATCH($P28,$G$3:$G$22,0),$Q28)=BE$2,$S28+$O28+9,$S28+$O28)</f>
        <v>42612011</v>
      </c>
      <c r="BF28" s="1" cm="1">
        <f t="array" ref="BF28">IF(INDEX($I$3:$L$22,MATCH($P28,$G$3:$G$22,0),$Q28)=BF$2,$S28+$O28+9,$S28+$O28)</f>
        <v>42612011</v>
      </c>
      <c r="BG28" s="1" cm="1">
        <f t="array" ref="BG28">IF(INDEX($I$3:$L$22,MATCH($P28,$G$3:$G$22,0),$Q28)=BG$2,$S28+$O28+9,$S28+$O28)</f>
        <v>42612011</v>
      </c>
      <c r="BH28" s="1" cm="1">
        <f t="array" ref="BH28">IF(INDEX($I$3:$L$22,MATCH($P28,$G$3:$G$22,0),$Q28)=BH$2,$S28+$O28+9,$S28+$O28)</f>
        <v>42612011</v>
      </c>
      <c r="BI28" s="1" cm="1">
        <f t="array" ref="BI28">IF(INDEX($I$3:$L$22,MATCH($P28,$G$3:$G$22,0),$Q28)=BI$2,$S28+$O28+9,$S28+$O28)</f>
        <v>42612011</v>
      </c>
      <c r="BJ28" s="1" cm="1">
        <f t="array" ref="BJ28">IF(INDEX($I$3:$L$22,MATCH($P28,$G$3:$G$22,0),$Q28)=BJ$2,$S28+$O28+9,$S28+$O28)</f>
        <v>42612011</v>
      </c>
      <c r="BK28" s="1" cm="1">
        <f t="array" ref="BK28">IF(INDEX($I$3:$L$22,MATCH($P28,$G$3:$G$22,0),$Q28)=BK$2,$S28+$O28+9,$S28+$O28)</f>
        <v>42612011</v>
      </c>
      <c r="BL28" s="1" cm="1">
        <f t="array" ref="BL28">IF(INDEX($I$3:$L$22,MATCH($P28,$G$3:$G$22,0),$Q28)=BL$2,$S28+$O28+9,$S28+$O28)</f>
        <v>42612011</v>
      </c>
      <c r="BM28" s="1" cm="1">
        <f t="array" ref="BM28">IF(INDEX($I$3:$L$22,MATCH($P28,$G$3:$G$22,0),$Q28)=BM$2,$S28+$O28+9,$S28+$O28)</f>
        <v>42612011</v>
      </c>
      <c r="BN28" s="1" cm="1">
        <f t="array" ref="BN28">IF(INDEX($I$3:$L$22,MATCH($P28,$G$3:$G$22,0),$Q28)=BN$2,$S28+$O28+9,$S28+$O28)</f>
        <v>42612011</v>
      </c>
      <c r="BO28" s="1" cm="1">
        <f t="array" ref="BO28">IF(INDEX($I$3:$L$22,MATCH($P28,$G$3:$G$22,0),$Q28)=BO$2,$S28+$O28+9,$S28+$O28)</f>
        <v>42612011</v>
      </c>
      <c r="BP28" s="1" cm="1">
        <f t="array" ref="BP28">IF(INDEX($I$3:$L$22,MATCH($P28,$G$3:$G$22,0),$Q28)=BP$2,$S28+$O28+9,$S28+$O28)</f>
        <v>42612011</v>
      </c>
      <c r="BQ28" s="1" cm="1">
        <f t="array" ref="BQ28">IF(INDEX($I$3:$L$22,MATCH($P28,$G$3:$G$22,0),$Q28)=BQ$2,$S28+$O28+9,$S28+$O28)</f>
        <v>42612011</v>
      </c>
      <c r="BR28" s="1" cm="1">
        <f t="array" ref="BR28">IF(INDEX($I$3:$L$22,MATCH($P28,$G$3:$G$22,0),$Q28)=BR$2,$S28+$O28+9,$S28+$O28)</f>
        <v>42612011</v>
      </c>
      <c r="BS28" s="1" cm="1">
        <f t="array" ref="BS28">IF(INDEX($I$3:$L$22,MATCH($P28,$G$3:$G$22,0),$Q28)=BS$2,$S28+$O28+9,$S28+$O28)</f>
        <v>42612011</v>
      </c>
      <c r="BT28" s="1" cm="1">
        <f t="array" ref="BT28">IF(INDEX($I$3:$L$22,MATCH($P28,$G$3:$G$22,0),$Q28)=BT$2,$S28+$O28+9,$S28+$O28)</f>
        <v>42612011</v>
      </c>
    </row>
    <row r="29" spans="1:72" x14ac:dyDescent="0.15">
      <c r="A29" s="1">
        <v>0</v>
      </c>
      <c r="B29" s="1" cm="1">
        <f t="array" aca="1" ref="B29:E29" ca="1">_xlfn.RANDARRAY(1,4,1,50,TRUE)</f>
        <v>44</v>
      </c>
      <c r="C29" s="1">
        <f ca="1"/>
        <v>21</v>
      </c>
      <c r="D29" s="1">
        <f ca="1"/>
        <v>29</v>
      </c>
      <c r="E29" s="1">
        <f ca="1"/>
        <v>39</v>
      </c>
      <c r="N29" s="1">
        <v>40001</v>
      </c>
      <c r="O29" s="1">
        <f t="shared" si="5"/>
        <v>11</v>
      </c>
      <c r="P29" s="1">
        <f t="shared" si="6"/>
        <v>201</v>
      </c>
      <c r="Q29" s="1">
        <f t="shared" si="7"/>
        <v>3</v>
      </c>
      <c r="R29" s="1" t="s">
        <v>16</v>
      </c>
      <c r="S29" s="1">
        <v>42713000</v>
      </c>
      <c r="T29" s="1" t="str">
        <f t="shared" si="2"/>
        <v>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</v>
      </c>
      <c r="W29" s="1" cm="1">
        <f t="array" ref="W29">IF(INDEX($I$3:$L$22,MATCH($P29,$G$3:$G$22,0),$Q29)=W$2,$S29+$O29+9,$S29+$O29)</f>
        <v>42713011</v>
      </c>
      <c r="X29" s="1" cm="1">
        <f t="array" ref="X29">IF(INDEX($I$3:$L$22,MATCH($P29,$G$3:$G$22,0),$Q29)=X$2,$S29+$O29+9,$S29+$O29)</f>
        <v>42713011</v>
      </c>
      <c r="Y29" s="1" cm="1">
        <f t="array" ref="Y29">IF(INDEX($I$3:$L$22,MATCH($P29,$G$3:$G$22,0),$Q29)=Y$2,$S29+$O29+9,$S29+$O29)</f>
        <v>42713011</v>
      </c>
      <c r="Z29" s="1" cm="1">
        <f t="array" ref="Z29">IF(INDEX($I$3:$L$22,MATCH($P29,$G$3:$G$22,0),$Q29)=Z$2,$S29+$O29+9,$S29+$O29)</f>
        <v>42713011</v>
      </c>
      <c r="AA29" s="1" cm="1">
        <f t="array" ref="AA29">IF(INDEX($I$3:$L$22,MATCH($P29,$G$3:$G$22,0),$Q29)=AA$2,$S29+$O29+9,$S29+$O29)</f>
        <v>42713011</v>
      </c>
      <c r="AB29" s="1" cm="1">
        <f t="array" ref="AB29">IF(INDEX($I$3:$L$22,MATCH($P29,$G$3:$G$22,0),$Q29)=AB$2,$S29+$O29+9,$S29+$O29)</f>
        <v>42713011</v>
      </c>
      <c r="AC29" s="1" cm="1">
        <f t="array" ref="AC29">IF(INDEX($I$3:$L$22,MATCH($P29,$G$3:$G$22,0),$Q29)=AC$2,$S29+$O29+9,$S29+$O29)</f>
        <v>42713011</v>
      </c>
      <c r="AD29" s="1" cm="1">
        <f t="array" ref="AD29">IF(INDEX($I$3:$L$22,MATCH($P29,$G$3:$G$22,0),$Q29)=AD$2,$S29+$O29+9,$S29+$O29)</f>
        <v>42713011</v>
      </c>
      <c r="AE29" s="1" cm="1">
        <f t="array" ref="AE29">IF(INDEX($I$3:$L$22,MATCH($P29,$G$3:$G$22,0),$Q29)=AE$2,$S29+$O29+9,$S29+$O29)</f>
        <v>42713011</v>
      </c>
      <c r="AF29" s="1" cm="1">
        <f t="array" ref="AF29">IF(INDEX($I$3:$L$22,MATCH($P29,$G$3:$G$22,0),$Q29)=AF$2,$S29+$O29+9,$S29+$O29)</f>
        <v>42713011</v>
      </c>
      <c r="AG29" s="1" cm="1">
        <f t="array" ref="AG29">IF(INDEX($I$3:$L$22,MATCH($P29,$G$3:$G$22,0),$Q29)=AG$2,$S29+$O29+9,$S29+$O29)</f>
        <v>42713011</v>
      </c>
      <c r="AH29" s="1" cm="1">
        <f t="array" ref="AH29">IF(INDEX($I$3:$L$22,MATCH($P29,$G$3:$G$22,0),$Q29)=AH$2,$S29+$O29+9,$S29+$O29)</f>
        <v>42713011</v>
      </c>
      <c r="AI29" s="1" cm="1">
        <f t="array" ref="AI29">IF(INDEX($I$3:$L$22,MATCH($P29,$G$3:$G$22,0),$Q29)=AI$2,$S29+$O29+9,$S29+$O29)</f>
        <v>42713011</v>
      </c>
      <c r="AJ29" s="1" cm="1">
        <f t="array" ref="AJ29">IF(INDEX($I$3:$L$22,MATCH($P29,$G$3:$G$22,0),$Q29)=AJ$2,$S29+$O29+9,$S29+$O29)</f>
        <v>42713011</v>
      </c>
      <c r="AK29" s="1" cm="1">
        <f t="array" ref="AK29">IF(INDEX($I$3:$L$22,MATCH($P29,$G$3:$G$22,0),$Q29)=AK$2,$S29+$O29+9,$S29+$O29)</f>
        <v>42713011</v>
      </c>
      <c r="AL29" s="1" cm="1">
        <f t="array" ref="AL29">IF(INDEX($I$3:$L$22,MATCH($P29,$G$3:$G$22,0),$Q29)=AL$2,$S29+$O29+9,$S29+$O29)</f>
        <v>42713011</v>
      </c>
      <c r="AM29" s="1" cm="1">
        <f t="array" ref="AM29">IF(INDEX($I$3:$L$22,MATCH($P29,$G$3:$G$22,0),$Q29)=AM$2,$S29+$O29+9,$S29+$O29)</f>
        <v>42713011</v>
      </c>
      <c r="AN29" s="1" cm="1">
        <f t="array" ref="AN29">IF(INDEX($I$3:$L$22,MATCH($P29,$G$3:$G$22,0),$Q29)=AN$2,$S29+$O29+9,$S29+$O29)</f>
        <v>42713011</v>
      </c>
      <c r="AO29" s="1" cm="1">
        <f t="array" ref="AO29">IF(INDEX($I$3:$L$22,MATCH($P29,$G$3:$G$22,0),$Q29)=AO$2,$S29+$O29+9,$S29+$O29)</f>
        <v>42713011</v>
      </c>
      <c r="AP29" s="1" cm="1">
        <f t="array" ref="AP29">IF(INDEX($I$3:$L$22,MATCH($P29,$G$3:$G$22,0),$Q29)=AP$2,$S29+$O29+9,$S29+$O29)</f>
        <v>42713011</v>
      </c>
      <c r="AQ29" s="1" cm="1">
        <f t="array" ref="AQ29">IF(INDEX($I$3:$L$22,MATCH($P29,$G$3:$G$22,0),$Q29)=AQ$2,$S29+$O29+9,$S29+$O29)</f>
        <v>42713011</v>
      </c>
      <c r="AR29" s="1" cm="1">
        <f t="array" ref="AR29">IF(INDEX($I$3:$L$22,MATCH($P29,$G$3:$G$22,0),$Q29)=AR$2,$S29+$O29+9,$S29+$O29)</f>
        <v>42713011</v>
      </c>
      <c r="AS29" s="1" cm="1">
        <f t="array" ref="AS29">IF(INDEX($I$3:$L$22,MATCH($P29,$G$3:$G$22,0),$Q29)=AS$2,$S29+$O29+9,$S29+$O29)</f>
        <v>42713020</v>
      </c>
      <c r="AT29" s="1" cm="1">
        <f t="array" ref="AT29">IF(INDEX($I$3:$L$22,MATCH($P29,$G$3:$G$22,0),$Q29)=AT$2,$S29+$O29+9,$S29+$O29)</f>
        <v>42713011</v>
      </c>
      <c r="AU29" s="1" cm="1">
        <f t="array" ref="AU29">IF(INDEX($I$3:$L$22,MATCH($P29,$G$3:$G$22,0),$Q29)=AU$2,$S29+$O29+9,$S29+$O29)</f>
        <v>42713011</v>
      </c>
      <c r="AV29" s="1" cm="1">
        <f t="array" ref="AV29">IF(INDEX($I$3:$L$22,MATCH($P29,$G$3:$G$22,0),$Q29)=AV$2,$S29+$O29+9,$S29+$O29)</f>
        <v>42713011</v>
      </c>
      <c r="AW29" s="1" cm="1">
        <f t="array" ref="AW29">IF(INDEX($I$3:$L$22,MATCH($P29,$G$3:$G$22,0),$Q29)=AW$2,$S29+$O29+9,$S29+$O29)</f>
        <v>42713011</v>
      </c>
      <c r="AX29" s="1" cm="1">
        <f t="array" ref="AX29">IF(INDEX($I$3:$L$22,MATCH($P29,$G$3:$G$22,0),$Q29)=AX$2,$S29+$O29+9,$S29+$O29)</f>
        <v>42713011</v>
      </c>
      <c r="AY29" s="1" cm="1">
        <f t="array" ref="AY29">IF(INDEX($I$3:$L$22,MATCH($P29,$G$3:$G$22,0),$Q29)=AY$2,$S29+$O29+9,$S29+$O29)</f>
        <v>42713011</v>
      </c>
      <c r="AZ29" s="1" cm="1">
        <f t="array" ref="AZ29">IF(INDEX($I$3:$L$22,MATCH($P29,$G$3:$G$22,0),$Q29)=AZ$2,$S29+$O29+9,$S29+$O29)</f>
        <v>42713011</v>
      </c>
      <c r="BA29" s="1" cm="1">
        <f t="array" ref="BA29">IF(INDEX($I$3:$L$22,MATCH($P29,$G$3:$G$22,0),$Q29)=BA$2,$S29+$O29+9,$S29+$O29)</f>
        <v>42713011</v>
      </c>
      <c r="BB29" s="1" cm="1">
        <f t="array" ref="BB29">IF(INDEX($I$3:$L$22,MATCH($P29,$G$3:$G$22,0),$Q29)=BB$2,$S29+$O29+9,$S29+$O29)</f>
        <v>42713011</v>
      </c>
      <c r="BC29" s="1" cm="1">
        <f t="array" ref="BC29">IF(INDEX($I$3:$L$22,MATCH($P29,$G$3:$G$22,0),$Q29)=BC$2,$S29+$O29+9,$S29+$O29)</f>
        <v>42713011</v>
      </c>
      <c r="BD29" s="1" cm="1">
        <f t="array" ref="BD29">IF(INDEX($I$3:$L$22,MATCH($P29,$G$3:$G$22,0),$Q29)=BD$2,$S29+$O29+9,$S29+$O29)</f>
        <v>42713011</v>
      </c>
      <c r="BE29" s="1" cm="1">
        <f t="array" ref="BE29">IF(INDEX($I$3:$L$22,MATCH($P29,$G$3:$G$22,0),$Q29)=BE$2,$S29+$O29+9,$S29+$O29)</f>
        <v>42713011</v>
      </c>
      <c r="BF29" s="1" cm="1">
        <f t="array" ref="BF29">IF(INDEX($I$3:$L$22,MATCH($P29,$G$3:$G$22,0),$Q29)=BF$2,$S29+$O29+9,$S29+$O29)</f>
        <v>42713011</v>
      </c>
      <c r="BG29" s="1" cm="1">
        <f t="array" ref="BG29">IF(INDEX($I$3:$L$22,MATCH($P29,$G$3:$G$22,0),$Q29)=BG$2,$S29+$O29+9,$S29+$O29)</f>
        <v>42713011</v>
      </c>
      <c r="BH29" s="1" cm="1">
        <f t="array" ref="BH29">IF(INDEX($I$3:$L$22,MATCH($P29,$G$3:$G$22,0),$Q29)=BH$2,$S29+$O29+9,$S29+$O29)</f>
        <v>42713011</v>
      </c>
      <c r="BI29" s="1" cm="1">
        <f t="array" ref="BI29">IF(INDEX($I$3:$L$22,MATCH($P29,$G$3:$G$22,0),$Q29)=BI$2,$S29+$O29+9,$S29+$O29)</f>
        <v>42713011</v>
      </c>
      <c r="BJ29" s="1" cm="1">
        <f t="array" ref="BJ29">IF(INDEX($I$3:$L$22,MATCH($P29,$G$3:$G$22,0),$Q29)=BJ$2,$S29+$O29+9,$S29+$O29)</f>
        <v>42713011</v>
      </c>
      <c r="BK29" s="1" cm="1">
        <f t="array" ref="BK29">IF(INDEX($I$3:$L$22,MATCH($P29,$G$3:$G$22,0),$Q29)=BK$2,$S29+$O29+9,$S29+$O29)</f>
        <v>42713011</v>
      </c>
      <c r="BL29" s="1" cm="1">
        <f t="array" ref="BL29">IF(INDEX($I$3:$L$22,MATCH($P29,$G$3:$G$22,0),$Q29)=BL$2,$S29+$O29+9,$S29+$O29)</f>
        <v>42713011</v>
      </c>
      <c r="BM29" s="1" cm="1">
        <f t="array" ref="BM29">IF(INDEX($I$3:$L$22,MATCH($P29,$G$3:$G$22,0),$Q29)=BM$2,$S29+$O29+9,$S29+$O29)</f>
        <v>42713011</v>
      </c>
      <c r="BN29" s="1" cm="1">
        <f t="array" ref="BN29">IF(INDEX($I$3:$L$22,MATCH($P29,$G$3:$G$22,0),$Q29)=BN$2,$S29+$O29+9,$S29+$O29)</f>
        <v>42713011</v>
      </c>
      <c r="BO29" s="1" cm="1">
        <f t="array" ref="BO29">IF(INDEX($I$3:$L$22,MATCH($P29,$G$3:$G$22,0),$Q29)=BO$2,$S29+$O29+9,$S29+$O29)</f>
        <v>42713011</v>
      </c>
      <c r="BP29" s="1" cm="1">
        <f t="array" ref="BP29">IF(INDEX($I$3:$L$22,MATCH($P29,$G$3:$G$22,0),$Q29)=BP$2,$S29+$O29+9,$S29+$O29)</f>
        <v>42713011</v>
      </c>
      <c r="BQ29" s="1" cm="1">
        <f t="array" ref="BQ29">IF(INDEX($I$3:$L$22,MATCH($P29,$G$3:$G$22,0),$Q29)=BQ$2,$S29+$O29+9,$S29+$O29)</f>
        <v>42713011</v>
      </c>
      <c r="BR29" s="1" cm="1">
        <f t="array" ref="BR29">IF(INDEX($I$3:$L$22,MATCH($P29,$G$3:$G$22,0),$Q29)=BR$2,$S29+$O29+9,$S29+$O29)</f>
        <v>42713011</v>
      </c>
      <c r="BS29" s="1" cm="1">
        <f t="array" ref="BS29">IF(INDEX($I$3:$L$22,MATCH($P29,$G$3:$G$22,0),$Q29)=BS$2,$S29+$O29+9,$S29+$O29)</f>
        <v>42713011</v>
      </c>
      <c r="BT29" s="1" cm="1">
        <f t="array" ref="BT29">IF(INDEX($I$3:$L$22,MATCH($P29,$G$3:$G$22,0),$Q29)=BT$2,$S29+$O29+9,$S29+$O29)</f>
        <v>42713011</v>
      </c>
    </row>
    <row r="30" spans="1:72" x14ac:dyDescent="0.15">
      <c r="A30" s="1">
        <v>0</v>
      </c>
      <c r="B30" s="1" cm="1">
        <f t="array" aca="1" ref="B30:E30" ca="1">_xlfn.RANDARRAY(1,4,1,50,TRUE)</f>
        <v>20</v>
      </c>
      <c r="C30" s="1">
        <f ca="1"/>
        <v>16</v>
      </c>
      <c r="D30" s="1">
        <f ca="1"/>
        <v>21</v>
      </c>
      <c r="E30" s="1">
        <f ca="1"/>
        <v>36</v>
      </c>
      <c r="N30" s="1">
        <v>40001</v>
      </c>
      <c r="O30" s="1">
        <f t="shared" si="5"/>
        <v>11</v>
      </c>
      <c r="P30" s="1">
        <f t="shared" si="6"/>
        <v>201</v>
      </c>
      <c r="Q30" s="1">
        <f t="shared" si="7"/>
        <v>4</v>
      </c>
      <c r="R30" s="1" t="s">
        <v>15</v>
      </c>
      <c r="S30" s="1">
        <v>42716000</v>
      </c>
      <c r="T30" s="1" t="str">
        <f t="shared" si="2"/>
        <v>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0" s="1" cm="1">
        <f t="array" ref="W30">IF(INDEX($I$3:$L$22,MATCH($P30,$G$3:$G$22,0),$Q30)=W$2,$S30+$O30+9,$S30+$O30)</f>
        <v>42716011</v>
      </c>
      <c r="X30" s="1" cm="1">
        <f t="array" ref="X30">IF(INDEX($I$3:$L$22,MATCH($P30,$G$3:$G$22,0),$Q30)=X$2,$S30+$O30+9,$S30+$O30)</f>
        <v>42716011</v>
      </c>
      <c r="Y30" s="1" cm="1">
        <f t="array" ref="Y30">IF(INDEX($I$3:$L$22,MATCH($P30,$G$3:$G$22,0),$Q30)=Y$2,$S30+$O30+9,$S30+$O30)</f>
        <v>42716011</v>
      </c>
      <c r="Z30" s="1" cm="1">
        <f t="array" ref="Z30">IF(INDEX($I$3:$L$22,MATCH($P30,$G$3:$G$22,0),$Q30)=Z$2,$S30+$O30+9,$S30+$O30)</f>
        <v>42716011</v>
      </c>
      <c r="AA30" s="1" cm="1">
        <f t="array" ref="AA30">IF(INDEX($I$3:$L$22,MATCH($P30,$G$3:$G$22,0),$Q30)=AA$2,$S30+$O30+9,$S30+$O30)</f>
        <v>42716011</v>
      </c>
      <c r="AB30" s="1" cm="1">
        <f t="array" ref="AB30">IF(INDEX($I$3:$L$22,MATCH($P30,$G$3:$G$22,0),$Q30)=AB$2,$S30+$O30+9,$S30+$O30)</f>
        <v>42716011</v>
      </c>
      <c r="AC30" s="1" cm="1">
        <f t="array" ref="AC30">IF(INDEX($I$3:$L$22,MATCH($P30,$G$3:$G$22,0),$Q30)=AC$2,$S30+$O30+9,$S30+$O30)</f>
        <v>42716011</v>
      </c>
      <c r="AD30" s="1" cm="1">
        <f t="array" ref="AD30">IF(INDEX($I$3:$L$22,MATCH($P30,$G$3:$G$22,0),$Q30)=AD$2,$S30+$O30+9,$S30+$O30)</f>
        <v>42716011</v>
      </c>
      <c r="AE30" s="1" cm="1">
        <f t="array" ref="AE30">IF(INDEX($I$3:$L$22,MATCH($P30,$G$3:$G$22,0),$Q30)=AE$2,$S30+$O30+9,$S30+$O30)</f>
        <v>42716011</v>
      </c>
      <c r="AF30" s="1" cm="1">
        <f t="array" ref="AF30">IF(INDEX($I$3:$L$22,MATCH($P30,$G$3:$G$22,0),$Q30)=AF$2,$S30+$O30+9,$S30+$O30)</f>
        <v>42716011</v>
      </c>
      <c r="AG30" s="1" cm="1">
        <f t="array" ref="AG30">IF(INDEX($I$3:$L$22,MATCH($P30,$G$3:$G$22,0),$Q30)=AG$2,$S30+$O30+9,$S30+$O30)</f>
        <v>42716011</v>
      </c>
      <c r="AH30" s="1" cm="1">
        <f t="array" ref="AH30">IF(INDEX($I$3:$L$22,MATCH($P30,$G$3:$G$22,0),$Q30)=AH$2,$S30+$O30+9,$S30+$O30)</f>
        <v>42716011</v>
      </c>
      <c r="AI30" s="1" cm="1">
        <f t="array" ref="AI30">IF(INDEX($I$3:$L$22,MATCH($P30,$G$3:$G$22,0),$Q30)=AI$2,$S30+$O30+9,$S30+$O30)</f>
        <v>42716011</v>
      </c>
      <c r="AJ30" s="1" cm="1">
        <f t="array" ref="AJ30">IF(INDEX($I$3:$L$22,MATCH($P30,$G$3:$G$22,0),$Q30)=AJ$2,$S30+$O30+9,$S30+$O30)</f>
        <v>42716011</v>
      </c>
      <c r="AK30" s="1" cm="1">
        <f t="array" ref="AK30">IF(INDEX($I$3:$L$22,MATCH($P30,$G$3:$G$22,0),$Q30)=AK$2,$S30+$O30+9,$S30+$O30)</f>
        <v>42716011</v>
      </c>
      <c r="AL30" s="1" cm="1">
        <f t="array" ref="AL30">IF(INDEX($I$3:$L$22,MATCH($P30,$G$3:$G$22,0),$Q30)=AL$2,$S30+$O30+9,$S30+$O30)</f>
        <v>42716011</v>
      </c>
      <c r="AM30" s="1" cm="1">
        <f t="array" ref="AM30">IF(INDEX($I$3:$L$22,MATCH($P30,$G$3:$G$22,0),$Q30)=AM$2,$S30+$O30+9,$S30+$O30)</f>
        <v>42716011</v>
      </c>
      <c r="AN30" s="1" cm="1">
        <f t="array" ref="AN30">IF(INDEX($I$3:$L$22,MATCH($P30,$G$3:$G$22,0),$Q30)=AN$2,$S30+$O30+9,$S30+$O30)</f>
        <v>42716011</v>
      </c>
      <c r="AO30" s="1" cm="1">
        <f t="array" ref="AO30">IF(INDEX($I$3:$L$22,MATCH($P30,$G$3:$G$22,0),$Q30)=AO$2,$S30+$O30+9,$S30+$O30)</f>
        <v>42716011</v>
      </c>
      <c r="AP30" s="1" cm="1">
        <f t="array" ref="AP30">IF(INDEX($I$3:$L$22,MATCH($P30,$G$3:$G$22,0),$Q30)=AP$2,$S30+$O30+9,$S30+$O30)</f>
        <v>42716011</v>
      </c>
      <c r="AQ30" s="1" cm="1">
        <f t="array" ref="AQ30">IF(INDEX($I$3:$L$22,MATCH($P30,$G$3:$G$22,0),$Q30)=AQ$2,$S30+$O30+9,$S30+$O30)</f>
        <v>42716011</v>
      </c>
      <c r="AR30" s="1" cm="1">
        <f t="array" ref="AR30">IF(INDEX($I$3:$L$22,MATCH($P30,$G$3:$G$22,0),$Q30)=AR$2,$S30+$O30+9,$S30+$O30)</f>
        <v>42716020</v>
      </c>
      <c r="AS30" s="1" cm="1">
        <f t="array" ref="AS30">IF(INDEX($I$3:$L$22,MATCH($P30,$G$3:$G$22,0),$Q30)=AS$2,$S30+$O30+9,$S30+$O30)</f>
        <v>42716011</v>
      </c>
      <c r="AT30" s="1" cm="1">
        <f t="array" ref="AT30">IF(INDEX($I$3:$L$22,MATCH($P30,$G$3:$G$22,0),$Q30)=AT$2,$S30+$O30+9,$S30+$O30)</f>
        <v>42716011</v>
      </c>
      <c r="AU30" s="1" cm="1">
        <f t="array" ref="AU30">IF(INDEX($I$3:$L$22,MATCH($P30,$G$3:$G$22,0),$Q30)=AU$2,$S30+$O30+9,$S30+$O30)</f>
        <v>42716011</v>
      </c>
      <c r="AV30" s="1" cm="1">
        <f t="array" ref="AV30">IF(INDEX($I$3:$L$22,MATCH($P30,$G$3:$G$22,0),$Q30)=AV$2,$S30+$O30+9,$S30+$O30)</f>
        <v>42716011</v>
      </c>
      <c r="AW30" s="1" cm="1">
        <f t="array" ref="AW30">IF(INDEX($I$3:$L$22,MATCH($P30,$G$3:$G$22,0),$Q30)=AW$2,$S30+$O30+9,$S30+$O30)</f>
        <v>42716011</v>
      </c>
      <c r="AX30" s="1" cm="1">
        <f t="array" ref="AX30">IF(INDEX($I$3:$L$22,MATCH($P30,$G$3:$G$22,0),$Q30)=AX$2,$S30+$O30+9,$S30+$O30)</f>
        <v>42716011</v>
      </c>
      <c r="AY30" s="1" cm="1">
        <f t="array" ref="AY30">IF(INDEX($I$3:$L$22,MATCH($P30,$G$3:$G$22,0),$Q30)=AY$2,$S30+$O30+9,$S30+$O30)</f>
        <v>42716011</v>
      </c>
      <c r="AZ30" s="1" cm="1">
        <f t="array" ref="AZ30">IF(INDEX($I$3:$L$22,MATCH($P30,$G$3:$G$22,0),$Q30)=AZ$2,$S30+$O30+9,$S30+$O30)</f>
        <v>42716011</v>
      </c>
      <c r="BA30" s="1" cm="1">
        <f t="array" ref="BA30">IF(INDEX($I$3:$L$22,MATCH($P30,$G$3:$G$22,0),$Q30)=BA$2,$S30+$O30+9,$S30+$O30)</f>
        <v>42716011</v>
      </c>
      <c r="BB30" s="1" cm="1">
        <f t="array" ref="BB30">IF(INDEX($I$3:$L$22,MATCH($P30,$G$3:$G$22,0),$Q30)=BB$2,$S30+$O30+9,$S30+$O30)</f>
        <v>42716011</v>
      </c>
      <c r="BC30" s="1" cm="1">
        <f t="array" ref="BC30">IF(INDEX($I$3:$L$22,MATCH($P30,$G$3:$G$22,0),$Q30)=BC$2,$S30+$O30+9,$S30+$O30)</f>
        <v>42716011</v>
      </c>
      <c r="BD30" s="1" cm="1">
        <f t="array" ref="BD30">IF(INDEX($I$3:$L$22,MATCH($P30,$G$3:$G$22,0),$Q30)=BD$2,$S30+$O30+9,$S30+$O30)</f>
        <v>42716011</v>
      </c>
      <c r="BE30" s="1" cm="1">
        <f t="array" ref="BE30">IF(INDEX($I$3:$L$22,MATCH($P30,$G$3:$G$22,0),$Q30)=BE$2,$S30+$O30+9,$S30+$O30)</f>
        <v>42716011</v>
      </c>
      <c r="BF30" s="1" cm="1">
        <f t="array" ref="BF30">IF(INDEX($I$3:$L$22,MATCH($P30,$G$3:$G$22,0),$Q30)=BF$2,$S30+$O30+9,$S30+$O30)</f>
        <v>42716011</v>
      </c>
      <c r="BG30" s="1" cm="1">
        <f t="array" ref="BG30">IF(INDEX($I$3:$L$22,MATCH($P30,$G$3:$G$22,0),$Q30)=BG$2,$S30+$O30+9,$S30+$O30)</f>
        <v>42716011</v>
      </c>
      <c r="BH30" s="1" cm="1">
        <f t="array" ref="BH30">IF(INDEX($I$3:$L$22,MATCH($P30,$G$3:$G$22,0),$Q30)=BH$2,$S30+$O30+9,$S30+$O30)</f>
        <v>42716011</v>
      </c>
      <c r="BI30" s="1" cm="1">
        <f t="array" ref="BI30">IF(INDEX($I$3:$L$22,MATCH($P30,$G$3:$G$22,0),$Q30)=BI$2,$S30+$O30+9,$S30+$O30)</f>
        <v>42716011</v>
      </c>
      <c r="BJ30" s="1" cm="1">
        <f t="array" ref="BJ30">IF(INDEX($I$3:$L$22,MATCH($P30,$G$3:$G$22,0),$Q30)=BJ$2,$S30+$O30+9,$S30+$O30)</f>
        <v>42716011</v>
      </c>
      <c r="BK30" s="1" cm="1">
        <f t="array" ref="BK30">IF(INDEX($I$3:$L$22,MATCH($P30,$G$3:$G$22,0),$Q30)=BK$2,$S30+$O30+9,$S30+$O30)</f>
        <v>42716011</v>
      </c>
      <c r="BL30" s="1" cm="1">
        <f t="array" ref="BL30">IF(INDEX($I$3:$L$22,MATCH($P30,$G$3:$G$22,0),$Q30)=BL$2,$S30+$O30+9,$S30+$O30)</f>
        <v>42716011</v>
      </c>
      <c r="BM30" s="1" cm="1">
        <f t="array" ref="BM30">IF(INDEX($I$3:$L$22,MATCH($P30,$G$3:$G$22,0),$Q30)=BM$2,$S30+$O30+9,$S30+$O30)</f>
        <v>42716011</v>
      </c>
      <c r="BN30" s="1" cm="1">
        <f t="array" ref="BN30">IF(INDEX($I$3:$L$22,MATCH($P30,$G$3:$G$22,0),$Q30)=BN$2,$S30+$O30+9,$S30+$O30)</f>
        <v>42716011</v>
      </c>
      <c r="BO30" s="1" cm="1">
        <f t="array" ref="BO30">IF(INDEX($I$3:$L$22,MATCH($P30,$G$3:$G$22,0),$Q30)=BO$2,$S30+$O30+9,$S30+$O30)</f>
        <v>42716011</v>
      </c>
      <c r="BP30" s="1" cm="1">
        <f t="array" ref="BP30">IF(INDEX($I$3:$L$22,MATCH($P30,$G$3:$G$22,0),$Q30)=BP$2,$S30+$O30+9,$S30+$O30)</f>
        <v>42716011</v>
      </c>
      <c r="BQ30" s="1" cm="1">
        <f t="array" ref="BQ30">IF(INDEX($I$3:$L$22,MATCH($P30,$G$3:$G$22,0),$Q30)=BQ$2,$S30+$O30+9,$S30+$O30)</f>
        <v>42716011</v>
      </c>
      <c r="BR30" s="1" cm="1">
        <f t="array" ref="BR30">IF(INDEX($I$3:$L$22,MATCH($P30,$G$3:$G$22,0),$Q30)=BR$2,$S30+$O30+9,$S30+$O30)</f>
        <v>42716011</v>
      </c>
      <c r="BS30" s="1" cm="1">
        <f t="array" ref="BS30">IF(INDEX($I$3:$L$22,MATCH($P30,$G$3:$G$22,0),$Q30)=BS$2,$S30+$O30+9,$S30+$O30)</f>
        <v>42716011</v>
      </c>
      <c r="BT30" s="1" cm="1">
        <f t="array" ref="BT30">IF(INDEX($I$3:$L$22,MATCH($P30,$G$3:$G$22,0),$Q30)=BT$2,$S30+$O30+9,$S30+$O30)</f>
        <v>42716011</v>
      </c>
    </row>
    <row r="31" spans="1:72" x14ac:dyDescent="0.15">
      <c r="A31" s="1">
        <v>0</v>
      </c>
      <c r="B31" s="1" cm="1">
        <f t="array" aca="1" ref="B31:E31" ca="1">_xlfn.RANDARRAY(1,4,1,50,TRUE)</f>
        <v>14</v>
      </c>
      <c r="C31" s="1">
        <f ca="1"/>
        <v>36</v>
      </c>
      <c r="D31" s="1">
        <f ca="1"/>
        <v>41</v>
      </c>
      <c r="E31" s="1">
        <f ca="1"/>
        <v>13</v>
      </c>
      <c r="N31" s="1">
        <v>40001</v>
      </c>
      <c r="O31" s="1">
        <f t="shared" si="5"/>
        <v>11</v>
      </c>
      <c r="P31" s="1">
        <f t="shared" si="6"/>
        <v>202</v>
      </c>
      <c r="Q31" s="1">
        <f t="shared" si="7"/>
        <v>1</v>
      </c>
      <c r="R31" s="1" t="s">
        <v>18</v>
      </c>
      <c r="S31" s="1">
        <v>42711000</v>
      </c>
      <c r="T31" s="1" t="str">
        <f t="shared" si="2"/>
        <v>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,42711011,42711011,42711011,42711011,42711011,42711011,42711011,42711011,42711011,42711011,42711011,42711011,42711011,42711011,42711011</v>
      </c>
      <c r="W31" s="1" cm="1">
        <f t="array" ref="W31">IF(INDEX($I$3:$L$22,MATCH($P31,$G$3:$G$22,0),$Q31)=W$2,$S31+$O31+9,$S31+$O31)</f>
        <v>42711011</v>
      </c>
      <c r="X31" s="1" cm="1">
        <f t="array" ref="X31">IF(INDEX($I$3:$L$22,MATCH($P31,$G$3:$G$22,0),$Q31)=X$2,$S31+$O31+9,$S31+$O31)</f>
        <v>42711011</v>
      </c>
      <c r="Y31" s="1" cm="1">
        <f t="array" ref="Y31">IF(INDEX($I$3:$L$22,MATCH($P31,$G$3:$G$22,0),$Q31)=Y$2,$S31+$O31+9,$S31+$O31)</f>
        <v>42711011</v>
      </c>
      <c r="Z31" s="1" cm="1">
        <f t="array" ref="Z31">IF(INDEX($I$3:$L$22,MATCH($P31,$G$3:$G$22,0),$Q31)=Z$2,$S31+$O31+9,$S31+$O31)</f>
        <v>42711011</v>
      </c>
      <c r="AA31" s="1" cm="1">
        <f t="array" ref="AA31">IF(INDEX($I$3:$L$22,MATCH($P31,$G$3:$G$22,0),$Q31)=AA$2,$S31+$O31+9,$S31+$O31)</f>
        <v>42711011</v>
      </c>
      <c r="AB31" s="1" cm="1">
        <f t="array" ref="AB31">IF(INDEX($I$3:$L$22,MATCH($P31,$G$3:$G$22,0),$Q31)=AB$2,$S31+$O31+9,$S31+$O31)</f>
        <v>42711011</v>
      </c>
      <c r="AC31" s="1" cm="1">
        <f t="array" ref="AC31">IF(INDEX($I$3:$L$22,MATCH($P31,$G$3:$G$22,0),$Q31)=AC$2,$S31+$O31+9,$S31+$O31)</f>
        <v>42711011</v>
      </c>
      <c r="AD31" s="1" cm="1">
        <f t="array" ref="AD31">IF(INDEX($I$3:$L$22,MATCH($P31,$G$3:$G$22,0),$Q31)=AD$2,$S31+$O31+9,$S31+$O31)</f>
        <v>42711011</v>
      </c>
      <c r="AE31" s="1" cm="1">
        <f t="array" ref="AE31">IF(INDEX($I$3:$L$22,MATCH($P31,$G$3:$G$22,0),$Q31)=AE$2,$S31+$O31+9,$S31+$O31)</f>
        <v>42711011</v>
      </c>
      <c r="AF31" s="1" cm="1">
        <f t="array" ref="AF31">IF(INDEX($I$3:$L$22,MATCH($P31,$G$3:$G$22,0),$Q31)=AF$2,$S31+$O31+9,$S31+$O31)</f>
        <v>42711011</v>
      </c>
      <c r="AG31" s="1" cm="1">
        <f t="array" ref="AG31">IF(INDEX($I$3:$L$22,MATCH($P31,$G$3:$G$22,0),$Q31)=AG$2,$S31+$O31+9,$S31+$O31)</f>
        <v>42711011</v>
      </c>
      <c r="AH31" s="1" cm="1">
        <f t="array" ref="AH31">IF(INDEX($I$3:$L$22,MATCH($P31,$G$3:$G$22,0),$Q31)=AH$2,$S31+$O31+9,$S31+$O31)</f>
        <v>42711011</v>
      </c>
      <c r="AI31" s="1" cm="1">
        <f t="array" ref="AI31">IF(INDEX($I$3:$L$22,MATCH($P31,$G$3:$G$22,0),$Q31)=AI$2,$S31+$O31+9,$S31+$O31)</f>
        <v>42711011</v>
      </c>
      <c r="AJ31" s="1" cm="1">
        <f t="array" ref="AJ31">IF(INDEX($I$3:$L$22,MATCH($P31,$G$3:$G$22,0),$Q31)=AJ$2,$S31+$O31+9,$S31+$O31)</f>
        <v>42711011</v>
      </c>
      <c r="AK31" s="1" cm="1">
        <f t="array" ref="AK31">IF(INDEX($I$3:$L$22,MATCH($P31,$G$3:$G$22,0),$Q31)=AK$2,$S31+$O31+9,$S31+$O31)</f>
        <v>42711011</v>
      </c>
      <c r="AL31" s="1" cm="1">
        <f t="array" ref="AL31">IF(INDEX($I$3:$L$22,MATCH($P31,$G$3:$G$22,0),$Q31)=AL$2,$S31+$O31+9,$S31+$O31)</f>
        <v>42711011</v>
      </c>
      <c r="AM31" s="1" cm="1">
        <f t="array" ref="AM31">IF(INDEX($I$3:$L$22,MATCH($P31,$G$3:$G$22,0),$Q31)=AM$2,$S31+$O31+9,$S31+$O31)</f>
        <v>42711011</v>
      </c>
      <c r="AN31" s="1" cm="1">
        <f t="array" ref="AN31">IF(INDEX($I$3:$L$22,MATCH($P31,$G$3:$G$22,0),$Q31)=AN$2,$S31+$O31+9,$S31+$O31)</f>
        <v>42711011</v>
      </c>
      <c r="AO31" s="1" cm="1">
        <f t="array" ref="AO31">IF(INDEX($I$3:$L$22,MATCH($P31,$G$3:$G$22,0),$Q31)=AO$2,$S31+$O31+9,$S31+$O31)</f>
        <v>42711011</v>
      </c>
      <c r="AP31" s="1" cm="1">
        <f t="array" ref="AP31">IF(INDEX($I$3:$L$22,MATCH($P31,$G$3:$G$22,0),$Q31)=AP$2,$S31+$O31+9,$S31+$O31)</f>
        <v>42711011</v>
      </c>
      <c r="AQ31" s="1" cm="1">
        <f t="array" ref="AQ31">IF(INDEX($I$3:$L$22,MATCH($P31,$G$3:$G$22,0),$Q31)=AQ$2,$S31+$O31+9,$S31+$O31)</f>
        <v>42711011</v>
      </c>
      <c r="AR31" s="1" cm="1">
        <f t="array" ref="AR31">IF(INDEX($I$3:$L$22,MATCH($P31,$G$3:$G$22,0),$Q31)=AR$2,$S31+$O31+9,$S31+$O31)</f>
        <v>42711011</v>
      </c>
      <c r="AS31" s="1" cm="1">
        <f t="array" ref="AS31">IF(INDEX($I$3:$L$22,MATCH($P31,$G$3:$G$22,0),$Q31)=AS$2,$S31+$O31+9,$S31+$O31)</f>
        <v>42711011</v>
      </c>
      <c r="AT31" s="1" cm="1">
        <f t="array" ref="AT31">IF(INDEX($I$3:$L$22,MATCH($P31,$G$3:$G$22,0),$Q31)=AT$2,$S31+$O31+9,$S31+$O31)</f>
        <v>42711011</v>
      </c>
      <c r="AU31" s="1" cm="1">
        <f t="array" ref="AU31">IF(INDEX($I$3:$L$22,MATCH($P31,$G$3:$G$22,0),$Q31)=AU$2,$S31+$O31+9,$S31+$O31)</f>
        <v>42711011</v>
      </c>
      <c r="AV31" s="1" cm="1">
        <f t="array" ref="AV31">IF(INDEX($I$3:$L$22,MATCH($P31,$G$3:$G$22,0),$Q31)=AV$2,$S31+$O31+9,$S31+$O31)</f>
        <v>42711011</v>
      </c>
      <c r="AW31" s="1" cm="1">
        <f t="array" ref="AW31">IF(INDEX($I$3:$L$22,MATCH($P31,$G$3:$G$22,0),$Q31)=AW$2,$S31+$O31+9,$S31+$O31)</f>
        <v>42711011</v>
      </c>
      <c r="AX31" s="1" cm="1">
        <f t="array" ref="AX31">IF(INDEX($I$3:$L$22,MATCH($P31,$G$3:$G$22,0),$Q31)=AX$2,$S31+$O31+9,$S31+$O31)</f>
        <v>42711011</v>
      </c>
      <c r="AY31" s="1" cm="1">
        <f t="array" ref="AY31">IF(INDEX($I$3:$L$22,MATCH($P31,$G$3:$G$22,0),$Q31)=AY$2,$S31+$O31+9,$S31+$O31)</f>
        <v>42711020</v>
      </c>
      <c r="AZ31" s="1" cm="1">
        <f t="array" ref="AZ31">IF(INDEX($I$3:$L$22,MATCH($P31,$G$3:$G$22,0),$Q31)=AZ$2,$S31+$O31+9,$S31+$O31)</f>
        <v>42711011</v>
      </c>
      <c r="BA31" s="1" cm="1">
        <f t="array" ref="BA31">IF(INDEX($I$3:$L$22,MATCH($P31,$G$3:$G$22,0),$Q31)=BA$2,$S31+$O31+9,$S31+$O31)</f>
        <v>42711011</v>
      </c>
      <c r="BB31" s="1" cm="1">
        <f t="array" ref="BB31">IF(INDEX($I$3:$L$22,MATCH($P31,$G$3:$G$22,0),$Q31)=BB$2,$S31+$O31+9,$S31+$O31)</f>
        <v>42711011</v>
      </c>
      <c r="BC31" s="1" cm="1">
        <f t="array" ref="BC31">IF(INDEX($I$3:$L$22,MATCH($P31,$G$3:$G$22,0),$Q31)=BC$2,$S31+$O31+9,$S31+$O31)</f>
        <v>42711011</v>
      </c>
      <c r="BD31" s="1" cm="1">
        <f t="array" ref="BD31">IF(INDEX($I$3:$L$22,MATCH($P31,$G$3:$G$22,0),$Q31)=BD$2,$S31+$O31+9,$S31+$O31)</f>
        <v>42711011</v>
      </c>
      <c r="BE31" s="1" cm="1">
        <f t="array" ref="BE31">IF(INDEX($I$3:$L$22,MATCH($P31,$G$3:$G$22,0),$Q31)=BE$2,$S31+$O31+9,$S31+$O31)</f>
        <v>42711011</v>
      </c>
      <c r="BF31" s="1" cm="1">
        <f t="array" ref="BF31">IF(INDEX($I$3:$L$22,MATCH($P31,$G$3:$G$22,0),$Q31)=BF$2,$S31+$O31+9,$S31+$O31)</f>
        <v>42711011</v>
      </c>
      <c r="BG31" s="1" cm="1">
        <f t="array" ref="BG31">IF(INDEX($I$3:$L$22,MATCH($P31,$G$3:$G$22,0),$Q31)=BG$2,$S31+$O31+9,$S31+$O31)</f>
        <v>42711011</v>
      </c>
      <c r="BH31" s="1" cm="1">
        <f t="array" ref="BH31">IF(INDEX($I$3:$L$22,MATCH($P31,$G$3:$G$22,0),$Q31)=BH$2,$S31+$O31+9,$S31+$O31)</f>
        <v>42711011</v>
      </c>
      <c r="BI31" s="1" cm="1">
        <f t="array" ref="BI31">IF(INDEX($I$3:$L$22,MATCH($P31,$G$3:$G$22,0),$Q31)=BI$2,$S31+$O31+9,$S31+$O31)</f>
        <v>42711011</v>
      </c>
      <c r="BJ31" s="1" cm="1">
        <f t="array" ref="BJ31">IF(INDEX($I$3:$L$22,MATCH($P31,$G$3:$G$22,0),$Q31)=BJ$2,$S31+$O31+9,$S31+$O31)</f>
        <v>42711011</v>
      </c>
      <c r="BK31" s="1" cm="1">
        <f t="array" ref="BK31">IF(INDEX($I$3:$L$22,MATCH($P31,$G$3:$G$22,0),$Q31)=BK$2,$S31+$O31+9,$S31+$O31)</f>
        <v>42711011</v>
      </c>
      <c r="BL31" s="1" cm="1">
        <f t="array" ref="BL31">IF(INDEX($I$3:$L$22,MATCH($P31,$G$3:$G$22,0),$Q31)=BL$2,$S31+$O31+9,$S31+$O31)</f>
        <v>42711011</v>
      </c>
      <c r="BM31" s="1" cm="1">
        <f t="array" ref="BM31">IF(INDEX($I$3:$L$22,MATCH($P31,$G$3:$G$22,0),$Q31)=BM$2,$S31+$O31+9,$S31+$O31)</f>
        <v>42711011</v>
      </c>
      <c r="BN31" s="1" cm="1">
        <f t="array" ref="BN31">IF(INDEX($I$3:$L$22,MATCH($P31,$G$3:$G$22,0),$Q31)=BN$2,$S31+$O31+9,$S31+$O31)</f>
        <v>42711011</v>
      </c>
      <c r="BO31" s="1" cm="1">
        <f t="array" ref="BO31">IF(INDEX($I$3:$L$22,MATCH($P31,$G$3:$G$22,0),$Q31)=BO$2,$S31+$O31+9,$S31+$O31)</f>
        <v>42711011</v>
      </c>
      <c r="BP31" s="1" cm="1">
        <f t="array" ref="BP31">IF(INDEX($I$3:$L$22,MATCH($P31,$G$3:$G$22,0),$Q31)=BP$2,$S31+$O31+9,$S31+$O31)</f>
        <v>42711011</v>
      </c>
      <c r="BQ31" s="1" cm="1">
        <f t="array" ref="BQ31">IF(INDEX($I$3:$L$22,MATCH($P31,$G$3:$G$22,0),$Q31)=BQ$2,$S31+$O31+9,$S31+$O31)</f>
        <v>42711011</v>
      </c>
      <c r="BR31" s="1" cm="1">
        <f t="array" ref="BR31">IF(INDEX($I$3:$L$22,MATCH($P31,$G$3:$G$22,0),$Q31)=BR$2,$S31+$O31+9,$S31+$O31)</f>
        <v>42711011</v>
      </c>
      <c r="BS31" s="1" cm="1">
        <f t="array" ref="BS31">IF(INDEX($I$3:$L$22,MATCH($P31,$G$3:$G$22,0),$Q31)=BS$2,$S31+$O31+9,$S31+$O31)</f>
        <v>42711011</v>
      </c>
      <c r="BT31" s="1" cm="1">
        <f t="array" ref="BT31">IF(INDEX($I$3:$L$22,MATCH($P31,$G$3:$G$22,0),$Q31)=BT$2,$S31+$O31+9,$S31+$O31)</f>
        <v>42711011</v>
      </c>
    </row>
    <row r="32" spans="1:72" x14ac:dyDescent="0.15">
      <c r="A32" s="1">
        <v>0</v>
      </c>
      <c r="B32" s="1" cm="1">
        <f t="array" aca="1" ref="B32:E32" ca="1">_xlfn.RANDARRAY(1,4,1,50,TRUE)</f>
        <v>2</v>
      </c>
      <c r="C32" s="1">
        <f ca="1"/>
        <v>26</v>
      </c>
      <c r="D32" s="1">
        <f ca="1"/>
        <v>46</v>
      </c>
      <c r="E32" s="1">
        <f ca="1"/>
        <v>26</v>
      </c>
      <c r="N32" s="1">
        <v>40001</v>
      </c>
      <c r="O32" s="1">
        <f t="shared" si="5"/>
        <v>11</v>
      </c>
      <c r="P32" s="1">
        <f t="shared" si="6"/>
        <v>202</v>
      </c>
      <c r="Q32" s="1">
        <f t="shared" si="7"/>
        <v>2</v>
      </c>
      <c r="R32" s="1" t="s">
        <v>17</v>
      </c>
      <c r="S32" s="1">
        <v>42612000</v>
      </c>
      <c r="T32" s="1" t="str">
        <f t="shared" si="2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</v>
      </c>
      <c r="W32" s="1" cm="1">
        <f t="array" ref="W32">IF(INDEX($I$3:$L$22,MATCH($P32,$G$3:$G$22,0),$Q32)=W$2,$S32+$O32+9,$S32+$O32)</f>
        <v>42612011</v>
      </c>
      <c r="X32" s="1" cm="1">
        <f t="array" ref="X32">IF(INDEX($I$3:$L$22,MATCH($P32,$G$3:$G$22,0),$Q32)=X$2,$S32+$O32+9,$S32+$O32)</f>
        <v>42612011</v>
      </c>
      <c r="Y32" s="1" cm="1">
        <f t="array" ref="Y32">IF(INDEX($I$3:$L$22,MATCH($P32,$G$3:$G$22,0),$Q32)=Y$2,$S32+$O32+9,$S32+$O32)</f>
        <v>42612011</v>
      </c>
      <c r="Z32" s="1" cm="1">
        <f t="array" ref="Z32">IF(INDEX($I$3:$L$22,MATCH($P32,$G$3:$G$22,0),$Q32)=Z$2,$S32+$O32+9,$S32+$O32)</f>
        <v>42612011</v>
      </c>
      <c r="AA32" s="1" cm="1">
        <f t="array" ref="AA32">IF(INDEX($I$3:$L$22,MATCH($P32,$G$3:$G$22,0),$Q32)=AA$2,$S32+$O32+9,$S32+$O32)</f>
        <v>42612011</v>
      </c>
      <c r="AB32" s="1" cm="1">
        <f t="array" ref="AB32">IF(INDEX($I$3:$L$22,MATCH($P32,$G$3:$G$22,0),$Q32)=AB$2,$S32+$O32+9,$S32+$O32)</f>
        <v>42612011</v>
      </c>
      <c r="AC32" s="1" cm="1">
        <f t="array" ref="AC32">IF(INDEX($I$3:$L$22,MATCH($P32,$G$3:$G$22,0),$Q32)=AC$2,$S32+$O32+9,$S32+$O32)</f>
        <v>42612011</v>
      </c>
      <c r="AD32" s="1" cm="1">
        <f t="array" ref="AD32">IF(INDEX($I$3:$L$22,MATCH($P32,$G$3:$G$22,0),$Q32)=AD$2,$S32+$O32+9,$S32+$O32)</f>
        <v>42612011</v>
      </c>
      <c r="AE32" s="1" cm="1">
        <f t="array" ref="AE32">IF(INDEX($I$3:$L$22,MATCH($P32,$G$3:$G$22,0),$Q32)=AE$2,$S32+$O32+9,$S32+$O32)</f>
        <v>42612011</v>
      </c>
      <c r="AF32" s="1" cm="1">
        <f t="array" ref="AF32">IF(INDEX($I$3:$L$22,MATCH($P32,$G$3:$G$22,0),$Q32)=AF$2,$S32+$O32+9,$S32+$O32)</f>
        <v>42612011</v>
      </c>
      <c r="AG32" s="1" cm="1">
        <f t="array" ref="AG32">IF(INDEX($I$3:$L$22,MATCH($P32,$G$3:$G$22,0),$Q32)=AG$2,$S32+$O32+9,$S32+$O32)</f>
        <v>42612011</v>
      </c>
      <c r="AH32" s="1" cm="1">
        <f t="array" ref="AH32">IF(INDEX($I$3:$L$22,MATCH($P32,$G$3:$G$22,0),$Q32)=AH$2,$S32+$O32+9,$S32+$O32)</f>
        <v>42612011</v>
      </c>
      <c r="AI32" s="1" cm="1">
        <f t="array" ref="AI32">IF(INDEX($I$3:$L$22,MATCH($P32,$G$3:$G$22,0),$Q32)=AI$2,$S32+$O32+9,$S32+$O32)</f>
        <v>42612011</v>
      </c>
      <c r="AJ32" s="1" cm="1">
        <f t="array" ref="AJ32">IF(INDEX($I$3:$L$22,MATCH($P32,$G$3:$G$22,0),$Q32)=AJ$2,$S32+$O32+9,$S32+$O32)</f>
        <v>42612011</v>
      </c>
      <c r="AK32" s="1" cm="1">
        <f t="array" ref="AK32">IF(INDEX($I$3:$L$22,MATCH($P32,$G$3:$G$22,0),$Q32)=AK$2,$S32+$O32+9,$S32+$O32)</f>
        <v>42612011</v>
      </c>
      <c r="AL32" s="1" cm="1">
        <f t="array" ref="AL32">IF(INDEX($I$3:$L$22,MATCH($P32,$G$3:$G$22,0),$Q32)=AL$2,$S32+$O32+9,$S32+$O32)</f>
        <v>42612011</v>
      </c>
      <c r="AM32" s="1" cm="1">
        <f t="array" ref="AM32">IF(INDEX($I$3:$L$22,MATCH($P32,$G$3:$G$22,0),$Q32)=AM$2,$S32+$O32+9,$S32+$O32)</f>
        <v>42612011</v>
      </c>
      <c r="AN32" s="1" cm="1">
        <f t="array" ref="AN32">IF(INDEX($I$3:$L$22,MATCH($P32,$G$3:$G$22,0),$Q32)=AN$2,$S32+$O32+9,$S32+$O32)</f>
        <v>42612011</v>
      </c>
      <c r="AO32" s="1" cm="1">
        <f t="array" ref="AO32">IF(INDEX($I$3:$L$22,MATCH($P32,$G$3:$G$22,0),$Q32)=AO$2,$S32+$O32+9,$S32+$O32)</f>
        <v>42612011</v>
      </c>
      <c r="AP32" s="1" cm="1">
        <f t="array" ref="AP32">IF(INDEX($I$3:$L$22,MATCH($P32,$G$3:$G$22,0),$Q32)=AP$2,$S32+$O32+9,$S32+$O32)</f>
        <v>42612011</v>
      </c>
      <c r="AQ32" s="1" cm="1">
        <f t="array" ref="AQ32">IF(INDEX($I$3:$L$22,MATCH($P32,$G$3:$G$22,0),$Q32)=AQ$2,$S32+$O32+9,$S32+$O32)</f>
        <v>42612011</v>
      </c>
      <c r="AR32" s="1" cm="1">
        <f t="array" ref="AR32">IF(INDEX($I$3:$L$22,MATCH($P32,$G$3:$G$22,0),$Q32)=AR$2,$S32+$O32+9,$S32+$O32)</f>
        <v>42612011</v>
      </c>
      <c r="AS32" s="1" cm="1">
        <f t="array" ref="AS32">IF(INDEX($I$3:$L$22,MATCH($P32,$G$3:$G$22,0),$Q32)=AS$2,$S32+$O32+9,$S32+$O32)</f>
        <v>42612011</v>
      </c>
      <c r="AT32" s="1" cm="1">
        <f t="array" ref="AT32">IF(INDEX($I$3:$L$22,MATCH($P32,$G$3:$G$22,0),$Q32)=AT$2,$S32+$O32+9,$S32+$O32)</f>
        <v>42612011</v>
      </c>
      <c r="AU32" s="1" cm="1">
        <f t="array" ref="AU32">IF(INDEX($I$3:$L$22,MATCH($P32,$G$3:$G$22,0),$Q32)=AU$2,$S32+$O32+9,$S32+$O32)</f>
        <v>42612011</v>
      </c>
      <c r="AV32" s="1" cm="1">
        <f t="array" ref="AV32">IF(INDEX($I$3:$L$22,MATCH($P32,$G$3:$G$22,0),$Q32)=AV$2,$S32+$O32+9,$S32+$O32)</f>
        <v>42612011</v>
      </c>
      <c r="AW32" s="1" cm="1">
        <f t="array" ref="AW32">IF(INDEX($I$3:$L$22,MATCH($P32,$G$3:$G$22,0),$Q32)=AW$2,$S32+$O32+9,$S32+$O32)</f>
        <v>42612011</v>
      </c>
      <c r="AX32" s="1" cm="1">
        <f t="array" ref="AX32">IF(INDEX($I$3:$L$22,MATCH($P32,$G$3:$G$22,0),$Q32)=AX$2,$S32+$O32+9,$S32+$O32)</f>
        <v>42612011</v>
      </c>
      <c r="AY32" s="1" cm="1">
        <f t="array" ref="AY32">IF(INDEX($I$3:$L$22,MATCH($P32,$G$3:$G$22,0),$Q32)=AY$2,$S32+$O32+9,$S32+$O32)</f>
        <v>42612011</v>
      </c>
      <c r="AZ32" s="1" cm="1">
        <f t="array" ref="AZ32">IF(INDEX($I$3:$L$22,MATCH($P32,$G$3:$G$22,0),$Q32)=AZ$2,$S32+$O32+9,$S32+$O32)</f>
        <v>42612011</v>
      </c>
      <c r="BA32" s="1" cm="1">
        <f t="array" ref="BA32">IF(INDEX($I$3:$L$22,MATCH($P32,$G$3:$G$22,0),$Q32)=BA$2,$S32+$O32+9,$S32+$O32)</f>
        <v>42612011</v>
      </c>
      <c r="BB32" s="1" cm="1">
        <f t="array" ref="BB32">IF(INDEX($I$3:$L$22,MATCH($P32,$G$3:$G$22,0),$Q32)=BB$2,$S32+$O32+9,$S32+$O32)</f>
        <v>42612011</v>
      </c>
      <c r="BC32" s="1" cm="1">
        <f t="array" ref="BC32">IF(INDEX($I$3:$L$22,MATCH($P32,$G$3:$G$22,0),$Q32)=BC$2,$S32+$O32+9,$S32+$O32)</f>
        <v>42612011</v>
      </c>
      <c r="BD32" s="1" cm="1">
        <f t="array" ref="BD32">IF(INDEX($I$3:$L$22,MATCH($P32,$G$3:$G$22,0),$Q32)=BD$2,$S32+$O32+9,$S32+$O32)</f>
        <v>42612011</v>
      </c>
      <c r="BE32" s="1" cm="1">
        <f t="array" ref="BE32">IF(INDEX($I$3:$L$22,MATCH($P32,$G$3:$G$22,0),$Q32)=BE$2,$S32+$O32+9,$S32+$O32)</f>
        <v>42612011</v>
      </c>
      <c r="BF32" s="1" cm="1">
        <f t="array" ref="BF32">IF(INDEX($I$3:$L$22,MATCH($P32,$G$3:$G$22,0),$Q32)=BF$2,$S32+$O32+9,$S32+$O32)</f>
        <v>42612011</v>
      </c>
      <c r="BG32" s="1" cm="1">
        <f t="array" ref="BG32">IF(INDEX($I$3:$L$22,MATCH($P32,$G$3:$G$22,0),$Q32)=BG$2,$S32+$O32+9,$S32+$O32)</f>
        <v>42612011</v>
      </c>
      <c r="BH32" s="1" cm="1">
        <f t="array" ref="BH32">IF(INDEX($I$3:$L$22,MATCH($P32,$G$3:$G$22,0),$Q32)=BH$2,$S32+$O32+9,$S32+$O32)</f>
        <v>42612011</v>
      </c>
      <c r="BI32" s="1" cm="1">
        <f t="array" ref="BI32">IF(INDEX($I$3:$L$22,MATCH($P32,$G$3:$G$22,0),$Q32)=BI$2,$S32+$O32+9,$S32+$O32)</f>
        <v>42612011</v>
      </c>
      <c r="BJ32" s="1" cm="1">
        <f t="array" ref="BJ32">IF(INDEX($I$3:$L$22,MATCH($P32,$G$3:$G$22,0),$Q32)=BJ$2,$S32+$O32+9,$S32+$O32)</f>
        <v>42612011</v>
      </c>
      <c r="BK32" s="1" cm="1">
        <f t="array" ref="BK32">IF(INDEX($I$3:$L$22,MATCH($P32,$G$3:$G$22,0),$Q32)=BK$2,$S32+$O32+9,$S32+$O32)</f>
        <v>42612011</v>
      </c>
      <c r="BL32" s="1" cm="1">
        <f t="array" ref="BL32">IF(INDEX($I$3:$L$22,MATCH($P32,$G$3:$G$22,0),$Q32)=BL$2,$S32+$O32+9,$S32+$O32)</f>
        <v>42612011</v>
      </c>
      <c r="BM32" s="1" cm="1">
        <f t="array" ref="BM32">IF(INDEX($I$3:$L$22,MATCH($P32,$G$3:$G$22,0),$Q32)=BM$2,$S32+$O32+9,$S32+$O32)</f>
        <v>42612011</v>
      </c>
      <c r="BN32" s="1" cm="1">
        <f t="array" ref="BN32">IF(INDEX($I$3:$L$22,MATCH($P32,$G$3:$G$22,0),$Q32)=BN$2,$S32+$O32+9,$S32+$O32)</f>
        <v>42612011</v>
      </c>
      <c r="BO32" s="1" cm="1">
        <f t="array" ref="BO32">IF(INDEX($I$3:$L$22,MATCH($P32,$G$3:$G$22,0),$Q32)=BO$2,$S32+$O32+9,$S32+$O32)</f>
        <v>42612011</v>
      </c>
      <c r="BP32" s="1" cm="1">
        <f t="array" ref="BP32">IF(INDEX($I$3:$L$22,MATCH($P32,$G$3:$G$22,0),$Q32)=BP$2,$S32+$O32+9,$S32+$O32)</f>
        <v>42612011</v>
      </c>
      <c r="BQ32" s="1" cm="1">
        <f t="array" ref="BQ32">IF(INDEX($I$3:$L$22,MATCH($P32,$G$3:$G$22,0),$Q32)=BQ$2,$S32+$O32+9,$S32+$O32)</f>
        <v>42612011</v>
      </c>
      <c r="BR32" s="1" cm="1">
        <f t="array" ref="BR32">IF(INDEX($I$3:$L$22,MATCH($P32,$G$3:$G$22,0),$Q32)=BR$2,$S32+$O32+9,$S32+$O32)</f>
        <v>42612011</v>
      </c>
      <c r="BS32" s="1" cm="1">
        <f t="array" ref="BS32">IF(INDEX($I$3:$L$22,MATCH($P32,$G$3:$G$22,0),$Q32)=BS$2,$S32+$O32+9,$S32+$O32)</f>
        <v>42612011</v>
      </c>
      <c r="BT32" s="1" cm="1">
        <f t="array" ref="BT32">IF(INDEX($I$3:$L$22,MATCH($P32,$G$3:$G$22,0),$Q32)=BT$2,$S32+$O32+9,$S32+$O32)</f>
        <v>42612020</v>
      </c>
    </row>
    <row r="33" spans="1:72" x14ac:dyDescent="0.15">
      <c r="A33" s="1">
        <v>0</v>
      </c>
      <c r="B33" s="1" cm="1">
        <f t="array" aca="1" ref="B33:E33" ca="1">_xlfn.RANDARRAY(1,4,1,50,TRUE)</f>
        <v>36</v>
      </c>
      <c r="C33" s="1">
        <f ca="1"/>
        <v>2</v>
      </c>
      <c r="D33" s="1">
        <f ca="1"/>
        <v>13</v>
      </c>
      <c r="E33" s="1">
        <f ca="1"/>
        <v>12</v>
      </c>
      <c r="N33" s="1">
        <v>40001</v>
      </c>
      <c r="O33" s="1">
        <f t="shared" si="5"/>
        <v>11</v>
      </c>
      <c r="P33" s="1">
        <f t="shared" si="6"/>
        <v>202</v>
      </c>
      <c r="Q33" s="1">
        <f t="shared" si="7"/>
        <v>3</v>
      </c>
      <c r="R33" s="1" t="s">
        <v>16</v>
      </c>
      <c r="S33" s="1">
        <v>42713000</v>
      </c>
      <c r="T33" s="1" t="str">
        <f t="shared" si="2"/>
        <v>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,42713011,42713011,42713011,42713011,42713011,42713011,42713011,42713011,42713011,42713011,42713011,42713011,42713011,42713011,42713011,42713011</v>
      </c>
      <c r="W33" s="1" cm="1">
        <f t="array" ref="W33">IF(INDEX($I$3:$L$22,MATCH($P33,$G$3:$G$22,0),$Q33)=W$2,$S33+$O33+9,$S33+$O33)</f>
        <v>42713011</v>
      </c>
      <c r="X33" s="1" cm="1">
        <f t="array" ref="X33">IF(INDEX($I$3:$L$22,MATCH($P33,$G$3:$G$22,0),$Q33)=X$2,$S33+$O33+9,$S33+$O33)</f>
        <v>42713011</v>
      </c>
      <c r="Y33" s="1" cm="1">
        <f t="array" ref="Y33">IF(INDEX($I$3:$L$22,MATCH($P33,$G$3:$G$22,0),$Q33)=Y$2,$S33+$O33+9,$S33+$O33)</f>
        <v>42713011</v>
      </c>
      <c r="Z33" s="1" cm="1">
        <f t="array" ref="Z33">IF(INDEX($I$3:$L$22,MATCH($P33,$G$3:$G$22,0),$Q33)=Z$2,$S33+$O33+9,$S33+$O33)</f>
        <v>42713011</v>
      </c>
      <c r="AA33" s="1" cm="1">
        <f t="array" ref="AA33">IF(INDEX($I$3:$L$22,MATCH($P33,$G$3:$G$22,0),$Q33)=AA$2,$S33+$O33+9,$S33+$O33)</f>
        <v>42713011</v>
      </c>
      <c r="AB33" s="1" cm="1">
        <f t="array" ref="AB33">IF(INDEX($I$3:$L$22,MATCH($P33,$G$3:$G$22,0),$Q33)=AB$2,$S33+$O33+9,$S33+$O33)</f>
        <v>42713011</v>
      </c>
      <c r="AC33" s="1" cm="1">
        <f t="array" ref="AC33">IF(INDEX($I$3:$L$22,MATCH($P33,$G$3:$G$22,0),$Q33)=AC$2,$S33+$O33+9,$S33+$O33)</f>
        <v>42713011</v>
      </c>
      <c r="AD33" s="1" cm="1">
        <f t="array" ref="AD33">IF(INDEX($I$3:$L$22,MATCH($P33,$G$3:$G$22,0),$Q33)=AD$2,$S33+$O33+9,$S33+$O33)</f>
        <v>42713011</v>
      </c>
      <c r="AE33" s="1" cm="1">
        <f t="array" ref="AE33">IF(INDEX($I$3:$L$22,MATCH($P33,$G$3:$G$22,0),$Q33)=AE$2,$S33+$O33+9,$S33+$O33)</f>
        <v>42713011</v>
      </c>
      <c r="AF33" s="1" cm="1">
        <f t="array" ref="AF33">IF(INDEX($I$3:$L$22,MATCH($P33,$G$3:$G$22,0),$Q33)=AF$2,$S33+$O33+9,$S33+$O33)</f>
        <v>42713011</v>
      </c>
      <c r="AG33" s="1" cm="1">
        <f t="array" ref="AG33">IF(INDEX($I$3:$L$22,MATCH($P33,$G$3:$G$22,0),$Q33)=AG$2,$S33+$O33+9,$S33+$O33)</f>
        <v>42713011</v>
      </c>
      <c r="AH33" s="1" cm="1">
        <f t="array" ref="AH33">IF(INDEX($I$3:$L$22,MATCH($P33,$G$3:$G$22,0),$Q33)=AH$2,$S33+$O33+9,$S33+$O33)</f>
        <v>42713011</v>
      </c>
      <c r="AI33" s="1" cm="1">
        <f t="array" ref="AI33">IF(INDEX($I$3:$L$22,MATCH($P33,$G$3:$G$22,0),$Q33)=AI$2,$S33+$O33+9,$S33+$O33)</f>
        <v>42713011</v>
      </c>
      <c r="AJ33" s="1" cm="1">
        <f t="array" ref="AJ33">IF(INDEX($I$3:$L$22,MATCH($P33,$G$3:$G$22,0),$Q33)=AJ$2,$S33+$O33+9,$S33+$O33)</f>
        <v>42713011</v>
      </c>
      <c r="AK33" s="1" cm="1">
        <f t="array" ref="AK33">IF(INDEX($I$3:$L$22,MATCH($P33,$G$3:$G$22,0),$Q33)=AK$2,$S33+$O33+9,$S33+$O33)</f>
        <v>42713011</v>
      </c>
      <c r="AL33" s="1" cm="1">
        <f t="array" ref="AL33">IF(INDEX($I$3:$L$22,MATCH($P33,$G$3:$G$22,0),$Q33)=AL$2,$S33+$O33+9,$S33+$O33)</f>
        <v>42713011</v>
      </c>
      <c r="AM33" s="1" cm="1">
        <f t="array" ref="AM33">IF(INDEX($I$3:$L$22,MATCH($P33,$G$3:$G$22,0),$Q33)=AM$2,$S33+$O33+9,$S33+$O33)</f>
        <v>42713011</v>
      </c>
      <c r="AN33" s="1" cm="1">
        <f t="array" ref="AN33">IF(INDEX($I$3:$L$22,MATCH($P33,$G$3:$G$22,0),$Q33)=AN$2,$S33+$O33+9,$S33+$O33)</f>
        <v>42713011</v>
      </c>
      <c r="AO33" s="1" cm="1">
        <f t="array" ref="AO33">IF(INDEX($I$3:$L$22,MATCH($P33,$G$3:$G$22,0),$Q33)=AO$2,$S33+$O33+9,$S33+$O33)</f>
        <v>42713011</v>
      </c>
      <c r="AP33" s="1" cm="1">
        <f t="array" ref="AP33">IF(INDEX($I$3:$L$22,MATCH($P33,$G$3:$G$22,0),$Q33)=AP$2,$S33+$O33+9,$S33+$O33)</f>
        <v>42713011</v>
      </c>
      <c r="AQ33" s="1" cm="1">
        <f t="array" ref="AQ33">IF(INDEX($I$3:$L$22,MATCH($P33,$G$3:$G$22,0),$Q33)=AQ$2,$S33+$O33+9,$S33+$O33)</f>
        <v>42713020</v>
      </c>
      <c r="AR33" s="1" cm="1">
        <f t="array" ref="AR33">IF(INDEX($I$3:$L$22,MATCH($P33,$G$3:$G$22,0),$Q33)=AR$2,$S33+$O33+9,$S33+$O33)</f>
        <v>42713011</v>
      </c>
      <c r="AS33" s="1" cm="1">
        <f t="array" ref="AS33">IF(INDEX($I$3:$L$22,MATCH($P33,$G$3:$G$22,0),$Q33)=AS$2,$S33+$O33+9,$S33+$O33)</f>
        <v>42713011</v>
      </c>
      <c r="AT33" s="1" cm="1">
        <f t="array" ref="AT33">IF(INDEX($I$3:$L$22,MATCH($P33,$G$3:$G$22,0),$Q33)=AT$2,$S33+$O33+9,$S33+$O33)</f>
        <v>42713011</v>
      </c>
      <c r="AU33" s="1" cm="1">
        <f t="array" ref="AU33">IF(INDEX($I$3:$L$22,MATCH($P33,$G$3:$G$22,0),$Q33)=AU$2,$S33+$O33+9,$S33+$O33)</f>
        <v>42713011</v>
      </c>
      <c r="AV33" s="1" cm="1">
        <f t="array" ref="AV33">IF(INDEX($I$3:$L$22,MATCH($P33,$G$3:$G$22,0),$Q33)=AV$2,$S33+$O33+9,$S33+$O33)</f>
        <v>42713011</v>
      </c>
      <c r="AW33" s="1" cm="1">
        <f t="array" ref="AW33">IF(INDEX($I$3:$L$22,MATCH($P33,$G$3:$G$22,0),$Q33)=AW$2,$S33+$O33+9,$S33+$O33)</f>
        <v>42713011</v>
      </c>
      <c r="AX33" s="1" cm="1">
        <f t="array" ref="AX33">IF(INDEX($I$3:$L$22,MATCH($P33,$G$3:$G$22,0),$Q33)=AX$2,$S33+$O33+9,$S33+$O33)</f>
        <v>42713011</v>
      </c>
      <c r="AY33" s="1" cm="1">
        <f t="array" ref="AY33">IF(INDEX($I$3:$L$22,MATCH($P33,$G$3:$G$22,0),$Q33)=AY$2,$S33+$O33+9,$S33+$O33)</f>
        <v>42713011</v>
      </c>
      <c r="AZ33" s="1" cm="1">
        <f t="array" ref="AZ33">IF(INDEX($I$3:$L$22,MATCH($P33,$G$3:$G$22,0),$Q33)=AZ$2,$S33+$O33+9,$S33+$O33)</f>
        <v>42713011</v>
      </c>
      <c r="BA33" s="1" cm="1">
        <f t="array" ref="BA33">IF(INDEX($I$3:$L$22,MATCH($P33,$G$3:$G$22,0),$Q33)=BA$2,$S33+$O33+9,$S33+$O33)</f>
        <v>42713011</v>
      </c>
      <c r="BB33" s="1" cm="1">
        <f t="array" ref="BB33">IF(INDEX($I$3:$L$22,MATCH($P33,$G$3:$G$22,0),$Q33)=BB$2,$S33+$O33+9,$S33+$O33)</f>
        <v>42713011</v>
      </c>
      <c r="BC33" s="1" cm="1">
        <f t="array" ref="BC33">IF(INDEX($I$3:$L$22,MATCH($P33,$G$3:$G$22,0),$Q33)=BC$2,$S33+$O33+9,$S33+$O33)</f>
        <v>42713011</v>
      </c>
      <c r="BD33" s="1" cm="1">
        <f t="array" ref="BD33">IF(INDEX($I$3:$L$22,MATCH($P33,$G$3:$G$22,0),$Q33)=BD$2,$S33+$O33+9,$S33+$O33)</f>
        <v>42713011</v>
      </c>
      <c r="BE33" s="1" cm="1">
        <f t="array" ref="BE33">IF(INDEX($I$3:$L$22,MATCH($P33,$G$3:$G$22,0),$Q33)=BE$2,$S33+$O33+9,$S33+$O33)</f>
        <v>42713011</v>
      </c>
      <c r="BF33" s="1" cm="1">
        <f t="array" ref="BF33">IF(INDEX($I$3:$L$22,MATCH($P33,$G$3:$G$22,0),$Q33)=BF$2,$S33+$O33+9,$S33+$O33)</f>
        <v>42713011</v>
      </c>
      <c r="BG33" s="1" cm="1">
        <f t="array" ref="BG33">IF(INDEX($I$3:$L$22,MATCH($P33,$G$3:$G$22,0),$Q33)=BG$2,$S33+$O33+9,$S33+$O33)</f>
        <v>42713011</v>
      </c>
      <c r="BH33" s="1" cm="1">
        <f t="array" ref="BH33">IF(INDEX($I$3:$L$22,MATCH($P33,$G$3:$G$22,0),$Q33)=BH$2,$S33+$O33+9,$S33+$O33)</f>
        <v>42713011</v>
      </c>
      <c r="BI33" s="1" cm="1">
        <f t="array" ref="BI33">IF(INDEX($I$3:$L$22,MATCH($P33,$G$3:$G$22,0),$Q33)=BI$2,$S33+$O33+9,$S33+$O33)</f>
        <v>42713011</v>
      </c>
      <c r="BJ33" s="1" cm="1">
        <f t="array" ref="BJ33">IF(INDEX($I$3:$L$22,MATCH($P33,$G$3:$G$22,0),$Q33)=BJ$2,$S33+$O33+9,$S33+$O33)</f>
        <v>42713011</v>
      </c>
      <c r="BK33" s="1" cm="1">
        <f t="array" ref="BK33">IF(INDEX($I$3:$L$22,MATCH($P33,$G$3:$G$22,0),$Q33)=BK$2,$S33+$O33+9,$S33+$O33)</f>
        <v>42713011</v>
      </c>
      <c r="BL33" s="1" cm="1">
        <f t="array" ref="BL33">IF(INDEX($I$3:$L$22,MATCH($P33,$G$3:$G$22,0),$Q33)=BL$2,$S33+$O33+9,$S33+$O33)</f>
        <v>42713011</v>
      </c>
      <c r="BM33" s="1" cm="1">
        <f t="array" ref="BM33">IF(INDEX($I$3:$L$22,MATCH($P33,$G$3:$G$22,0),$Q33)=BM$2,$S33+$O33+9,$S33+$O33)</f>
        <v>42713011</v>
      </c>
      <c r="BN33" s="1" cm="1">
        <f t="array" ref="BN33">IF(INDEX($I$3:$L$22,MATCH($P33,$G$3:$G$22,0),$Q33)=BN$2,$S33+$O33+9,$S33+$O33)</f>
        <v>42713011</v>
      </c>
      <c r="BO33" s="1" cm="1">
        <f t="array" ref="BO33">IF(INDEX($I$3:$L$22,MATCH($P33,$G$3:$G$22,0),$Q33)=BO$2,$S33+$O33+9,$S33+$O33)</f>
        <v>42713011</v>
      </c>
      <c r="BP33" s="1" cm="1">
        <f t="array" ref="BP33">IF(INDEX($I$3:$L$22,MATCH($P33,$G$3:$G$22,0),$Q33)=BP$2,$S33+$O33+9,$S33+$O33)</f>
        <v>42713011</v>
      </c>
      <c r="BQ33" s="1" cm="1">
        <f t="array" ref="BQ33">IF(INDEX($I$3:$L$22,MATCH($P33,$G$3:$G$22,0),$Q33)=BQ$2,$S33+$O33+9,$S33+$O33)</f>
        <v>42713011</v>
      </c>
      <c r="BR33" s="1" cm="1">
        <f t="array" ref="BR33">IF(INDEX($I$3:$L$22,MATCH($P33,$G$3:$G$22,0),$Q33)=BR$2,$S33+$O33+9,$S33+$O33)</f>
        <v>42713011</v>
      </c>
      <c r="BS33" s="1" cm="1">
        <f t="array" ref="BS33">IF(INDEX($I$3:$L$22,MATCH($P33,$G$3:$G$22,0),$Q33)=BS$2,$S33+$O33+9,$S33+$O33)</f>
        <v>42713011</v>
      </c>
      <c r="BT33" s="1" cm="1">
        <f t="array" ref="BT33">IF(INDEX($I$3:$L$22,MATCH($P33,$G$3:$G$22,0),$Q33)=BT$2,$S33+$O33+9,$S33+$O33)</f>
        <v>42713011</v>
      </c>
    </row>
    <row r="34" spans="1:72" x14ac:dyDescent="0.15">
      <c r="N34" s="1">
        <v>40001</v>
      </c>
      <c r="O34" s="1">
        <f t="shared" si="5"/>
        <v>11</v>
      </c>
      <c r="P34" s="1">
        <f t="shared" si="6"/>
        <v>202</v>
      </c>
      <c r="Q34" s="1">
        <f t="shared" si="7"/>
        <v>4</v>
      </c>
      <c r="R34" s="1" t="s">
        <v>15</v>
      </c>
      <c r="S34" s="1">
        <v>42716000</v>
      </c>
      <c r="T34" s="1" t="str">
        <f t="shared" si="2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4" s="1" cm="1">
        <f t="array" ref="W34">IF(INDEX($I$3:$L$22,MATCH($P34,$G$3:$G$22,0),$Q34)=W$2,$S34+$O34+9,$S34+$O34)</f>
        <v>42716011</v>
      </c>
      <c r="X34" s="1" cm="1">
        <f t="array" ref="X34">IF(INDEX($I$3:$L$22,MATCH($P34,$G$3:$G$22,0),$Q34)=X$2,$S34+$O34+9,$S34+$O34)</f>
        <v>42716011</v>
      </c>
      <c r="Y34" s="1" cm="1">
        <f t="array" ref="Y34">IF(INDEX($I$3:$L$22,MATCH($P34,$G$3:$G$22,0),$Q34)=Y$2,$S34+$O34+9,$S34+$O34)</f>
        <v>42716011</v>
      </c>
      <c r="Z34" s="1" cm="1">
        <f t="array" ref="Z34">IF(INDEX($I$3:$L$22,MATCH($P34,$G$3:$G$22,0),$Q34)=Z$2,$S34+$O34+9,$S34+$O34)</f>
        <v>42716011</v>
      </c>
      <c r="AA34" s="1" cm="1">
        <f t="array" ref="AA34">IF(INDEX($I$3:$L$22,MATCH($P34,$G$3:$G$22,0),$Q34)=AA$2,$S34+$O34+9,$S34+$O34)</f>
        <v>42716020</v>
      </c>
      <c r="AB34" s="1" cm="1">
        <f t="array" ref="AB34">IF(INDEX($I$3:$L$22,MATCH($P34,$G$3:$G$22,0),$Q34)=AB$2,$S34+$O34+9,$S34+$O34)</f>
        <v>42716011</v>
      </c>
      <c r="AC34" s="1" cm="1">
        <f t="array" ref="AC34">IF(INDEX($I$3:$L$22,MATCH($P34,$G$3:$G$22,0),$Q34)=AC$2,$S34+$O34+9,$S34+$O34)</f>
        <v>42716011</v>
      </c>
      <c r="AD34" s="1" cm="1">
        <f t="array" ref="AD34">IF(INDEX($I$3:$L$22,MATCH($P34,$G$3:$G$22,0),$Q34)=AD$2,$S34+$O34+9,$S34+$O34)</f>
        <v>42716011</v>
      </c>
      <c r="AE34" s="1" cm="1">
        <f t="array" ref="AE34">IF(INDEX($I$3:$L$22,MATCH($P34,$G$3:$G$22,0),$Q34)=AE$2,$S34+$O34+9,$S34+$O34)</f>
        <v>42716011</v>
      </c>
      <c r="AF34" s="1" cm="1">
        <f t="array" ref="AF34">IF(INDEX($I$3:$L$22,MATCH($P34,$G$3:$G$22,0),$Q34)=AF$2,$S34+$O34+9,$S34+$O34)</f>
        <v>42716011</v>
      </c>
      <c r="AG34" s="1" cm="1">
        <f t="array" ref="AG34">IF(INDEX($I$3:$L$22,MATCH($P34,$G$3:$G$22,0),$Q34)=AG$2,$S34+$O34+9,$S34+$O34)</f>
        <v>42716011</v>
      </c>
      <c r="AH34" s="1" cm="1">
        <f t="array" ref="AH34">IF(INDEX($I$3:$L$22,MATCH($P34,$G$3:$G$22,0),$Q34)=AH$2,$S34+$O34+9,$S34+$O34)</f>
        <v>42716011</v>
      </c>
      <c r="AI34" s="1" cm="1">
        <f t="array" ref="AI34">IF(INDEX($I$3:$L$22,MATCH($P34,$G$3:$G$22,0),$Q34)=AI$2,$S34+$O34+9,$S34+$O34)</f>
        <v>42716011</v>
      </c>
      <c r="AJ34" s="1" cm="1">
        <f t="array" ref="AJ34">IF(INDEX($I$3:$L$22,MATCH($P34,$G$3:$G$22,0),$Q34)=AJ$2,$S34+$O34+9,$S34+$O34)</f>
        <v>42716011</v>
      </c>
      <c r="AK34" s="1" cm="1">
        <f t="array" ref="AK34">IF(INDEX($I$3:$L$22,MATCH($P34,$G$3:$G$22,0),$Q34)=AK$2,$S34+$O34+9,$S34+$O34)</f>
        <v>42716011</v>
      </c>
      <c r="AL34" s="1" cm="1">
        <f t="array" ref="AL34">IF(INDEX($I$3:$L$22,MATCH($P34,$G$3:$G$22,0),$Q34)=AL$2,$S34+$O34+9,$S34+$O34)</f>
        <v>42716011</v>
      </c>
      <c r="AM34" s="1" cm="1">
        <f t="array" ref="AM34">IF(INDEX($I$3:$L$22,MATCH($P34,$G$3:$G$22,0),$Q34)=AM$2,$S34+$O34+9,$S34+$O34)</f>
        <v>42716011</v>
      </c>
      <c r="AN34" s="1" cm="1">
        <f t="array" ref="AN34">IF(INDEX($I$3:$L$22,MATCH($P34,$G$3:$G$22,0),$Q34)=AN$2,$S34+$O34+9,$S34+$O34)</f>
        <v>42716011</v>
      </c>
      <c r="AO34" s="1" cm="1">
        <f t="array" ref="AO34">IF(INDEX($I$3:$L$22,MATCH($P34,$G$3:$G$22,0),$Q34)=AO$2,$S34+$O34+9,$S34+$O34)</f>
        <v>42716011</v>
      </c>
      <c r="AP34" s="1" cm="1">
        <f t="array" ref="AP34">IF(INDEX($I$3:$L$22,MATCH($P34,$G$3:$G$22,0),$Q34)=AP$2,$S34+$O34+9,$S34+$O34)</f>
        <v>42716011</v>
      </c>
      <c r="AQ34" s="1" cm="1">
        <f t="array" ref="AQ34">IF(INDEX($I$3:$L$22,MATCH($P34,$G$3:$G$22,0),$Q34)=AQ$2,$S34+$O34+9,$S34+$O34)</f>
        <v>42716011</v>
      </c>
      <c r="AR34" s="1" cm="1">
        <f t="array" ref="AR34">IF(INDEX($I$3:$L$22,MATCH($P34,$G$3:$G$22,0),$Q34)=AR$2,$S34+$O34+9,$S34+$O34)</f>
        <v>42716011</v>
      </c>
      <c r="AS34" s="1" cm="1">
        <f t="array" ref="AS34">IF(INDEX($I$3:$L$22,MATCH($P34,$G$3:$G$22,0),$Q34)=AS$2,$S34+$O34+9,$S34+$O34)</f>
        <v>42716011</v>
      </c>
      <c r="AT34" s="1" cm="1">
        <f t="array" ref="AT34">IF(INDEX($I$3:$L$22,MATCH($P34,$G$3:$G$22,0),$Q34)=AT$2,$S34+$O34+9,$S34+$O34)</f>
        <v>42716011</v>
      </c>
      <c r="AU34" s="1" cm="1">
        <f t="array" ref="AU34">IF(INDEX($I$3:$L$22,MATCH($P34,$G$3:$G$22,0),$Q34)=AU$2,$S34+$O34+9,$S34+$O34)</f>
        <v>42716011</v>
      </c>
      <c r="AV34" s="1" cm="1">
        <f t="array" ref="AV34">IF(INDEX($I$3:$L$22,MATCH($P34,$G$3:$G$22,0),$Q34)=AV$2,$S34+$O34+9,$S34+$O34)</f>
        <v>42716011</v>
      </c>
      <c r="AW34" s="1" cm="1">
        <f t="array" ref="AW34">IF(INDEX($I$3:$L$22,MATCH($P34,$G$3:$G$22,0),$Q34)=AW$2,$S34+$O34+9,$S34+$O34)</f>
        <v>42716011</v>
      </c>
      <c r="AX34" s="1" cm="1">
        <f t="array" ref="AX34">IF(INDEX($I$3:$L$22,MATCH($P34,$G$3:$G$22,0),$Q34)=AX$2,$S34+$O34+9,$S34+$O34)</f>
        <v>42716011</v>
      </c>
      <c r="AY34" s="1" cm="1">
        <f t="array" ref="AY34">IF(INDEX($I$3:$L$22,MATCH($P34,$G$3:$G$22,0),$Q34)=AY$2,$S34+$O34+9,$S34+$O34)</f>
        <v>42716011</v>
      </c>
      <c r="AZ34" s="1" cm="1">
        <f t="array" ref="AZ34">IF(INDEX($I$3:$L$22,MATCH($P34,$G$3:$G$22,0),$Q34)=AZ$2,$S34+$O34+9,$S34+$O34)</f>
        <v>42716011</v>
      </c>
      <c r="BA34" s="1" cm="1">
        <f t="array" ref="BA34">IF(INDEX($I$3:$L$22,MATCH($P34,$G$3:$G$22,0),$Q34)=BA$2,$S34+$O34+9,$S34+$O34)</f>
        <v>42716011</v>
      </c>
      <c r="BB34" s="1" cm="1">
        <f t="array" ref="BB34">IF(INDEX($I$3:$L$22,MATCH($P34,$G$3:$G$22,0),$Q34)=BB$2,$S34+$O34+9,$S34+$O34)</f>
        <v>42716011</v>
      </c>
      <c r="BC34" s="1" cm="1">
        <f t="array" ref="BC34">IF(INDEX($I$3:$L$22,MATCH($P34,$G$3:$G$22,0),$Q34)=BC$2,$S34+$O34+9,$S34+$O34)</f>
        <v>42716011</v>
      </c>
      <c r="BD34" s="1" cm="1">
        <f t="array" ref="BD34">IF(INDEX($I$3:$L$22,MATCH($P34,$G$3:$G$22,0),$Q34)=BD$2,$S34+$O34+9,$S34+$O34)</f>
        <v>42716011</v>
      </c>
      <c r="BE34" s="1" cm="1">
        <f t="array" ref="BE34">IF(INDEX($I$3:$L$22,MATCH($P34,$G$3:$G$22,0),$Q34)=BE$2,$S34+$O34+9,$S34+$O34)</f>
        <v>42716011</v>
      </c>
      <c r="BF34" s="1" cm="1">
        <f t="array" ref="BF34">IF(INDEX($I$3:$L$22,MATCH($P34,$G$3:$G$22,0),$Q34)=BF$2,$S34+$O34+9,$S34+$O34)</f>
        <v>42716011</v>
      </c>
      <c r="BG34" s="1" cm="1">
        <f t="array" ref="BG34">IF(INDEX($I$3:$L$22,MATCH($P34,$G$3:$G$22,0),$Q34)=BG$2,$S34+$O34+9,$S34+$O34)</f>
        <v>42716011</v>
      </c>
      <c r="BH34" s="1" cm="1">
        <f t="array" ref="BH34">IF(INDEX($I$3:$L$22,MATCH($P34,$G$3:$G$22,0),$Q34)=BH$2,$S34+$O34+9,$S34+$O34)</f>
        <v>42716011</v>
      </c>
      <c r="BI34" s="1" cm="1">
        <f t="array" ref="BI34">IF(INDEX($I$3:$L$22,MATCH($P34,$G$3:$G$22,0),$Q34)=BI$2,$S34+$O34+9,$S34+$O34)</f>
        <v>42716011</v>
      </c>
      <c r="BJ34" s="1" cm="1">
        <f t="array" ref="BJ34">IF(INDEX($I$3:$L$22,MATCH($P34,$G$3:$G$22,0),$Q34)=BJ$2,$S34+$O34+9,$S34+$O34)</f>
        <v>42716011</v>
      </c>
      <c r="BK34" s="1" cm="1">
        <f t="array" ref="BK34">IF(INDEX($I$3:$L$22,MATCH($P34,$G$3:$G$22,0),$Q34)=BK$2,$S34+$O34+9,$S34+$O34)</f>
        <v>42716011</v>
      </c>
      <c r="BL34" s="1" cm="1">
        <f t="array" ref="BL34">IF(INDEX($I$3:$L$22,MATCH($P34,$G$3:$G$22,0),$Q34)=BL$2,$S34+$O34+9,$S34+$O34)</f>
        <v>42716011</v>
      </c>
      <c r="BM34" s="1" cm="1">
        <f t="array" ref="BM34">IF(INDEX($I$3:$L$22,MATCH($P34,$G$3:$G$22,0),$Q34)=BM$2,$S34+$O34+9,$S34+$O34)</f>
        <v>42716011</v>
      </c>
      <c r="BN34" s="1" cm="1">
        <f t="array" ref="BN34">IF(INDEX($I$3:$L$22,MATCH($P34,$G$3:$G$22,0),$Q34)=BN$2,$S34+$O34+9,$S34+$O34)</f>
        <v>42716011</v>
      </c>
      <c r="BO34" s="1" cm="1">
        <f t="array" ref="BO34">IF(INDEX($I$3:$L$22,MATCH($P34,$G$3:$G$22,0),$Q34)=BO$2,$S34+$O34+9,$S34+$O34)</f>
        <v>42716011</v>
      </c>
      <c r="BP34" s="1" cm="1">
        <f t="array" ref="BP34">IF(INDEX($I$3:$L$22,MATCH($P34,$G$3:$G$22,0),$Q34)=BP$2,$S34+$O34+9,$S34+$O34)</f>
        <v>42716011</v>
      </c>
      <c r="BQ34" s="1" cm="1">
        <f t="array" ref="BQ34">IF(INDEX($I$3:$L$22,MATCH($P34,$G$3:$G$22,0),$Q34)=BQ$2,$S34+$O34+9,$S34+$O34)</f>
        <v>42716011</v>
      </c>
      <c r="BR34" s="1" cm="1">
        <f t="array" ref="BR34">IF(INDEX($I$3:$L$22,MATCH($P34,$G$3:$G$22,0),$Q34)=BR$2,$S34+$O34+9,$S34+$O34)</f>
        <v>42716011</v>
      </c>
      <c r="BS34" s="1" cm="1">
        <f t="array" ref="BS34">IF(INDEX($I$3:$L$22,MATCH($P34,$G$3:$G$22,0),$Q34)=BS$2,$S34+$O34+9,$S34+$O34)</f>
        <v>42716011</v>
      </c>
      <c r="BT34" s="1" cm="1">
        <f t="array" ref="BT34">IF(INDEX($I$3:$L$22,MATCH($P34,$G$3:$G$22,0),$Q34)=BT$2,$S34+$O34+9,$S34+$O34)</f>
        <v>42716011</v>
      </c>
    </row>
    <row r="35" spans="1:72" x14ac:dyDescent="0.15">
      <c r="N35" s="1">
        <v>40001</v>
      </c>
      <c r="O35" s="1">
        <f t="shared" si="5"/>
        <v>11</v>
      </c>
      <c r="P35" s="1">
        <f t="shared" si="6"/>
        <v>203</v>
      </c>
      <c r="Q35" s="1">
        <f t="shared" si="7"/>
        <v>1</v>
      </c>
      <c r="R35" s="1" t="s">
        <v>18</v>
      </c>
      <c r="S35" s="1">
        <v>42711000</v>
      </c>
      <c r="T35" s="1" t="str">
        <f t="shared" ref="T35:T66" si="8">_xlfn.TEXTJOIN(",",TRUE,W35:BT35)</f>
        <v>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42711020,42711011,42711011,42711011,42711011,42711011,42711011</v>
      </c>
      <c r="W35" s="1" cm="1">
        <f t="array" ref="W35">IF(INDEX($I$3:$L$22,MATCH($P35,$G$3:$G$22,0),$Q35)=W$2,$S35+$O35+9,$S35+$O35)</f>
        <v>42711011</v>
      </c>
      <c r="X35" s="1" cm="1">
        <f t="array" ref="X35">IF(INDEX($I$3:$L$22,MATCH($P35,$G$3:$G$22,0),$Q35)=X$2,$S35+$O35+9,$S35+$O35)</f>
        <v>42711011</v>
      </c>
      <c r="Y35" s="1" cm="1">
        <f t="array" ref="Y35">IF(INDEX($I$3:$L$22,MATCH($P35,$G$3:$G$22,0),$Q35)=Y$2,$S35+$O35+9,$S35+$O35)</f>
        <v>42711011</v>
      </c>
      <c r="Z35" s="1" cm="1">
        <f t="array" ref="Z35">IF(INDEX($I$3:$L$22,MATCH($P35,$G$3:$G$22,0),$Q35)=Z$2,$S35+$O35+9,$S35+$O35)</f>
        <v>42711011</v>
      </c>
      <c r="AA35" s="1" cm="1">
        <f t="array" ref="AA35">IF(INDEX($I$3:$L$22,MATCH($P35,$G$3:$G$22,0),$Q35)=AA$2,$S35+$O35+9,$S35+$O35)</f>
        <v>42711011</v>
      </c>
      <c r="AB35" s="1" cm="1">
        <f t="array" ref="AB35">IF(INDEX($I$3:$L$22,MATCH($P35,$G$3:$G$22,0),$Q35)=AB$2,$S35+$O35+9,$S35+$O35)</f>
        <v>42711011</v>
      </c>
      <c r="AC35" s="1" cm="1">
        <f t="array" ref="AC35">IF(INDEX($I$3:$L$22,MATCH($P35,$G$3:$G$22,0),$Q35)=AC$2,$S35+$O35+9,$S35+$O35)</f>
        <v>42711011</v>
      </c>
      <c r="AD35" s="1" cm="1">
        <f t="array" ref="AD35">IF(INDEX($I$3:$L$22,MATCH($P35,$G$3:$G$22,0),$Q35)=AD$2,$S35+$O35+9,$S35+$O35)</f>
        <v>42711011</v>
      </c>
      <c r="AE35" s="1" cm="1">
        <f t="array" ref="AE35">IF(INDEX($I$3:$L$22,MATCH($P35,$G$3:$G$22,0),$Q35)=AE$2,$S35+$O35+9,$S35+$O35)</f>
        <v>42711011</v>
      </c>
      <c r="AF35" s="1" cm="1">
        <f t="array" ref="AF35">IF(INDEX($I$3:$L$22,MATCH($P35,$G$3:$G$22,0),$Q35)=AF$2,$S35+$O35+9,$S35+$O35)</f>
        <v>42711011</v>
      </c>
      <c r="AG35" s="1" cm="1">
        <f t="array" ref="AG35">IF(INDEX($I$3:$L$22,MATCH($P35,$G$3:$G$22,0),$Q35)=AG$2,$S35+$O35+9,$S35+$O35)</f>
        <v>42711011</v>
      </c>
      <c r="AH35" s="1" cm="1">
        <f t="array" ref="AH35">IF(INDEX($I$3:$L$22,MATCH($P35,$G$3:$G$22,0),$Q35)=AH$2,$S35+$O35+9,$S35+$O35)</f>
        <v>42711011</v>
      </c>
      <c r="AI35" s="1" cm="1">
        <f t="array" ref="AI35">IF(INDEX($I$3:$L$22,MATCH($P35,$G$3:$G$22,0),$Q35)=AI$2,$S35+$O35+9,$S35+$O35)</f>
        <v>42711011</v>
      </c>
      <c r="AJ35" s="1" cm="1">
        <f t="array" ref="AJ35">IF(INDEX($I$3:$L$22,MATCH($P35,$G$3:$G$22,0),$Q35)=AJ$2,$S35+$O35+9,$S35+$O35)</f>
        <v>42711011</v>
      </c>
      <c r="AK35" s="1" cm="1">
        <f t="array" ref="AK35">IF(INDEX($I$3:$L$22,MATCH($P35,$G$3:$G$22,0),$Q35)=AK$2,$S35+$O35+9,$S35+$O35)</f>
        <v>42711011</v>
      </c>
      <c r="AL35" s="1" cm="1">
        <f t="array" ref="AL35">IF(INDEX($I$3:$L$22,MATCH($P35,$G$3:$G$22,0),$Q35)=AL$2,$S35+$O35+9,$S35+$O35)</f>
        <v>42711011</v>
      </c>
      <c r="AM35" s="1" cm="1">
        <f t="array" ref="AM35">IF(INDEX($I$3:$L$22,MATCH($P35,$G$3:$G$22,0),$Q35)=AM$2,$S35+$O35+9,$S35+$O35)</f>
        <v>42711011</v>
      </c>
      <c r="AN35" s="1" cm="1">
        <f t="array" ref="AN35">IF(INDEX($I$3:$L$22,MATCH($P35,$G$3:$G$22,0),$Q35)=AN$2,$S35+$O35+9,$S35+$O35)</f>
        <v>42711011</v>
      </c>
      <c r="AO35" s="1" cm="1">
        <f t="array" ref="AO35">IF(INDEX($I$3:$L$22,MATCH($P35,$G$3:$G$22,0),$Q35)=AO$2,$S35+$O35+9,$S35+$O35)</f>
        <v>42711011</v>
      </c>
      <c r="AP35" s="1" cm="1">
        <f t="array" ref="AP35">IF(INDEX($I$3:$L$22,MATCH($P35,$G$3:$G$22,0),$Q35)=AP$2,$S35+$O35+9,$S35+$O35)</f>
        <v>42711011</v>
      </c>
      <c r="AQ35" s="1" cm="1">
        <f t="array" ref="AQ35">IF(INDEX($I$3:$L$22,MATCH($P35,$G$3:$G$22,0),$Q35)=AQ$2,$S35+$O35+9,$S35+$O35)</f>
        <v>42711011</v>
      </c>
      <c r="AR35" s="1" cm="1">
        <f t="array" ref="AR35">IF(INDEX($I$3:$L$22,MATCH($P35,$G$3:$G$22,0),$Q35)=AR$2,$S35+$O35+9,$S35+$O35)</f>
        <v>42711011</v>
      </c>
      <c r="AS35" s="1" cm="1">
        <f t="array" ref="AS35">IF(INDEX($I$3:$L$22,MATCH($P35,$G$3:$G$22,0),$Q35)=AS$2,$S35+$O35+9,$S35+$O35)</f>
        <v>42711011</v>
      </c>
      <c r="AT35" s="1" cm="1">
        <f t="array" ref="AT35">IF(INDEX($I$3:$L$22,MATCH($P35,$G$3:$G$22,0),$Q35)=AT$2,$S35+$O35+9,$S35+$O35)</f>
        <v>42711011</v>
      </c>
      <c r="AU35" s="1" cm="1">
        <f t="array" ref="AU35">IF(INDEX($I$3:$L$22,MATCH($P35,$G$3:$G$22,0),$Q35)=AU$2,$S35+$O35+9,$S35+$O35)</f>
        <v>42711011</v>
      </c>
      <c r="AV35" s="1" cm="1">
        <f t="array" ref="AV35">IF(INDEX($I$3:$L$22,MATCH($P35,$G$3:$G$22,0),$Q35)=AV$2,$S35+$O35+9,$S35+$O35)</f>
        <v>42711011</v>
      </c>
      <c r="AW35" s="1" cm="1">
        <f t="array" ref="AW35">IF(INDEX($I$3:$L$22,MATCH($P35,$G$3:$G$22,0),$Q35)=AW$2,$S35+$O35+9,$S35+$O35)</f>
        <v>42711011</v>
      </c>
      <c r="AX35" s="1" cm="1">
        <f t="array" ref="AX35">IF(INDEX($I$3:$L$22,MATCH($P35,$G$3:$G$22,0),$Q35)=AX$2,$S35+$O35+9,$S35+$O35)</f>
        <v>42711011</v>
      </c>
      <c r="AY35" s="1" cm="1">
        <f t="array" ref="AY35">IF(INDEX($I$3:$L$22,MATCH($P35,$G$3:$G$22,0),$Q35)=AY$2,$S35+$O35+9,$S35+$O35)</f>
        <v>42711011</v>
      </c>
      <c r="AZ35" s="1" cm="1">
        <f t="array" ref="AZ35">IF(INDEX($I$3:$L$22,MATCH($P35,$G$3:$G$22,0),$Q35)=AZ$2,$S35+$O35+9,$S35+$O35)</f>
        <v>42711011</v>
      </c>
      <c r="BA35" s="1" cm="1">
        <f t="array" ref="BA35">IF(INDEX($I$3:$L$22,MATCH($P35,$G$3:$G$22,0),$Q35)=BA$2,$S35+$O35+9,$S35+$O35)</f>
        <v>42711011</v>
      </c>
      <c r="BB35" s="1" cm="1">
        <f t="array" ref="BB35">IF(INDEX($I$3:$L$22,MATCH($P35,$G$3:$G$22,0),$Q35)=BB$2,$S35+$O35+9,$S35+$O35)</f>
        <v>42711011</v>
      </c>
      <c r="BC35" s="1" cm="1">
        <f t="array" ref="BC35">IF(INDEX($I$3:$L$22,MATCH($P35,$G$3:$G$22,0),$Q35)=BC$2,$S35+$O35+9,$S35+$O35)</f>
        <v>42711011</v>
      </c>
      <c r="BD35" s="1" cm="1">
        <f t="array" ref="BD35">IF(INDEX($I$3:$L$22,MATCH($P35,$G$3:$G$22,0),$Q35)=BD$2,$S35+$O35+9,$S35+$O35)</f>
        <v>42711011</v>
      </c>
      <c r="BE35" s="1" cm="1">
        <f t="array" ref="BE35">IF(INDEX($I$3:$L$22,MATCH($P35,$G$3:$G$22,0),$Q35)=BE$2,$S35+$O35+9,$S35+$O35)</f>
        <v>42711011</v>
      </c>
      <c r="BF35" s="1" cm="1">
        <f t="array" ref="BF35">IF(INDEX($I$3:$L$22,MATCH($P35,$G$3:$G$22,0),$Q35)=BF$2,$S35+$O35+9,$S35+$O35)</f>
        <v>42711011</v>
      </c>
      <c r="BG35" s="1" cm="1">
        <f t="array" ref="BG35">IF(INDEX($I$3:$L$22,MATCH($P35,$G$3:$G$22,0),$Q35)=BG$2,$S35+$O35+9,$S35+$O35)</f>
        <v>42711011</v>
      </c>
      <c r="BH35" s="1" cm="1">
        <f t="array" ref="BH35">IF(INDEX($I$3:$L$22,MATCH($P35,$G$3:$G$22,0),$Q35)=BH$2,$S35+$O35+9,$S35+$O35)</f>
        <v>42711011</v>
      </c>
      <c r="BI35" s="1" cm="1">
        <f t="array" ref="BI35">IF(INDEX($I$3:$L$22,MATCH($P35,$G$3:$G$22,0),$Q35)=BI$2,$S35+$O35+9,$S35+$O35)</f>
        <v>42711011</v>
      </c>
      <c r="BJ35" s="1" cm="1">
        <f t="array" ref="BJ35">IF(INDEX($I$3:$L$22,MATCH($P35,$G$3:$G$22,0),$Q35)=BJ$2,$S35+$O35+9,$S35+$O35)</f>
        <v>42711011</v>
      </c>
      <c r="BK35" s="1" cm="1">
        <f t="array" ref="BK35">IF(INDEX($I$3:$L$22,MATCH($P35,$G$3:$G$22,0),$Q35)=BK$2,$S35+$O35+9,$S35+$O35)</f>
        <v>42711011</v>
      </c>
      <c r="BL35" s="1" cm="1">
        <f t="array" ref="BL35">IF(INDEX($I$3:$L$22,MATCH($P35,$G$3:$G$22,0),$Q35)=BL$2,$S35+$O35+9,$S35+$O35)</f>
        <v>42711011</v>
      </c>
      <c r="BM35" s="1" cm="1">
        <f t="array" ref="BM35">IF(INDEX($I$3:$L$22,MATCH($P35,$G$3:$G$22,0),$Q35)=BM$2,$S35+$O35+9,$S35+$O35)</f>
        <v>42711011</v>
      </c>
      <c r="BN35" s="1" cm="1">
        <f t="array" ref="BN35">IF(INDEX($I$3:$L$22,MATCH($P35,$G$3:$G$22,0),$Q35)=BN$2,$S35+$O35+9,$S35+$O35)</f>
        <v>42711020</v>
      </c>
      <c r="BO35" s="1" cm="1">
        <f t="array" ref="BO35">IF(INDEX($I$3:$L$22,MATCH($P35,$G$3:$G$22,0),$Q35)=BO$2,$S35+$O35+9,$S35+$O35)</f>
        <v>42711011</v>
      </c>
      <c r="BP35" s="1" cm="1">
        <f t="array" ref="BP35">IF(INDEX($I$3:$L$22,MATCH($P35,$G$3:$G$22,0),$Q35)=BP$2,$S35+$O35+9,$S35+$O35)</f>
        <v>42711011</v>
      </c>
      <c r="BQ35" s="1" cm="1">
        <f t="array" ref="BQ35">IF(INDEX($I$3:$L$22,MATCH($P35,$G$3:$G$22,0),$Q35)=BQ$2,$S35+$O35+9,$S35+$O35)</f>
        <v>42711011</v>
      </c>
      <c r="BR35" s="1" cm="1">
        <f t="array" ref="BR35">IF(INDEX($I$3:$L$22,MATCH($P35,$G$3:$G$22,0),$Q35)=BR$2,$S35+$O35+9,$S35+$O35)</f>
        <v>42711011</v>
      </c>
      <c r="BS35" s="1" cm="1">
        <f t="array" ref="BS35">IF(INDEX($I$3:$L$22,MATCH($P35,$G$3:$G$22,0),$Q35)=BS$2,$S35+$O35+9,$S35+$O35)</f>
        <v>42711011</v>
      </c>
      <c r="BT35" s="1" cm="1">
        <f t="array" ref="BT35">IF(INDEX($I$3:$L$22,MATCH($P35,$G$3:$G$22,0),$Q35)=BT$2,$S35+$O35+9,$S35+$O35)</f>
        <v>42711011</v>
      </c>
    </row>
    <row r="36" spans="1:72" x14ac:dyDescent="0.15">
      <c r="N36" s="1">
        <v>40001</v>
      </c>
      <c r="O36" s="1">
        <f t="shared" si="5"/>
        <v>11</v>
      </c>
      <c r="P36" s="1">
        <f t="shared" si="6"/>
        <v>203</v>
      </c>
      <c r="Q36" s="1">
        <f t="shared" si="7"/>
        <v>2</v>
      </c>
      <c r="R36" s="1" t="s">
        <v>17</v>
      </c>
      <c r="S36" s="1">
        <v>42612000</v>
      </c>
      <c r="T36" s="1" t="str">
        <f t="shared" si="8"/>
        <v>42612011,42612011,42612011,42612011,42612011,42612011,42612011,42612011,42612011,42612011,42612011,42612011,42612011,42612011,42612011,42612011,42612011,42612011,42612020,42612011,42612011,42612011,42612011,42612011,42612011,42612011,42612011,42612011,42612011,42612011,42612011,42612011,42612011,42612011,42612011,42612011,42612011,42612011,42612011,42612011,42612011,42612011,42612011,42612011,42612011,42612011,42612011,42612011,42612011,42612011</v>
      </c>
      <c r="W36" s="1" cm="1">
        <f t="array" ref="W36">IF(INDEX($I$3:$L$22,MATCH($P36,$G$3:$G$22,0),$Q36)=W$2,$S36+$O36+9,$S36+$O36)</f>
        <v>42612011</v>
      </c>
      <c r="X36" s="1" cm="1">
        <f t="array" ref="X36">IF(INDEX($I$3:$L$22,MATCH($P36,$G$3:$G$22,0),$Q36)=X$2,$S36+$O36+9,$S36+$O36)</f>
        <v>42612011</v>
      </c>
      <c r="Y36" s="1" cm="1">
        <f t="array" ref="Y36">IF(INDEX($I$3:$L$22,MATCH($P36,$G$3:$G$22,0),$Q36)=Y$2,$S36+$O36+9,$S36+$O36)</f>
        <v>42612011</v>
      </c>
      <c r="Z36" s="1" cm="1">
        <f t="array" ref="Z36">IF(INDEX($I$3:$L$22,MATCH($P36,$G$3:$G$22,0),$Q36)=Z$2,$S36+$O36+9,$S36+$O36)</f>
        <v>42612011</v>
      </c>
      <c r="AA36" s="1" cm="1">
        <f t="array" ref="AA36">IF(INDEX($I$3:$L$22,MATCH($P36,$G$3:$G$22,0),$Q36)=AA$2,$S36+$O36+9,$S36+$O36)</f>
        <v>42612011</v>
      </c>
      <c r="AB36" s="1" cm="1">
        <f t="array" ref="AB36">IF(INDEX($I$3:$L$22,MATCH($P36,$G$3:$G$22,0),$Q36)=AB$2,$S36+$O36+9,$S36+$O36)</f>
        <v>42612011</v>
      </c>
      <c r="AC36" s="1" cm="1">
        <f t="array" ref="AC36">IF(INDEX($I$3:$L$22,MATCH($P36,$G$3:$G$22,0),$Q36)=AC$2,$S36+$O36+9,$S36+$O36)</f>
        <v>42612011</v>
      </c>
      <c r="AD36" s="1" cm="1">
        <f t="array" ref="AD36">IF(INDEX($I$3:$L$22,MATCH($P36,$G$3:$G$22,0),$Q36)=AD$2,$S36+$O36+9,$S36+$O36)</f>
        <v>42612011</v>
      </c>
      <c r="AE36" s="1" cm="1">
        <f t="array" ref="AE36">IF(INDEX($I$3:$L$22,MATCH($P36,$G$3:$G$22,0),$Q36)=AE$2,$S36+$O36+9,$S36+$O36)</f>
        <v>42612011</v>
      </c>
      <c r="AF36" s="1" cm="1">
        <f t="array" ref="AF36">IF(INDEX($I$3:$L$22,MATCH($P36,$G$3:$G$22,0),$Q36)=AF$2,$S36+$O36+9,$S36+$O36)</f>
        <v>42612011</v>
      </c>
      <c r="AG36" s="1" cm="1">
        <f t="array" ref="AG36">IF(INDEX($I$3:$L$22,MATCH($P36,$G$3:$G$22,0),$Q36)=AG$2,$S36+$O36+9,$S36+$O36)</f>
        <v>42612011</v>
      </c>
      <c r="AH36" s="1" cm="1">
        <f t="array" ref="AH36">IF(INDEX($I$3:$L$22,MATCH($P36,$G$3:$G$22,0),$Q36)=AH$2,$S36+$O36+9,$S36+$O36)</f>
        <v>42612011</v>
      </c>
      <c r="AI36" s="1" cm="1">
        <f t="array" ref="AI36">IF(INDEX($I$3:$L$22,MATCH($P36,$G$3:$G$22,0),$Q36)=AI$2,$S36+$O36+9,$S36+$O36)</f>
        <v>42612011</v>
      </c>
      <c r="AJ36" s="1" cm="1">
        <f t="array" ref="AJ36">IF(INDEX($I$3:$L$22,MATCH($P36,$G$3:$G$22,0),$Q36)=AJ$2,$S36+$O36+9,$S36+$O36)</f>
        <v>42612011</v>
      </c>
      <c r="AK36" s="1" cm="1">
        <f t="array" ref="AK36">IF(INDEX($I$3:$L$22,MATCH($P36,$G$3:$G$22,0),$Q36)=AK$2,$S36+$O36+9,$S36+$O36)</f>
        <v>42612011</v>
      </c>
      <c r="AL36" s="1" cm="1">
        <f t="array" ref="AL36">IF(INDEX($I$3:$L$22,MATCH($P36,$G$3:$G$22,0),$Q36)=AL$2,$S36+$O36+9,$S36+$O36)</f>
        <v>42612011</v>
      </c>
      <c r="AM36" s="1" cm="1">
        <f t="array" ref="AM36">IF(INDEX($I$3:$L$22,MATCH($P36,$G$3:$G$22,0),$Q36)=AM$2,$S36+$O36+9,$S36+$O36)</f>
        <v>42612011</v>
      </c>
      <c r="AN36" s="1" cm="1">
        <f t="array" ref="AN36">IF(INDEX($I$3:$L$22,MATCH($P36,$G$3:$G$22,0),$Q36)=AN$2,$S36+$O36+9,$S36+$O36)</f>
        <v>42612011</v>
      </c>
      <c r="AO36" s="1" cm="1">
        <f t="array" ref="AO36">IF(INDEX($I$3:$L$22,MATCH($P36,$G$3:$G$22,0),$Q36)=AO$2,$S36+$O36+9,$S36+$O36)</f>
        <v>42612020</v>
      </c>
      <c r="AP36" s="1" cm="1">
        <f t="array" ref="AP36">IF(INDEX($I$3:$L$22,MATCH($P36,$G$3:$G$22,0),$Q36)=AP$2,$S36+$O36+9,$S36+$O36)</f>
        <v>42612011</v>
      </c>
      <c r="AQ36" s="1" cm="1">
        <f t="array" ref="AQ36">IF(INDEX($I$3:$L$22,MATCH($P36,$G$3:$G$22,0),$Q36)=AQ$2,$S36+$O36+9,$S36+$O36)</f>
        <v>42612011</v>
      </c>
      <c r="AR36" s="1" cm="1">
        <f t="array" ref="AR36">IF(INDEX($I$3:$L$22,MATCH($P36,$G$3:$G$22,0),$Q36)=AR$2,$S36+$O36+9,$S36+$O36)</f>
        <v>42612011</v>
      </c>
      <c r="AS36" s="1" cm="1">
        <f t="array" ref="AS36">IF(INDEX($I$3:$L$22,MATCH($P36,$G$3:$G$22,0),$Q36)=AS$2,$S36+$O36+9,$S36+$O36)</f>
        <v>42612011</v>
      </c>
      <c r="AT36" s="1" cm="1">
        <f t="array" ref="AT36">IF(INDEX($I$3:$L$22,MATCH($P36,$G$3:$G$22,0),$Q36)=AT$2,$S36+$O36+9,$S36+$O36)</f>
        <v>42612011</v>
      </c>
      <c r="AU36" s="1" cm="1">
        <f t="array" ref="AU36">IF(INDEX($I$3:$L$22,MATCH($P36,$G$3:$G$22,0),$Q36)=AU$2,$S36+$O36+9,$S36+$O36)</f>
        <v>42612011</v>
      </c>
      <c r="AV36" s="1" cm="1">
        <f t="array" ref="AV36">IF(INDEX($I$3:$L$22,MATCH($P36,$G$3:$G$22,0),$Q36)=AV$2,$S36+$O36+9,$S36+$O36)</f>
        <v>42612011</v>
      </c>
      <c r="AW36" s="1" cm="1">
        <f t="array" ref="AW36">IF(INDEX($I$3:$L$22,MATCH($P36,$G$3:$G$22,0),$Q36)=AW$2,$S36+$O36+9,$S36+$O36)</f>
        <v>42612011</v>
      </c>
      <c r="AX36" s="1" cm="1">
        <f t="array" ref="AX36">IF(INDEX($I$3:$L$22,MATCH($P36,$G$3:$G$22,0),$Q36)=AX$2,$S36+$O36+9,$S36+$O36)</f>
        <v>42612011</v>
      </c>
      <c r="AY36" s="1" cm="1">
        <f t="array" ref="AY36">IF(INDEX($I$3:$L$22,MATCH($P36,$G$3:$G$22,0),$Q36)=AY$2,$S36+$O36+9,$S36+$O36)</f>
        <v>42612011</v>
      </c>
      <c r="AZ36" s="1" cm="1">
        <f t="array" ref="AZ36">IF(INDEX($I$3:$L$22,MATCH($P36,$G$3:$G$22,0),$Q36)=AZ$2,$S36+$O36+9,$S36+$O36)</f>
        <v>42612011</v>
      </c>
      <c r="BA36" s="1" cm="1">
        <f t="array" ref="BA36">IF(INDEX($I$3:$L$22,MATCH($P36,$G$3:$G$22,0),$Q36)=BA$2,$S36+$O36+9,$S36+$O36)</f>
        <v>42612011</v>
      </c>
      <c r="BB36" s="1" cm="1">
        <f t="array" ref="BB36">IF(INDEX($I$3:$L$22,MATCH($P36,$G$3:$G$22,0),$Q36)=BB$2,$S36+$O36+9,$S36+$O36)</f>
        <v>42612011</v>
      </c>
      <c r="BC36" s="1" cm="1">
        <f t="array" ref="BC36">IF(INDEX($I$3:$L$22,MATCH($P36,$G$3:$G$22,0),$Q36)=BC$2,$S36+$O36+9,$S36+$O36)</f>
        <v>42612011</v>
      </c>
      <c r="BD36" s="1" cm="1">
        <f t="array" ref="BD36">IF(INDEX($I$3:$L$22,MATCH($P36,$G$3:$G$22,0),$Q36)=BD$2,$S36+$O36+9,$S36+$O36)</f>
        <v>42612011</v>
      </c>
      <c r="BE36" s="1" cm="1">
        <f t="array" ref="BE36">IF(INDEX($I$3:$L$22,MATCH($P36,$G$3:$G$22,0),$Q36)=BE$2,$S36+$O36+9,$S36+$O36)</f>
        <v>42612011</v>
      </c>
      <c r="BF36" s="1" cm="1">
        <f t="array" ref="BF36">IF(INDEX($I$3:$L$22,MATCH($P36,$G$3:$G$22,0),$Q36)=BF$2,$S36+$O36+9,$S36+$O36)</f>
        <v>42612011</v>
      </c>
      <c r="BG36" s="1" cm="1">
        <f t="array" ref="BG36">IF(INDEX($I$3:$L$22,MATCH($P36,$G$3:$G$22,0),$Q36)=BG$2,$S36+$O36+9,$S36+$O36)</f>
        <v>42612011</v>
      </c>
      <c r="BH36" s="1" cm="1">
        <f t="array" ref="BH36">IF(INDEX($I$3:$L$22,MATCH($P36,$G$3:$G$22,0),$Q36)=BH$2,$S36+$O36+9,$S36+$O36)</f>
        <v>42612011</v>
      </c>
      <c r="BI36" s="1" cm="1">
        <f t="array" ref="BI36">IF(INDEX($I$3:$L$22,MATCH($P36,$G$3:$G$22,0),$Q36)=BI$2,$S36+$O36+9,$S36+$O36)</f>
        <v>42612011</v>
      </c>
      <c r="BJ36" s="1" cm="1">
        <f t="array" ref="BJ36">IF(INDEX($I$3:$L$22,MATCH($P36,$G$3:$G$22,0),$Q36)=BJ$2,$S36+$O36+9,$S36+$O36)</f>
        <v>42612011</v>
      </c>
      <c r="BK36" s="1" cm="1">
        <f t="array" ref="BK36">IF(INDEX($I$3:$L$22,MATCH($P36,$G$3:$G$22,0),$Q36)=BK$2,$S36+$O36+9,$S36+$O36)</f>
        <v>42612011</v>
      </c>
      <c r="BL36" s="1" cm="1">
        <f t="array" ref="BL36">IF(INDEX($I$3:$L$22,MATCH($P36,$G$3:$G$22,0),$Q36)=BL$2,$S36+$O36+9,$S36+$O36)</f>
        <v>42612011</v>
      </c>
      <c r="BM36" s="1" cm="1">
        <f t="array" ref="BM36">IF(INDEX($I$3:$L$22,MATCH($P36,$G$3:$G$22,0),$Q36)=BM$2,$S36+$O36+9,$S36+$O36)</f>
        <v>42612011</v>
      </c>
      <c r="BN36" s="1" cm="1">
        <f t="array" ref="BN36">IF(INDEX($I$3:$L$22,MATCH($P36,$G$3:$G$22,0),$Q36)=BN$2,$S36+$O36+9,$S36+$O36)</f>
        <v>42612011</v>
      </c>
      <c r="BO36" s="1" cm="1">
        <f t="array" ref="BO36">IF(INDEX($I$3:$L$22,MATCH($P36,$G$3:$G$22,0),$Q36)=BO$2,$S36+$O36+9,$S36+$O36)</f>
        <v>42612011</v>
      </c>
      <c r="BP36" s="1" cm="1">
        <f t="array" ref="BP36">IF(INDEX($I$3:$L$22,MATCH($P36,$G$3:$G$22,0),$Q36)=BP$2,$S36+$O36+9,$S36+$O36)</f>
        <v>42612011</v>
      </c>
      <c r="BQ36" s="1" cm="1">
        <f t="array" ref="BQ36">IF(INDEX($I$3:$L$22,MATCH($P36,$G$3:$G$22,0),$Q36)=BQ$2,$S36+$O36+9,$S36+$O36)</f>
        <v>42612011</v>
      </c>
      <c r="BR36" s="1" cm="1">
        <f t="array" ref="BR36">IF(INDEX($I$3:$L$22,MATCH($P36,$G$3:$G$22,0),$Q36)=BR$2,$S36+$O36+9,$S36+$O36)</f>
        <v>42612011</v>
      </c>
      <c r="BS36" s="1" cm="1">
        <f t="array" ref="BS36">IF(INDEX($I$3:$L$22,MATCH($P36,$G$3:$G$22,0),$Q36)=BS$2,$S36+$O36+9,$S36+$O36)</f>
        <v>42612011</v>
      </c>
      <c r="BT36" s="1" cm="1">
        <f t="array" ref="BT36">IF(INDEX($I$3:$L$22,MATCH($P36,$G$3:$G$22,0),$Q36)=BT$2,$S36+$O36+9,$S36+$O36)</f>
        <v>42612011</v>
      </c>
    </row>
    <row r="37" spans="1:72" x14ac:dyDescent="0.15">
      <c r="N37" s="1">
        <v>40001</v>
      </c>
      <c r="O37" s="1">
        <f t="shared" si="5"/>
        <v>11</v>
      </c>
      <c r="P37" s="1">
        <f t="shared" si="6"/>
        <v>203</v>
      </c>
      <c r="Q37" s="1">
        <f t="shared" si="7"/>
        <v>3</v>
      </c>
      <c r="R37" s="1" t="s">
        <v>16</v>
      </c>
      <c r="S37" s="1">
        <v>42713000</v>
      </c>
      <c r="T37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,42713011,42713011,42713011,42713011,42713011,42713011,42713011,42713011,42713011,42713011,42713011,42713011,42713011</v>
      </c>
      <c r="W37" s="1" cm="1">
        <f t="array" ref="W37">IF(INDEX($I$3:$L$22,MATCH($P37,$G$3:$G$22,0),$Q37)=W$2,$S37+$O37+9,$S37+$O37)</f>
        <v>42713011</v>
      </c>
      <c r="X37" s="1" cm="1">
        <f t="array" ref="X37">IF(INDEX($I$3:$L$22,MATCH($P37,$G$3:$G$22,0),$Q37)=X$2,$S37+$O37+9,$S37+$O37)</f>
        <v>42713011</v>
      </c>
      <c r="Y37" s="1" cm="1">
        <f t="array" ref="Y37">IF(INDEX($I$3:$L$22,MATCH($P37,$G$3:$G$22,0),$Q37)=Y$2,$S37+$O37+9,$S37+$O37)</f>
        <v>42713011</v>
      </c>
      <c r="Z37" s="1" cm="1">
        <f t="array" ref="Z37">IF(INDEX($I$3:$L$22,MATCH($P37,$G$3:$G$22,0),$Q37)=Z$2,$S37+$O37+9,$S37+$O37)</f>
        <v>42713011</v>
      </c>
      <c r="AA37" s="1" cm="1">
        <f t="array" ref="AA37">IF(INDEX($I$3:$L$22,MATCH($P37,$G$3:$G$22,0),$Q37)=AA$2,$S37+$O37+9,$S37+$O37)</f>
        <v>42713011</v>
      </c>
      <c r="AB37" s="1" cm="1">
        <f t="array" ref="AB37">IF(INDEX($I$3:$L$22,MATCH($P37,$G$3:$G$22,0),$Q37)=AB$2,$S37+$O37+9,$S37+$O37)</f>
        <v>42713011</v>
      </c>
      <c r="AC37" s="1" cm="1">
        <f t="array" ref="AC37">IF(INDEX($I$3:$L$22,MATCH($P37,$G$3:$G$22,0),$Q37)=AC$2,$S37+$O37+9,$S37+$O37)</f>
        <v>42713011</v>
      </c>
      <c r="AD37" s="1" cm="1">
        <f t="array" ref="AD37">IF(INDEX($I$3:$L$22,MATCH($P37,$G$3:$G$22,0),$Q37)=AD$2,$S37+$O37+9,$S37+$O37)</f>
        <v>42713011</v>
      </c>
      <c r="AE37" s="1" cm="1">
        <f t="array" ref="AE37">IF(INDEX($I$3:$L$22,MATCH($P37,$G$3:$G$22,0),$Q37)=AE$2,$S37+$O37+9,$S37+$O37)</f>
        <v>42713011</v>
      </c>
      <c r="AF37" s="1" cm="1">
        <f t="array" ref="AF37">IF(INDEX($I$3:$L$22,MATCH($P37,$G$3:$G$22,0),$Q37)=AF$2,$S37+$O37+9,$S37+$O37)</f>
        <v>42713011</v>
      </c>
      <c r="AG37" s="1" cm="1">
        <f t="array" ref="AG37">IF(INDEX($I$3:$L$22,MATCH($P37,$G$3:$G$22,0),$Q37)=AG$2,$S37+$O37+9,$S37+$O37)</f>
        <v>42713011</v>
      </c>
      <c r="AH37" s="1" cm="1">
        <f t="array" ref="AH37">IF(INDEX($I$3:$L$22,MATCH($P37,$G$3:$G$22,0),$Q37)=AH$2,$S37+$O37+9,$S37+$O37)</f>
        <v>42713011</v>
      </c>
      <c r="AI37" s="1" cm="1">
        <f t="array" ref="AI37">IF(INDEX($I$3:$L$22,MATCH($P37,$G$3:$G$22,0),$Q37)=AI$2,$S37+$O37+9,$S37+$O37)</f>
        <v>42713011</v>
      </c>
      <c r="AJ37" s="1" cm="1">
        <f t="array" ref="AJ37">IF(INDEX($I$3:$L$22,MATCH($P37,$G$3:$G$22,0),$Q37)=AJ$2,$S37+$O37+9,$S37+$O37)</f>
        <v>42713011</v>
      </c>
      <c r="AK37" s="1" cm="1">
        <f t="array" ref="AK37">IF(INDEX($I$3:$L$22,MATCH($P37,$G$3:$G$22,0),$Q37)=AK$2,$S37+$O37+9,$S37+$O37)</f>
        <v>42713011</v>
      </c>
      <c r="AL37" s="1" cm="1">
        <f t="array" ref="AL37">IF(INDEX($I$3:$L$22,MATCH($P37,$G$3:$G$22,0),$Q37)=AL$2,$S37+$O37+9,$S37+$O37)</f>
        <v>42713011</v>
      </c>
      <c r="AM37" s="1" cm="1">
        <f t="array" ref="AM37">IF(INDEX($I$3:$L$22,MATCH($P37,$G$3:$G$22,0),$Q37)=AM$2,$S37+$O37+9,$S37+$O37)</f>
        <v>42713011</v>
      </c>
      <c r="AN37" s="1" cm="1">
        <f t="array" ref="AN37">IF(INDEX($I$3:$L$22,MATCH($P37,$G$3:$G$22,0),$Q37)=AN$2,$S37+$O37+9,$S37+$O37)</f>
        <v>42713011</v>
      </c>
      <c r="AO37" s="1" cm="1">
        <f t="array" ref="AO37">IF(INDEX($I$3:$L$22,MATCH($P37,$G$3:$G$22,0),$Q37)=AO$2,$S37+$O37+9,$S37+$O37)</f>
        <v>42713011</v>
      </c>
      <c r="AP37" s="1" cm="1">
        <f t="array" ref="AP37">IF(INDEX($I$3:$L$22,MATCH($P37,$G$3:$G$22,0),$Q37)=AP$2,$S37+$O37+9,$S37+$O37)</f>
        <v>42713011</v>
      </c>
      <c r="AQ37" s="1" cm="1">
        <f t="array" ref="AQ37">IF(INDEX($I$3:$L$22,MATCH($P37,$G$3:$G$22,0),$Q37)=AQ$2,$S37+$O37+9,$S37+$O37)</f>
        <v>42713011</v>
      </c>
      <c r="AR37" s="1" cm="1">
        <f t="array" ref="AR37">IF(INDEX($I$3:$L$22,MATCH($P37,$G$3:$G$22,0),$Q37)=AR$2,$S37+$O37+9,$S37+$O37)</f>
        <v>42713011</v>
      </c>
      <c r="AS37" s="1" cm="1">
        <f t="array" ref="AS37">IF(INDEX($I$3:$L$22,MATCH($P37,$G$3:$G$22,0),$Q37)=AS$2,$S37+$O37+9,$S37+$O37)</f>
        <v>42713011</v>
      </c>
      <c r="AT37" s="1" cm="1">
        <f t="array" ref="AT37">IF(INDEX($I$3:$L$22,MATCH($P37,$G$3:$G$22,0),$Q37)=AT$2,$S37+$O37+9,$S37+$O37)</f>
        <v>42713011</v>
      </c>
      <c r="AU37" s="1" cm="1">
        <f t="array" ref="AU37">IF(INDEX($I$3:$L$22,MATCH($P37,$G$3:$G$22,0),$Q37)=AU$2,$S37+$O37+9,$S37+$O37)</f>
        <v>42713011</v>
      </c>
      <c r="AV37" s="1" cm="1">
        <f t="array" ref="AV37">IF(INDEX($I$3:$L$22,MATCH($P37,$G$3:$G$22,0),$Q37)=AV$2,$S37+$O37+9,$S37+$O37)</f>
        <v>42713011</v>
      </c>
      <c r="AW37" s="1" cm="1">
        <f t="array" ref="AW37">IF(INDEX($I$3:$L$22,MATCH($P37,$G$3:$G$22,0),$Q37)=AW$2,$S37+$O37+9,$S37+$O37)</f>
        <v>42713011</v>
      </c>
      <c r="AX37" s="1" cm="1">
        <f t="array" ref="AX37">IF(INDEX($I$3:$L$22,MATCH($P37,$G$3:$G$22,0),$Q37)=AX$2,$S37+$O37+9,$S37+$O37)</f>
        <v>42713011</v>
      </c>
      <c r="AY37" s="1" cm="1">
        <f t="array" ref="AY37">IF(INDEX($I$3:$L$22,MATCH($P37,$G$3:$G$22,0),$Q37)=AY$2,$S37+$O37+9,$S37+$O37)</f>
        <v>42713011</v>
      </c>
      <c r="AZ37" s="1" cm="1">
        <f t="array" ref="AZ37">IF(INDEX($I$3:$L$22,MATCH($P37,$G$3:$G$22,0),$Q37)=AZ$2,$S37+$O37+9,$S37+$O37)</f>
        <v>42713011</v>
      </c>
      <c r="BA37" s="1" cm="1">
        <f t="array" ref="BA37">IF(INDEX($I$3:$L$22,MATCH($P37,$G$3:$G$22,0),$Q37)=BA$2,$S37+$O37+9,$S37+$O37)</f>
        <v>42713011</v>
      </c>
      <c r="BB37" s="1" cm="1">
        <f t="array" ref="BB37">IF(INDEX($I$3:$L$22,MATCH($P37,$G$3:$G$22,0),$Q37)=BB$2,$S37+$O37+9,$S37+$O37)</f>
        <v>42713011</v>
      </c>
      <c r="BC37" s="1" cm="1">
        <f t="array" ref="BC37">IF(INDEX($I$3:$L$22,MATCH($P37,$G$3:$G$22,0),$Q37)=BC$2,$S37+$O37+9,$S37+$O37)</f>
        <v>42713011</v>
      </c>
      <c r="BD37" s="1" cm="1">
        <f t="array" ref="BD37">IF(INDEX($I$3:$L$22,MATCH($P37,$G$3:$G$22,0),$Q37)=BD$2,$S37+$O37+9,$S37+$O37)</f>
        <v>42713011</v>
      </c>
      <c r="BE37" s="1" cm="1">
        <f t="array" ref="BE37">IF(INDEX($I$3:$L$22,MATCH($P37,$G$3:$G$22,0),$Q37)=BE$2,$S37+$O37+9,$S37+$O37)</f>
        <v>42713011</v>
      </c>
      <c r="BF37" s="1" cm="1">
        <f t="array" ref="BF37">IF(INDEX($I$3:$L$22,MATCH($P37,$G$3:$G$22,0),$Q37)=BF$2,$S37+$O37+9,$S37+$O37)</f>
        <v>42713011</v>
      </c>
      <c r="BG37" s="1" cm="1">
        <f t="array" ref="BG37">IF(INDEX($I$3:$L$22,MATCH($P37,$G$3:$G$22,0),$Q37)=BG$2,$S37+$O37+9,$S37+$O37)</f>
        <v>42713020</v>
      </c>
      <c r="BH37" s="1" cm="1">
        <f t="array" ref="BH37">IF(INDEX($I$3:$L$22,MATCH($P37,$G$3:$G$22,0),$Q37)=BH$2,$S37+$O37+9,$S37+$O37)</f>
        <v>42713011</v>
      </c>
      <c r="BI37" s="1" cm="1">
        <f t="array" ref="BI37">IF(INDEX($I$3:$L$22,MATCH($P37,$G$3:$G$22,0),$Q37)=BI$2,$S37+$O37+9,$S37+$O37)</f>
        <v>42713011</v>
      </c>
      <c r="BJ37" s="1" cm="1">
        <f t="array" ref="BJ37">IF(INDEX($I$3:$L$22,MATCH($P37,$G$3:$G$22,0),$Q37)=BJ$2,$S37+$O37+9,$S37+$O37)</f>
        <v>42713011</v>
      </c>
      <c r="BK37" s="1" cm="1">
        <f t="array" ref="BK37">IF(INDEX($I$3:$L$22,MATCH($P37,$G$3:$G$22,0),$Q37)=BK$2,$S37+$O37+9,$S37+$O37)</f>
        <v>42713011</v>
      </c>
      <c r="BL37" s="1" cm="1">
        <f t="array" ref="BL37">IF(INDEX($I$3:$L$22,MATCH($P37,$G$3:$G$22,0),$Q37)=BL$2,$S37+$O37+9,$S37+$O37)</f>
        <v>42713011</v>
      </c>
      <c r="BM37" s="1" cm="1">
        <f t="array" ref="BM37">IF(INDEX($I$3:$L$22,MATCH($P37,$G$3:$G$22,0),$Q37)=BM$2,$S37+$O37+9,$S37+$O37)</f>
        <v>42713011</v>
      </c>
      <c r="BN37" s="1" cm="1">
        <f t="array" ref="BN37">IF(INDEX($I$3:$L$22,MATCH($P37,$G$3:$G$22,0),$Q37)=BN$2,$S37+$O37+9,$S37+$O37)</f>
        <v>42713011</v>
      </c>
      <c r="BO37" s="1" cm="1">
        <f t="array" ref="BO37">IF(INDEX($I$3:$L$22,MATCH($P37,$G$3:$G$22,0),$Q37)=BO$2,$S37+$O37+9,$S37+$O37)</f>
        <v>42713011</v>
      </c>
      <c r="BP37" s="1" cm="1">
        <f t="array" ref="BP37">IF(INDEX($I$3:$L$22,MATCH($P37,$G$3:$G$22,0),$Q37)=BP$2,$S37+$O37+9,$S37+$O37)</f>
        <v>42713011</v>
      </c>
      <c r="BQ37" s="1" cm="1">
        <f t="array" ref="BQ37">IF(INDEX($I$3:$L$22,MATCH($P37,$G$3:$G$22,0),$Q37)=BQ$2,$S37+$O37+9,$S37+$O37)</f>
        <v>42713011</v>
      </c>
      <c r="BR37" s="1" cm="1">
        <f t="array" ref="BR37">IF(INDEX($I$3:$L$22,MATCH($P37,$G$3:$G$22,0),$Q37)=BR$2,$S37+$O37+9,$S37+$O37)</f>
        <v>42713011</v>
      </c>
      <c r="BS37" s="1" cm="1">
        <f t="array" ref="BS37">IF(INDEX($I$3:$L$22,MATCH($P37,$G$3:$G$22,0),$Q37)=BS$2,$S37+$O37+9,$S37+$O37)</f>
        <v>42713011</v>
      </c>
      <c r="BT37" s="1" cm="1">
        <f t="array" ref="BT37">IF(INDEX($I$3:$L$22,MATCH($P37,$G$3:$G$22,0),$Q37)=BT$2,$S37+$O37+9,$S37+$O37)</f>
        <v>42713011</v>
      </c>
    </row>
    <row r="38" spans="1:72" x14ac:dyDescent="0.15">
      <c r="N38" s="1">
        <v>40001</v>
      </c>
      <c r="O38" s="1">
        <f t="shared" si="5"/>
        <v>11</v>
      </c>
      <c r="P38" s="1">
        <f t="shared" si="6"/>
        <v>203</v>
      </c>
      <c r="Q38" s="1">
        <f t="shared" si="7"/>
        <v>4</v>
      </c>
      <c r="R38" s="1" t="s">
        <v>15</v>
      </c>
      <c r="S38" s="1">
        <v>42716000</v>
      </c>
      <c r="T38" s="1" t="str">
        <f t="shared" si="8"/>
        <v>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,42716011</v>
      </c>
      <c r="W38" s="1" cm="1">
        <f t="array" ref="W38">IF(INDEX($I$3:$L$22,MATCH($P38,$G$3:$G$22,0),$Q38)=W$2,$S38+$O38+9,$S38+$O38)</f>
        <v>42716011</v>
      </c>
      <c r="X38" s="1" cm="1">
        <f t="array" ref="X38">IF(INDEX($I$3:$L$22,MATCH($P38,$G$3:$G$22,0),$Q38)=X$2,$S38+$O38+9,$S38+$O38)</f>
        <v>42716011</v>
      </c>
      <c r="Y38" s="1" cm="1">
        <f t="array" ref="Y38">IF(INDEX($I$3:$L$22,MATCH($P38,$G$3:$G$22,0),$Q38)=Y$2,$S38+$O38+9,$S38+$O38)</f>
        <v>42716011</v>
      </c>
      <c r="Z38" s="1" cm="1">
        <f t="array" ref="Z38">IF(INDEX($I$3:$L$22,MATCH($P38,$G$3:$G$22,0),$Q38)=Z$2,$S38+$O38+9,$S38+$O38)</f>
        <v>42716011</v>
      </c>
      <c r="AA38" s="1" cm="1">
        <f t="array" ref="AA38">IF(INDEX($I$3:$L$22,MATCH($P38,$G$3:$G$22,0),$Q38)=AA$2,$S38+$O38+9,$S38+$O38)</f>
        <v>42716020</v>
      </c>
      <c r="AB38" s="1" cm="1">
        <f t="array" ref="AB38">IF(INDEX($I$3:$L$22,MATCH($P38,$G$3:$G$22,0),$Q38)=AB$2,$S38+$O38+9,$S38+$O38)</f>
        <v>42716011</v>
      </c>
      <c r="AC38" s="1" cm="1">
        <f t="array" ref="AC38">IF(INDEX($I$3:$L$22,MATCH($P38,$G$3:$G$22,0),$Q38)=AC$2,$S38+$O38+9,$S38+$O38)</f>
        <v>42716011</v>
      </c>
      <c r="AD38" s="1" cm="1">
        <f t="array" ref="AD38">IF(INDEX($I$3:$L$22,MATCH($P38,$G$3:$G$22,0),$Q38)=AD$2,$S38+$O38+9,$S38+$O38)</f>
        <v>42716011</v>
      </c>
      <c r="AE38" s="1" cm="1">
        <f t="array" ref="AE38">IF(INDEX($I$3:$L$22,MATCH($P38,$G$3:$G$22,0),$Q38)=AE$2,$S38+$O38+9,$S38+$O38)</f>
        <v>42716011</v>
      </c>
      <c r="AF38" s="1" cm="1">
        <f t="array" ref="AF38">IF(INDEX($I$3:$L$22,MATCH($P38,$G$3:$G$22,0),$Q38)=AF$2,$S38+$O38+9,$S38+$O38)</f>
        <v>42716011</v>
      </c>
      <c r="AG38" s="1" cm="1">
        <f t="array" ref="AG38">IF(INDEX($I$3:$L$22,MATCH($P38,$G$3:$G$22,0),$Q38)=AG$2,$S38+$O38+9,$S38+$O38)</f>
        <v>42716011</v>
      </c>
      <c r="AH38" s="1" cm="1">
        <f t="array" ref="AH38">IF(INDEX($I$3:$L$22,MATCH($P38,$G$3:$G$22,0),$Q38)=AH$2,$S38+$O38+9,$S38+$O38)</f>
        <v>42716011</v>
      </c>
      <c r="AI38" s="1" cm="1">
        <f t="array" ref="AI38">IF(INDEX($I$3:$L$22,MATCH($P38,$G$3:$G$22,0),$Q38)=AI$2,$S38+$O38+9,$S38+$O38)</f>
        <v>42716011</v>
      </c>
      <c r="AJ38" s="1" cm="1">
        <f t="array" ref="AJ38">IF(INDEX($I$3:$L$22,MATCH($P38,$G$3:$G$22,0),$Q38)=AJ$2,$S38+$O38+9,$S38+$O38)</f>
        <v>42716011</v>
      </c>
      <c r="AK38" s="1" cm="1">
        <f t="array" ref="AK38">IF(INDEX($I$3:$L$22,MATCH($P38,$G$3:$G$22,0),$Q38)=AK$2,$S38+$O38+9,$S38+$O38)</f>
        <v>42716011</v>
      </c>
      <c r="AL38" s="1" cm="1">
        <f t="array" ref="AL38">IF(INDEX($I$3:$L$22,MATCH($P38,$G$3:$G$22,0),$Q38)=AL$2,$S38+$O38+9,$S38+$O38)</f>
        <v>42716011</v>
      </c>
      <c r="AM38" s="1" cm="1">
        <f t="array" ref="AM38">IF(INDEX($I$3:$L$22,MATCH($P38,$G$3:$G$22,0),$Q38)=AM$2,$S38+$O38+9,$S38+$O38)</f>
        <v>42716011</v>
      </c>
      <c r="AN38" s="1" cm="1">
        <f t="array" ref="AN38">IF(INDEX($I$3:$L$22,MATCH($P38,$G$3:$G$22,0),$Q38)=AN$2,$S38+$O38+9,$S38+$O38)</f>
        <v>42716011</v>
      </c>
      <c r="AO38" s="1" cm="1">
        <f t="array" ref="AO38">IF(INDEX($I$3:$L$22,MATCH($P38,$G$3:$G$22,0),$Q38)=AO$2,$S38+$O38+9,$S38+$O38)</f>
        <v>42716011</v>
      </c>
      <c r="AP38" s="1" cm="1">
        <f t="array" ref="AP38">IF(INDEX($I$3:$L$22,MATCH($P38,$G$3:$G$22,0),$Q38)=AP$2,$S38+$O38+9,$S38+$O38)</f>
        <v>42716011</v>
      </c>
      <c r="AQ38" s="1" cm="1">
        <f t="array" ref="AQ38">IF(INDEX($I$3:$L$22,MATCH($P38,$G$3:$G$22,0),$Q38)=AQ$2,$S38+$O38+9,$S38+$O38)</f>
        <v>42716011</v>
      </c>
      <c r="AR38" s="1" cm="1">
        <f t="array" ref="AR38">IF(INDEX($I$3:$L$22,MATCH($P38,$G$3:$G$22,0),$Q38)=AR$2,$S38+$O38+9,$S38+$O38)</f>
        <v>42716011</v>
      </c>
      <c r="AS38" s="1" cm="1">
        <f t="array" ref="AS38">IF(INDEX($I$3:$L$22,MATCH($P38,$G$3:$G$22,0),$Q38)=AS$2,$S38+$O38+9,$S38+$O38)</f>
        <v>42716011</v>
      </c>
      <c r="AT38" s="1" cm="1">
        <f t="array" ref="AT38">IF(INDEX($I$3:$L$22,MATCH($P38,$G$3:$G$22,0),$Q38)=AT$2,$S38+$O38+9,$S38+$O38)</f>
        <v>42716011</v>
      </c>
      <c r="AU38" s="1" cm="1">
        <f t="array" ref="AU38">IF(INDEX($I$3:$L$22,MATCH($P38,$G$3:$G$22,0),$Q38)=AU$2,$S38+$O38+9,$S38+$O38)</f>
        <v>42716011</v>
      </c>
      <c r="AV38" s="1" cm="1">
        <f t="array" ref="AV38">IF(INDEX($I$3:$L$22,MATCH($P38,$G$3:$G$22,0),$Q38)=AV$2,$S38+$O38+9,$S38+$O38)</f>
        <v>42716011</v>
      </c>
      <c r="AW38" s="1" cm="1">
        <f t="array" ref="AW38">IF(INDEX($I$3:$L$22,MATCH($P38,$G$3:$G$22,0),$Q38)=AW$2,$S38+$O38+9,$S38+$O38)</f>
        <v>42716011</v>
      </c>
      <c r="AX38" s="1" cm="1">
        <f t="array" ref="AX38">IF(INDEX($I$3:$L$22,MATCH($P38,$G$3:$G$22,0),$Q38)=AX$2,$S38+$O38+9,$S38+$O38)</f>
        <v>42716011</v>
      </c>
      <c r="AY38" s="1" cm="1">
        <f t="array" ref="AY38">IF(INDEX($I$3:$L$22,MATCH($P38,$G$3:$G$22,0),$Q38)=AY$2,$S38+$O38+9,$S38+$O38)</f>
        <v>42716011</v>
      </c>
      <c r="AZ38" s="1" cm="1">
        <f t="array" ref="AZ38">IF(INDEX($I$3:$L$22,MATCH($P38,$G$3:$G$22,0),$Q38)=AZ$2,$S38+$O38+9,$S38+$O38)</f>
        <v>42716011</v>
      </c>
      <c r="BA38" s="1" cm="1">
        <f t="array" ref="BA38">IF(INDEX($I$3:$L$22,MATCH($P38,$G$3:$G$22,0),$Q38)=BA$2,$S38+$O38+9,$S38+$O38)</f>
        <v>42716011</v>
      </c>
      <c r="BB38" s="1" cm="1">
        <f t="array" ref="BB38">IF(INDEX($I$3:$L$22,MATCH($P38,$G$3:$G$22,0),$Q38)=BB$2,$S38+$O38+9,$S38+$O38)</f>
        <v>42716011</v>
      </c>
      <c r="BC38" s="1" cm="1">
        <f t="array" ref="BC38">IF(INDEX($I$3:$L$22,MATCH($P38,$G$3:$G$22,0),$Q38)=BC$2,$S38+$O38+9,$S38+$O38)</f>
        <v>42716011</v>
      </c>
      <c r="BD38" s="1" cm="1">
        <f t="array" ref="BD38">IF(INDEX($I$3:$L$22,MATCH($P38,$G$3:$G$22,0),$Q38)=BD$2,$S38+$O38+9,$S38+$O38)</f>
        <v>42716011</v>
      </c>
      <c r="BE38" s="1" cm="1">
        <f t="array" ref="BE38">IF(INDEX($I$3:$L$22,MATCH($P38,$G$3:$G$22,0),$Q38)=BE$2,$S38+$O38+9,$S38+$O38)</f>
        <v>42716011</v>
      </c>
      <c r="BF38" s="1" cm="1">
        <f t="array" ref="BF38">IF(INDEX($I$3:$L$22,MATCH($P38,$G$3:$G$22,0),$Q38)=BF$2,$S38+$O38+9,$S38+$O38)</f>
        <v>42716011</v>
      </c>
      <c r="BG38" s="1" cm="1">
        <f t="array" ref="BG38">IF(INDEX($I$3:$L$22,MATCH($P38,$G$3:$G$22,0),$Q38)=BG$2,$S38+$O38+9,$S38+$O38)</f>
        <v>42716011</v>
      </c>
      <c r="BH38" s="1" cm="1">
        <f t="array" ref="BH38">IF(INDEX($I$3:$L$22,MATCH($P38,$G$3:$G$22,0),$Q38)=BH$2,$S38+$O38+9,$S38+$O38)</f>
        <v>42716011</v>
      </c>
      <c r="BI38" s="1" cm="1">
        <f t="array" ref="BI38">IF(INDEX($I$3:$L$22,MATCH($P38,$G$3:$G$22,0),$Q38)=BI$2,$S38+$O38+9,$S38+$O38)</f>
        <v>42716011</v>
      </c>
      <c r="BJ38" s="1" cm="1">
        <f t="array" ref="BJ38">IF(INDEX($I$3:$L$22,MATCH($P38,$G$3:$G$22,0),$Q38)=BJ$2,$S38+$O38+9,$S38+$O38)</f>
        <v>42716011</v>
      </c>
      <c r="BK38" s="1" cm="1">
        <f t="array" ref="BK38">IF(INDEX($I$3:$L$22,MATCH($P38,$G$3:$G$22,0),$Q38)=BK$2,$S38+$O38+9,$S38+$O38)</f>
        <v>42716011</v>
      </c>
      <c r="BL38" s="1" cm="1">
        <f t="array" ref="BL38">IF(INDEX($I$3:$L$22,MATCH($P38,$G$3:$G$22,0),$Q38)=BL$2,$S38+$O38+9,$S38+$O38)</f>
        <v>42716011</v>
      </c>
      <c r="BM38" s="1" cm="1">
        <f t="array" ref="BM38">IF(INDEX($I$3:$L$22,MATCH($P38,$G$3:$G$22,0),$Q38)=BM$2,$S38+$O38+9,$S38+$O38)</f>
        <v>42716011</v>
      </c>
      <c r="BN38" s="1" cm="1">
        <f t="array" ref="BN38">IF(INDEX($I$3:$L$22,MATCH($P38,$G$3:$G$22,0),$Q38)=BN$2,$S38+$O38+9,$S38+$O38)</f>
        <v>42716011</v>
      </c>
      <c r="BO38" s="1" cm="1">
        <f t="array" ref="BO38">IF(INDEX($I$3:$L$22,MATCH($P38,$G$3:$G$22,0),$Q38)=BO$2,$S38+$O38+9,$S38+$O38)</f>
        <v>42716011</v>
      </c>
      <c r="BP38" s="1" cm="1">
        <f t="array" ref="BP38">IF(INDEX($I$3:$L$22,MATCH($P38,$G$3:$G$22,0),$Q38)=BP$2,$S38+$O38+9,$S38+$O38)</f>
        <v>42716011</v>
      </c>
      <c r="BQ38" s="1" cm="1">
        <f t="array" ref="BQ38">IF(INDEX($I$3:$L$22,MATCH($P38,$G$3:$G$22,0),$Q38)=BQ$2,$S38+$O38+9,$S38+$O38)</f>
        <v>42716011</v>
      </c>
      <c r="BR38" s="1" cm="1">
        <f t="array" ref="BR38">IF(INDEX($I$3:$L$22,MATCH($P38,$G$3:$G$22,0),$Q38)=BR$2,$S38+$O38+9,$S38+$O38)</f>
        <v>42716011</v>
      </c>
      <c r="BS38" s="1" cm="1">
        <f t="array" ref="BS38">IF(INDEX($I$3:$L$22,MATCH($P38,$G$3:$G$22,0),$Q38)=BS$2,$S38+$O38+9,$S38+$O38)</f>
        <v>42716011</v>
      </c>
      <c r="BT38" s="1" cm="1">
        <f t="array" ref="BT38">IF(INDEX($I$3:$L$22,MATCH($P38,$G$3:$G$22,0),$Q38)=BT$2,$S38+$O38+9,$S38+$O38)</f>
        <v>42716011</v>
      </c>
    </row>
    <row r="39" spans="1:72" x14ac:dyDescent="0.15">
      <c r="N39" s="1">
        <v>40001</v>
      </c>
      <c r="O39" s="1">
        <f t="shared" si="5"/>
        <v>11</v>
      </c>
      <c r="P39" s="1">
        <f t="shared" si="6"/>
        <v>204</v>
      </c>
      <c r="Q39" s="1">
        <f t="shared" si="7"/>
        <v>1</v>
      </c>
      <c r="R39" s="1" t="s">
        <v>18</v>
      </c>
      <c r="S39" s="1">
        <v>42711000</v>
      </c>
      <c r="T39" s="1" t="str">
        <f t="shared" si="8"/>
        <v>42711011,42711011,42711011,42711020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,42711011</v>
      </c>
      <c r="W39" s="1" cm="1">
        <f t="array" ref="W39">IF(INDEX($I$3:$L$22,MATCH($P39,$G$3:$G$22,0),$Q39)=W$2,$S39+$O39+9,$S39+$O39)</f>
        <v>42711011</v>
      </c>
      <c r="X39" s="1" cm="1">
        <f t="array" ref="X39">IF(INDEX($I$3:$L$22,MATCH($P39,$G$3:$G$22,0),$Q39)=X$2,$S39+$O39+9,$S39+$O39)</f>
        <v>42711011</v>
      </c>
      <c r="Y39" s="1" cm="1">
        <f t="array" ref="Y39">IF(INDEX($I$3:$L$22,MATCH($P39,$G$3:$G$22,0),$Q39)=Y$2,$S39+$O39+9,$S39+$O39)</f>
        <v>42711011</v>
      </c>
      <c r="Z39" s="1" cm="1">
        <f t="array" ref="Z39">IF(INDEX($I$3:$L$22,MATCH($P39,$G$3:$G$22,0),$Q39)=Z$2,$S39+$O39+9,$S39+$O39)</f>
        <v>42711020</v>
      </c>
      <c r="AA39" s="1" cm="1">
        <f t="array" ref="AA39">IF(INDEX($I$3:$L$22,MATCH($P39,$G$3:$G$22,0),$Q39)=AA$2,$S39+$O39+9,$S39+$O39)</f>
        <v>42711011</v>
      </c>
      <c r="AB39" s="1" cm="1">
        <f t="array" ref="AB39">IF(INDEX($I$3:$L$22,MATCH($P39,$G$3:$G$22,0),$Q39)=AB$2,$S39+$O39+9,$S39+$O39)</f>
        <v>42711011</v>
      </c>
      <c r="AC39" s="1" cm="1">
        <f t="array" ref="AC39">IF(INDEX($I$3:$L$22,MATCH($P39,$G$3:$G$22,0),$Q39)=AC$2,$S39+$O39+9,$S39+$O39)</f>
        <v>42711011</v>
      </c>
      <c r="AD39" s="1" cm="1">
        <f t="array" ref="AD39">IF(INDEX($I$3:$L$22,MATCH($P39,$G$3:$G$22,0),$Q39)=AD$2,$S39+$O39+9,$S39+$O39)</f>
        <v>42711011</v>
      </c>
      <c r="AE39" s="1" cm="1">
        <f t="array" ref="AE39">IF(INDEX($I$3:$L$22,MATCH($P39,$G$3:$G$22,0),$Q39)=AE$2,$S39+$O39+9,$S39+$O39)</f>
        <v>42711011</v>
      </c>
      <c r="AF39" s="1" cm="1">
        <f t="array" ref="AF39">IF(INDEX($I$3:$L$22,MATCH($P39,$G$3:$G$22,0),$Q39)=AF$2,$S39+$O39+9,$S39+$O39)</f>
        <v>42711011</v>
      </c>
      <c r="AG39" s="1" cm="1">
        <f t="array" ref="AG39">IF(INDEX($I$3:$L$22,MATCH($P39,$G$3:$G$22,0),$Q39)=AG$2,$S39+$O39+9,$S39+$O39)</f>
        <v>42711011</v>
      </c>
      <c r="AH39" s="1" cm="1">
        <f t="array" ref="AH39">IF(INDEX($I$3:$L$22,MATCH($P39,$G$3:$G$22,0),$Q39)=AH$2,$S39+$O39+9,$S39+$O39)</f>
        <v>42711011</v>
      </c>
      <c r="AI39" s="1" cm="1">
        <f t="array" ref="AI39">IF(INDEX($I$3:$L$22,MATCH($P39,$G$3:$G$22,0),$Q39)=AI$2,$S39+$O39+9,$S39+$O39)</f>
        <v>42711011</v>
      </c>
      <c r="AJ39" s="1" cm="1">
        <f t="array" ref="AJ39">IF(INDEX($I$3:$L$22,MATCH($P39,$G$3:$G$22,0),$Q39)=AJ$2,$S39+$O39+9,$S39+$O39)</f>
        <v>42711011</v>
      </c>
      <c r="AK39" s="1" cm="1">
        <f t="array" ref="AK39">IF(INDEX($I$3:$L$22,MATCH($P39,$G$3:$G$22,0),$Q39)=AK$2,$S39+$O39+9,$S39+$O39)</f>
        <v>42711011</v>
      </c>
      <c r="AL39" s="1" cm="1">
        <f t="array" ref="AL39">IF(INDEX($I$3:$L$22,MATCH($P39,$G$3:$G$22,0),$Q39)=AL$2,$S39+$O39+9,$S39+$O39)</f>
        <v>42711011</v>
      </c>
      <c r="AM39" s="1" cm="1">
        <f t="array" ref="AM39">IF(INDEX($I$3:$L$22,MATCH($P39,$G$3:$G$22,0),$Q39)=AM$2,$S39+$O39+9,$S39+$O39)</f>
        <v>42711011</v>
      </c>
      <c r="AN39" s="1" cm="1">
        <f t="array" ref="AN39">IF(INDEX($I$3:$L$22,MATCH($P39,$G$3:$G$22,0),$Q39)=AN$2,$S39+$O39+9,$S39+$O39)</f>
        <v>42711011</v>
      </c>
      <c r="AO39" s="1" cm="1">
        <f t="array" ref="AO39">IF(INDEX($I$3:$L$22,MATCH($P39,$G$3:$G$22,0),$Q39)=AO$2,$S39+$O39+9,$S39+$O39)</f>
        <v>42711011</v>
      </c>
      <c r="AP39" s="1" cm="1">
        <f t="array" ref="AP39">IF(INDEX($I$3:$L$22,MATCH($P39,$G$3:$G$22,0),$Q39)=AP$2,$S39+$O39+9,$S39+$O39)</f>
        <v>42711011</v>
      </c>
      <c r="AQ39" s="1" cm="1">
        <f t="array" ref="AQ39">IF(INDEX($I$3:$L$22,MATCH($P39,$G$3:$G$22,0),$Q39)=AQ$2,$S39+$O39+9,$S39+$O39)</f>
        <v>42711011</v>
      </c>
      <c r="AR39" s="1" cm="1">
        <f t="array" ref="AR39">IF(INDEX($I$3:$L$22,MATCH($P39,$G$3:$G$22,0),$Q39)=AR$2,$S39+$O39+9,$S39+$O39)</f>
        <v>42711011</v>
      </c>
      <c r="AS39" s="1" cm="1">
        <f t="array" ref="AS39">IF(INDEX($I$3:$L$22,MATCH($P39,$G$3:$G$22,0),$Q39)=AS$2,$S39+$O39+9,$S39+$O39)</f>
        <v>42711011</v>
      </c>
      <c r="AT39" s="1" cm="1">
        <f t="array" ref="AT39">IF(INDEX($I$3:$L$22,MATCH($P39,$G$3:$G$22,0),$Q39)=AT$2,$S39+$O39+9,$S39+$O39)</f>
        <v>42711011</v>
      </c>
      <c r="AU39" s="1" cm="1">
        <f t="array" ref="AU39">IF(INDEX($I$3:$L$22,MATCH($P39,$G$3:$G$22,0),$Q39)=AU$2,$S39+$O39+9,$S39+$O39)</f>
        <v>42711011</v>
      </c>
      <c r="AV39" s="1" cm="1">
        <f t="array" ref="AV39">IF(INDEX($I$3:$L$22,MATCH($P39,$G$3:$G$22,0),$Q39)=AV$2,$S39+$O39+9,$S39+$O39)</f>
        <v>42711011</v>
      </c>
      <c r="AW39" s="1" cm="1">
        <f t="array" ref="AW39">IF(INDEX($I$3:$L$22,MATCH($P39,$G$3:$G$22,0),$Q39)=AW$2,$S39+$O39+9,$S39+$O39)</f>
        <v>42711011</v>
      </c>
      <c r="AX39" s="1" cm="1">
        <f t="array" ref="AX39">IF(INDEX($I$3:$L$22,MATCH($P39,$G$3:$G$22,0),$Q39)=AX$2,$S39+$O39+9,$S39+$O39)</f>
        <v>42711011</v>
      </c>
      <c r="AY39" s="1" cm="1">
        <f t="array" ref="AY39">IF(INDEX($I$3:$L$22,MATCH($P39,$G$3:$G$22,0),$Q39)=AY$2,$S39+$O39+9,$S39+$O39)</f>
        <v>42711011</v>
      </c>
      <c r="AZ39" s="1" cm="1">
        <f t="array" ref="AZ39">IF(INDEX($I$3:$L$22,MATCH($P39,$G$3:$G$22,0),$Q39)=AZ$2,$S39+$O39+9,$S39+$O39)</f>
        <v>42711011</v>
      </c>
      <c r="BA39" s="1" cm="1">
        <f t="array" ref="BA39">IF(INDEX($I$3:$L$22,MATCH($P39,$G$3:$G$22,0),$Q39)=BA$2,$S39+$O39+9,$S39+$O39)</f>
        <v>42711011</v>
      </c>
      <c r="BB39" s="1" cm="1">
        <f t="array" ref="BB39">IF(INDEX($I$3:$L$22,MATCH($P39,$G$3:$G$22,0),$Q39)=BB$2,$S39+$O39+9,$S39+$O39)</f>
        <v>42711011</v>
      </c>
      <c r="BC39" s="1" cm="1">
        <f t="array" ref="BC39">IF(INDEX($I$3:$L$22,MATCH($P39,$G$3:$G$22,0),$Q39)=BC$2,$S39+$O39+9,$S39+$O39)</f>
        <v>42711011</v>
      </c>
      <c r="BD39" s="1" cm="1">
        <f t="array" ref="BD39">IF(INDEX($I$3:$L$22,MATCH($P39,$G$3:$G$22,0),$Q39)=BD$2,$S39+$O39+9,$S39+$O39)</f>
        <v>42711011</v>
      </c>
      <c r="BE39" s="1" cm="1">
        <f t="array" ref="BE39">IF(INDEX($I$3:$L$22,MATCH($P39,$G$3:$G$22,0),$Q39)=BE$2,$S39+$O39+9,$S39+$O39)</f>
        <v>42711011</v>
      </c>
      <c r="BF39" s="1" cm="1">
        <f t="array" ref="BF39">IF(INDEX($I$3:$L$22,MATCH($P39,$G$3:$G$22,0),$Q39)=BF$2,$S39+$O39+9,$S39+$O39)</f>
        <v>42711011</v>
      </c>
      <c r="BG39" s="1" cm="1">
        <f t="array" ref="BG39">IF(INDEX($I$3:$L$22,MATCH($P39,$G$3:$G$22,0),$Q39)=BG$2,$S39+$O39+9,$S39+$O39)</f>
        <v>42711011</v>
      </c>
      <c r="BH39" s="1" cm="1">
        <f t="array" ref="BH39">IF(INDEX($I$3:$L$22,MATCH($P39,$G$3:$G$22,0),$Q39)=BH$2,$S39+$O39+9,$S39+$O39)</f>
        <v>42711011</v>
      </c>
      <c r="BI39" s="1" cm="1">
        <f t="array" ref="BI39">IF(INDEX($I$3:$L$22,MATCH($P39,$G$3:$G$22,0),$Q39)=BI$2,$S39+$O39+9,$S39+$O39)</f>
        <v>42711011</v>
      </c>
      <c r="BJ39" s="1" cm="1">
        <f t="array" ref="BJ39">IF(INDEX($I$3:$L$22,MATCH($P39,$G$3:$G$22,0),$Q39)=BJ$2,$S39+$O39+9,$S39+$O39)</f>
        <v>42711011</v>
      </c>
      <c r="BK39" s="1" cm="1">
        <f t="array" ref="BK39">IF(INDEX($I$3:$L$22,MATCH($P39,$G$3:$G$22,0),$Q39)=BK$2,$S39+$O39+9,$S39+$O39)</f>
        <v>42711011</v>
      </c>
      <c r="BL39" s="1" cm="1">
        <f t="array" ref="BL39">IF(INDEX($I$3:$L$22,MATCH($P39,$G$3:$G$22,0),$Q39)=BL$2,$S39+$O39+9,$S39+$O39)</f>
        <v>42711011</v>
      </c>
      <c r="BM39" s="1" cm="1">
        <f t="array" ref="BM39">IF(INDEX($I$3:$L$22,MATCH($P39,$G$3:$G$22,0),$Q39)=BM$2,$S39+$O39+9,$S39+$O39)</f>
        <v>42711011</v>
      </c>
      <c r="BN39" s="1" cm="1">
        <f t="array" ref="BN39">IF(INDEX($I$3:$L$22,MATCH($P39,$G$3:$G$22,0),$Q39)=BN$2,$S39+$O39+9,$S39+$O39)</f>
        <v>42711011</v>
      </c>
      <c r="BO39" s="1" cm="1">
        <f t="array" ref="BO39">IF(INDEX($I$3:$L$22,MATCH($P39,$G$3:$G$22,0),$Q39)=BO$2,$S39+$O39+9,$S39+$O39)</f>
        <v>42711011</v>
      </c>
      <c r="BP39" s="1" cm="1">
        <f t="array" ref="BP39">IF(INDEX($I$3:$L$22,MATCH($P39,$G$3:$G$22,0),$Q39)=BP$2,$S39+$O39+9,$S39+$O39)</f>
        <v>42711011</v>
      </c>
      <c r="BQ39" s="1" cm="1">
        <f t="array" ref="BQ39">IF(INDEX($I$3:$L$22,MATCH($P39,$G$3:$G$22,0),$Q39)=BQ$2,$S39+$O39+9,$S39+$O39)</f>
        <v>42711011</v>
      </c>
      <c r="BR39" s="1" cm="1">
        <f t="array" ref="BR39">IF(INDEX($I$3:$L$22,MATCH($P39,$G$3:$G$22,0),$Q39)=BR$2,$S39+$O39+9,$S39+$O39)</f>
        <v>42711011</v>
      </c>
      <c r="BS39" s="1" cm="1">
        <f t="array" ref="BS39">IF(INDEX($I$3:$L$22,MATCH($P39,$G$3:$G$22,0),$Q39)=BS$2,$S39+$O39+9,$S39+$O39)</f>
        <v>42711011</v>
      </c>
      <c r="BT39" s="1" cm="1">
        <f t="array" ref="BT39">IF(INDEX($I$3:$L$22,MATCH($P39,$G$3:$G$22,0),$Q39)=BT$2,$S39+$O39+9,$S39+$O39)</f>
        <v>42711011</v>
      </c>
    </row>
    <row r="40" spans="1:72" x14ac:dyDescent="0.15">
      <c r="N40" s="1">
        <v>40001</v>
      </c>
      <c r="O40" s="1">
        <f t="shared" si="5"/>
        <v>11</v>
      </c>
      <c r="P40" s="1">
        <f t="shared" si="6"/>
        <v>204</v>
      </c>
      <c r="Q40" s="1">
        <f t="shared" si="7"/>
        <v>2</v>
      </c>
      <c r="R40" s="1" t="s">
        <v>17</v>
      </c>
      <c r="S40" s="1">
        <v>42612000</v>
      </c>
      <c r="T40" s="1" t="str">
        <f t="shared" si="8"/>
        <v>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42612011,42612020,42612011,42612011,42612011,42612011</v>
      </c>
      <c r="W40" s="1" cm="1">
        <f t="array" ref="W40">IF(INDEX($I$3:$L$22,MATCH($P40,$G$3:$G$22,0),$Q40)=W$2,$S40+$O40+9,$S40+$O40)</f>
        <v>42612011</v>
      </c>
      <c r="X40" s="1" cm="1">
        <f t="array" ref="X40">IF(INDEX($I$3:$L$22,MATCH($P40,$G$3:$G$22,0),$Q40)=X$2,$S40+$O40+9,$S40+$O40)</f>
        <v>42612011</v>
      </c>
      <c r="Y40" s="1" cm="1">
        <f t="array" ref="Y40">IF(INDEX($I$3:$L$22,MATCH($P40,$G$3:$G$22,0),$Q40)=Y$2,$S40+$O40+9,$S40+$O40)</f>
        <v>42612011</v>
      </c>
      <c r="Z40" s="1" cm="1">
        <f t="array" ref="Z40">IF(INDEX($I$3:$L$22,MATCH($P40,$G$3:$G$22,0),$Q40)=Z$2,$S40+$O40+9,$S40+$O40)</f>
        <v>42612011</v>
      </c>
      <c r="AA40" s="1" cm="1">
        <f t="array" ref="AA40">IF(INDEX($I$3:$L$22,MATCH($P40,$G$3:$G$22,0),$Q40)=AA$2,$S40+$O40+9,$S40+$O40)</f>
        <v>42612011</v>
      </c>
      <c r="AB40" s="1" cm="1">
        <f t="array" ref="AB40">IF(INDEX($I$3:$L$22,MATCH($P40,$G$3:$G$22,0),$Q40)=AB$2,$S40+$O40+9,$S40+$O40)</f>
        <v>42612011</v>
      </c>
      <c r="AC40" s="1" cm="1">
        <f t="array" ref="AC40">IF(INDEX($I$3:$L$22,MATCH($P40,$G$3:$G$22,0),$Q40)=AC$2,$S40+$O40+9,$S40+$O40)</f>
        <v>42612011</v>
      </c>
      <c r="AD40" s="1" cm="1">
        <f t="array" ref="AD40">IF(INDEX($I$3:$L$22,MATCH($P40,$G$3:$G$22,0),$Q40)=AD$2,$S40+$O40+9,$S40+$O40)</f>
        <v>42612011</v>
      </c>
      <c r="AE40" s="1" cm="1">
        <f t="array" ref="AE40">IF(INDEX($I$3:$L$22,MATCH($P40,$G$3:$G$22,0),$Q40)=AE$2,$S40+$O40+9,$S40+$O40)</f>
        <v>42612011</v>
      </c>
      <c r="AF40" s="1" cm="1">
        <f t="array" ref="AF40">IF(INDEX($I$3:$L$22,MATCH($P40,$G$3:$G$22,0),$Q40)=AF$2,$S40+$O40+9,$S40+$O40)</f>
        <v>42612011</v>
      </c>
      <c r="AG40" s="1" cm="1">
        <f t="array" ref="AG40">IF(INDEX($I$3:$L$22,MATCH($P40,$G$3:$G$22,0),$Q40)=AG$2,$S40+$O40+9,$S40+$O40)</f>
        <v>42612011</v>
      </c>
      <c r="AH40" s="1" cm="1">
        <f t="array" ref="AH40">IF(INDEX($I$3:$L$22,MATCH($P40,$G$3:$G$22,0),$Q40)=AH$2,$S40+$O40+9,$S40+$O40)</f>
        <v>42612011</v>
      </c>
      <c r="AI40" s="1" cm="1">
        <f t="array" ref="AI40">IF(INDEX($I$3:$L$22,MATCH($P40,$G$3:$G$22,0),$Q40)=AI$2,$S40+$O40+9,$S40+$O40)</f>
        <v>42612011</v>
      </c>
      <c r="AJ40" s="1" cm="1">
        <f t="array" ref="AJ40">IF(INDEX($I$3:$L$22,MATCH($P40,$G$3:$G$22,0),$Q40)=AJ$2,$S40+$O40+9,$S40+$O40)</f>
        <v>42612011</v>
      </c>
      <c r="AK40" s="1" cm="1">
        <f t="array" ref="AK40">IF(INDEX($I$3:$L$22,MATCH($P40,$G$3:$G$22,0),$Q40)=AK$2,$S40+$O40+9,$S40+$O40)</f>
        <v>42612011</v>
      </c>
      <c r="AL40" s="1" cm="1">
        <f t="array" ref="AL40">IF(INDEX($I$3:$L$22,MATCH($P40,$G$3:$G$22,0),$Q40)=AL$2,$S40+$O40+9,$S40+$O40)</f>
        <v>42612011</v>
      </c>
      <c r="AM40" s="1" cm="1">
        <f t="array" ref="AM40">IF(INDEX($I$3:$L$22,MATCH($P40,$G$3:$G$22,0),$Q40)=AM$2,$S40+$O40+9,$S40+$O40)</f>
        <v>42612011</v>
      </c>
      <c r="AN40" s="1" cm="1">
        <f t="array" ref="AN40">IF(INDEX($I$3:$L$22,MATCH($P40,$G$3:$G$22,0),$Q40)=AN$2,$S40+$O40+9,$S40+$O40)</f>
        <v>42612011</v>
      </c>
      <c r="AO40" s="1" cm="1">
        <f t="array" ref="AO40">IF(INDEX($I$3:$L$22,MATCH($P40,$G$3:$G$22,0),$Q40)=AO$2,$S40+$O40+9,$S40+$O40)</f>
        <v>42612011</v>
      </c>
      <c r="AP40" s="1" cm="1">
        <f t="array" ref="AP40">IF(INDEX($I$3:$L$22,MATCH($P40,$G$3:$G$22,0),$Q40)=AP$2,$S40+$O40+9,$S40+$O40)</f>
        <v>42612011</v>
      </c>
      <c r="AQ40" s="1" cm="1">
        <f t="array" ref="AQ40">IF(INDEX($I$3:$L$22,MATCH($P40,$G$3:$G$22,0),$Q40)=AQ$2,$S40+$O40+9,$S40+$O40)</f>
        <v>42612011</v>
      </c>
      <c r="AR40" s="1" cm="1">
        <f t="array" ref="AR40">IF(INDEX($I$3:$L$22,MATCH($P40,$G$3:$G$22,0),$Q40)=AR$2,$S40+$O40+9,$S40+$O40)</f>
        <v>42612011</v>
      </c>
      <c r="AS40" s="1" cm="1">
        <f t="array" ref="AS40">IF(INDEX($I$3:$L$22,MATCH($P40,$G$3:$G$22,0),$Q40)=AS$2,$S40+$O40+9,$S40+$O40)</f>
        <v>42612011</v>
      </c>
      <c r="AT40" s="1" cm="1">
        <f t="array" ref="AT40">IF(INDEX($I$3:$L$22,MATCH($P40,$G$3:$G$22,0),$Q40)=AT$2,$S40+$O40+9,$S40+$O40)</f>
        <v>42612011</v>
      </c>
      <c r="AU40" s="1" cm="1">
        <f t="array" ref="AU40">IF(INDEX($I$3:$L$22,MATCH($P40,$G$3:$G$22,0),$Q40)=AU$2,$S40+$O40+9,$S40+$O40)</f>
        <v>42612011</v>
      </c>
      <c r="AV40" s="1" cm="1">
        <f t="array" ref="AV40">IF(INDEX($I$3:$L$22,MATCH($P40,$G$3:$G$22,0),$Q40)=AV$2,$S40+$O40+9,$S40+$O40)</f>
        <v>42612011</v>
      </c>
      <c r="AW40" s="1" cm="1">
        <f t="array" ref="AW40">IF(INDEX($I$3:$L$22,MATCH($P40,$G$3:$G$22,0),$Q40)=AW$2,$S40+$O40+9,$S40+$O40)</f>
        <v>42612011</v>
      </c>
      <c r="AX40" s="1" cm="1">
        <f t="array" ref="AX40">IF(INDEX($I$3:$L$22,MATCH($P40,$G$3:$G$22,0),$Q40)=AX$2,$S40+$O40+9,$S40+$O40)</f>
        <v>42612011</v>
      </c>
      <c r="AY40" s="1" cm="1">
        <f t="array" ref="AY40">IF(INDEX($I$3:$L$22,MATCH($P40,$G$3:$G$22,0),$Q40)=AY$2,$S40+$O40+9,$S40+$O40)</f>
        <v>42612011</v>
      </c>
      <c r="AZ40" s="1" cm="1">
        <f t="array" ref="AZ40">IF(INDEX($I$3:$L$22,MATCH($P40,$G$3:$G$22,0),$Q40)=AZ$2,$S40+$O40+9,$S40+$O40)</f>
        <v>42612011</v>
      </c>
      <c r="BA40" s="1" cm="1">
        <f t="array" ref="BA40">IF(INDEX($I$3:$L$22,MATCH($P40,$G$3:$G$22,0),$Q40)=BA$2,$S40+$O40+9,$S40+$O40)</f>
        <v>42612011</v>
      </c>
      <c r="BB40" s="1" cm="1">
        <f t="array" ref="BB40">IF(INDEX($I$3:$L$22,MATCH($P40,$G$3:$G$22,0),$Q40)=BB$2,$S40+$O40+9,$S40+$O40)</f>
        <v>42612011</v>
      </c>
      <c r="BC40" s="1" cm="1">
        <f t="array" ref="BC40">IF(INDEX($I$3:$L$22,MATCH($P40,$G$3:$G$22,0),$Q40)=BC$2,$S40+$O40+9,$S40+$O40)</f>
        <v>42612011</v>
      </c>
      <c r="BD40" s="1" cm="1">
        <f t="array" ref="BD40">IF(INDEX($I$3:$L$22,MATCH($P40,$G$3:$G$22,0),$Q40)=BD$2,$S40+$O40+9,$S40+$O40)</f>
        <v>42612011</v>
      </c>
      <c r="BE40" s="1" cm="1">
        <f t="array" ref="BE40">IF(INDEX($I$3:$L$22,MATCH($P40,$G$3:$G$22,0),$Q40)=BE$2,$S40+$O40+9,$S40+$O40)</f>
        <v>42612011</v>
      </c>
      <c r="BF40" s="1" cm="1">
        <f t="array" ref="BF40">IF(INDEX($I$3:$L$22,MATCH($P40,$G$3:$G$22,0),$Q40)=BF$2,$S40+$O40+9,$S40+$O40)</f>
        <v>42612011</v>
      </c>
      <c r="BG40" s="1" cm="1">
        <f t="array" ref="BG40">IF(INDEX($I$3:$L$22,MATCH($P40,$G$3:$G$22,0),$Q40)=BG$2,$S40+$O40+9,$S40+$O40)</f>
        <v>42612011</v>
      </c>
      <c r="BH40" s="1" cm="1">
        <f t="array" ref="BH40">IF(INDEX($I$3:$L$22,MATCH($P40,$G$3:$G$22,0),$Q40)=BH$2,$S40+$O40+9,$S40+$O40)</f>
        <v>42612011</v>
      </c>
      <c r="BI40" s="1" cm="1">
        <f t="array" ref="BI40">IF(INDEX($I$3:$L$22,MATCH($P40,$G$3:$G$22,0),$Q40)=BI$2,$S40+$O40+9,$S40+$O40)</f>
        <v>42612011</v>
      </c>
      <c r="BJ40" s="1" cm="1">
        <f t="array" ref="BJ40">IF(INDEX($I$3:$L$22,MATCH($P40,$G$3:$G$22,0),$Q40)=BJ$2,$S40+$O40+9,$S40+$O40)</f>
        <v>42612011</v>
      </c>
      <c r="BK40" s="1" cm="1">
        <f t="array" ref="BK40">IF(INDEX($I$3:$L$22,MATCH($P40,$G$3:$G$22,0),$Q40)=BK$2,$S40+$O40+9,$S40+$O40)</f>
        <v>42612011</v>
      </c>
      <c r="BL40" s="1" cm="1">
        <f t="array" ref="BL40">IF(INDEX($I$3:$L$22,MATCH($P40,$G$3:$G$22,0),$Q40)=BL$2,$S40+$O40+9,$S40+$O40)</f>
        <v>42612011</v>
      </c>
      <c r="BM40" s="1" cm="1">
        <f t="array" ref="BM40">IF(INDEX($I$3:$L$22,MATCH($P40,$G$3:$G$22,0),$Q40)=BM$2,$S40+$O40+9,$S40+$O40)</f>
        <v>42612011</v>
      </c>
      <c r="BN40" s="1" cm="1">
        <f t="array" ref="BN40">IF(INDEX($I$3:$L$22,MATCH($P40,$G$3:$G$22,0),$Q40)=BN$2,$S40+$O40+9,$S40+$O40)</f>
        <v>42612011</v>
      </c>
      <c r="BO40" s="1" cm="1">
        <f t="array" ref="BO40">IF(INDEX($I$3:$L$22,MATCH($P40,$G$3:$G$22,0),$Q40)=BO$2,$S40+$O40+9,$S40+$O40)</f>
        <v>42612011</v>
      </c>
      <c r="BP40" s="1" cm="1">
        <f t="array" ref="BP40">IF(INDEX($I$3:$L$22,MATCH($P40,$G$3:$G$22,0),$Q40)=BP$2,$S40+$O40+9,$S40+$O40)</f>
        <v>42612020</v>
      </c>
      <c r="BQ40" s="1" cm="1">
        <f t="array" ref="BQ40">IF(INDEX($I$3:$L$22,MATCH($P40,$G$3:$G$22,0),$Q40)=BQ$2,$S40+$O40+9,$S40+$O40)</f>
        <v>42612011</v>
      </c>
      <c r="BR40" s="1" cm="1">
        <f t="array" ref="BR40">IF(INDEX($I$3:$L$22,MATCH($P40,$G$3:$G$22,0),$Q40)=BR$2,$S40+$O40+9,$S40+$O40)</f>
        <v>42612011</v>
      </c>
      <c r="BS40" s="1" cm="1">
        <f t="array" ref="BS40">IF(INDEX($I$3:$L$22,MATCH($P40,$G$3:$G$22,0),$Q40)=BS$2,$S40+$O40+9,$S40+$O40)</f>
        <v>42612011</v>
      </c>
      <c r="BT40" s="1" cm="1">
        <f t="array" ref="BT40">IF(INDEX($I$3:$L$22,MATCH($P40,$G$3:$G$22,0),$Q40)=BT$2,$S40+$O40+9,$S40+$O40)</f>
        <v>42612011</v>
      </c>
    </row>
    <row r="41" spans="1:72" x14ac:dyDescent="0.15">
      <c r="N41" s="1">
        <v>40001</v>
      </c>
      <c r="O41" s="1">
        <f t="shared" si="5"/>
        <v>11</v>
      </c>
      <c r="P41" s="1">
        <f t="shared" si="6"/>
        <v>204</v>
      </c>
      <c r="Q41" s="1">
        <f t="shared" si="7"/>
        <v>3</v>
      </c>
      <c r="R41" s="1" t="s">
        <v>16</v>
      </c>
      <c r="S41" s="1">
        <v>42713000</v>
      </c>
      <c r="T41" s="1" t="str">
        <f t="shared" si="8"/>
        <v>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42713011,42713020</v>
      </c>
      <c r="W41" s="1" cm="1">
        <f t="array" ref="W41">IF(INDEX($I$3:$L$22,MATCH($P41,$G$3:$G$22,0),$Q41)=W$2,$S41+$O41+9,$S41+$O41)</f>
        <v>42713011</v>
      </c>
      <c r="X41" s="1" cm="1">
        <f t="array" ref="X41">IF(INDEX($I$3:$L$22,MATCH($P41,$G$3:$G$22,0),$Q41)=X$2,$S41+$O41+9,$S41+$O41)</f>
        <v>42713011</v>
      </c>
      <c r="Y41" s="1" cm="1">
        <f t="array" ref="Y41">IF(INDEX($I$3:$L$22,MATCH($P41,$G$3:$G$22,0),$Q41)=Y$2,$S41+$O41+9,$S41+$O41)</f>
        <v>42713011</v>
      </c>
      <c r="Z41" s="1" cm="1">
        <f t="array" ref="Z41">IF(INDEX($I$3:$L$22,MATCH($P41,$G$3:$G$22,0),$Q41)=Z$2,$S41+$O41+9,$S41+$O41)</f>
        <v>42713011</v>
      </c>
      <c r="AA41" s="1" cm="1">
        <f t="array" ref="AA41">IF(INDEX($I$3:$L$22,MATCH($P41,$G$3:$G$22,0),$Q41)=AA$2,$S41+$O41+9,$S41+$O41)</f>
        <v>42713011</v>
      </c>
      <c r="AB41" s="1" cm="1">
        <f t="array" ref="AB41">IF(INDEX($I$3:$L$22,MATCH($P41,$G$3:$G$22,0),$Q41)=AB$2,$S41+$O41+9,$S41+$O41)</f>
        <v>42713011</v>
      </c>
      <c r="AC41" s="1" cm="1">
        <f t="array" ref="AC41">IF(INDEX($I$3:$L$22,MATCH($P41,$G$3:$G$22,0),$Q41)=AC$2,$S41+$O41+9,$S41+$O41)</f>
        <v>42713011</v>
      </c>
      <c r="AD41" s="1" cm="1">
        <f t="array" ref="AD41">IF(INDEX($I$3:$L$22,MATCH($P41,$G$3:$G$22,0),$Q41)=AD$2,$S41+$O41+9,$S41+$O41)</f>
        <v>42713011</v>
      </c>
      <c r="AE41" s="1" cm="1">
        <f t="array" ref="AE41">IF(INDEX($I$3:$L$22,MATCH($P41,$G$3:$G$22,0),$Q41)=AE$2,$S41+$O41+9,$S41+$O41)</f>
        <v>42713011</v>
      </c>
      <c r="AF41" s="1" cm="1">
        <f t="array" ref="AF41">IF(INDEX($I$3:$L$22,MATCH($P41,$G$3:$G$22,0),$Q41)=AF$2,$S41+$O41+9,$S41+$O41)</f>
        <v>42713011</v>
      </c>
      <c r="AG41" s="1" cm="1">
        <f t="array" ref="AG41">IF(INDEX($I$3:$L$22,MATCH($P41,$G$3:$G$22,0),$Q41)=AG$2,$S41+$O41+9,$S41+$O41)</f>
        <v>42713011</v>
      </c>
      <c r="AH41" s="1" cm="1">
        <f t="array" ref="AH41">IF(INDEX($I$3:$L$22,MATCH($P41,$G$3:$G$22,0),$Q41)=AH$2,$S41+$O41+9,$S41+$O41)</f>
        <v>42713011</v>
      </c>
      <c r="AI41" s="1" cm="1">
        <f t="array" ref="AI41">IF(INDEX($I$3:$L$22,MATCH($P41,$G$3:$G$22,0),$Q41)=AI$2,$S41+$O41+9,$S41+$O41)</f>
        <v>42713011</v>
      </c>
      <c r="AJ41" s="1" cm="1">
        <f t="array" ref="AJ41">IF(INDEX($I$3:$L$22,MATCH($P41,$G$3:$G$22,0),$Q41)=AJ$2,$S41+$O41+9,$S41+$O41)</f>
        <v>42713011</v>
      </c>
      <c r="AK41" s="1" cm="1">
        <f t="array" ref="AK41">IF(INDEX($I$3:$L$22,MATCH($P41,$G$3:$G$22,0),$Q41)=AK$2,$S41+$O41+9,$S41+$O41)</f>
        <v>42713011</v>
      </c>
      <c r="AL41" s="1" cm="1">
        <f t="array" ref="AL41">IF(INDEX($I$3:$L$22,MATCH($P41,$G$3:$G$22,0),$Q41)=AL$2,$S41+$O41+9,$S41+$O41)</f>
        <v>42713011</v>
      </c>
      <c r="AM41" s="1" cm="1">
        <f t="array" ref="AM41">IF(INDEX($I$3:$L$22,MATCH($P41,$G$3:$G$22,0),$Q41)=AM$2,$S41+$O41+9,$S41+$O41)</f>
        <v>42713011</v>
      </c>
      <c r="AN41" s="1" cm="1">
        <f t="array" ref="AN41">IF(INDEX($I$3:$L$22,MATCH($P41,$G$3:$G$22,0),$Q41)=AN$2,$S41+$O41+9,$S41+$O41)</f>
        <v>42713011</v>
      </c>
      <c r="AO41" s="1" cm="1">
        <f t="array" ref="AO41">IF(INDEX($I$3:$L$22,MATCH($P41,$G$3:$G$22,0),$Q41)=AO$2,$S41+$O41+9,$S41+$O41)</f>
        <v>42713011</v>
      </c>
      <c r="AP41" s="1" cm="1">
        <f t="array" ref="AP41">IF(INDEX($I$3:$L$22,MATCH($P41,$G$3:$G$22,0),$Q41)=AP$2,$S41+$O41+9,$S41+$O41)</f>
        <v>42713011</v>
      </c>
      <c r="AQ41" s="1" cm="1">
        <f t="array" ref="AQ41">IF(INDEX($I$3:$L$22,MATCH($P41,$G$3:$G$22,0),$Q41)=AQ$2,$S41+$O41+9,$S41+$O41)</f>
        <v>42713011</v>
      </c>
      <c r="AR41" s="1" cm="1">
        <f t="array" ref="AR41">IF(INDEX($I$3:$L$22,MATCH($P41,$G$3:$G$22,0),$Q41)=AR$2,$S41+$O41+9,$S41+$O41)</f>
        <v>42713011</v>
      </c>
      <c r="AS41" s="1" cm="1">
        <f t="array" ref="AS41">IF(INDEX($I$3:$L$22,MATCH($P41,$G$3:$G$22,0),$Q41)=AS$2,$S41+$O41+9,$S41+$O41)</f>
        <v>42713011</v>
      </c>
      <c r="AT41" s="1" cm="1">
        <f t="array" ref="AT41">IF(INDEX($I$3:$L$22,MATCH($P41,$G$3:$G$22,0),$Q41)=AT$2,$S41+$O41+9,$S41+$O41)</f>
        <v>42713011</v>
      </c>
      <c r="AU41" s="1" cm="1">
        <f t="array" ref="AU41">IF(INDEX($I$3:$L$22,MATCH($P41,$G$3:$G$22,0),$Q41)=AU$2,$S41+$O41+9,$S41+$O41)</f>
        <v>42713011</v>
      </c>
      <c r="AV41" s="1" cm="1">
        <f t="array" ref="AV41">IF(INDEX($I$3:$L$22,MATCH($P41,$G$3:$G$22,0),$Q41)=AV$2,$S41+$O41+9,$S41+$O41)</f>
        <v>42713011</v>
      </c>
      <c r="AW41" s="1" cm="1">
        <f t="array" ref="AW41">IF(INDEX($I$3:$L$22,MATCH($P41,$G$3:$G$22,0),$Q41)=AW$2,$S41+$O41+9,$S41+$O41)</f>
        <v>42713011</v>
      </c>
      <c r="AX41" s="1" cm="1">
        <f t="array" ref="AX41">IF(INDEX($I$3:$L$22,MATCH($P41,$G$3:$G$22,0),$Q41)=AX$2,$S41+$O41+9,$S41+$O41)</f>
        <v>42713011</v>
      </c>
      <c r="AY41" s="1" cm="1">
        <f t="array" ref="AY41">IF(INDEX($I$3:$L$22,MATCH($P41,$G$3:$G$22,0),$Q41)=AY$2,$S41+$O41+9,$S41+$O41)</f>
        <v>42713011</v>
      </c>
      <c r="AZ41" s="1" cm="1">
        <f t="array" ref="AZ41">IF(INDEX($I$3:$L$22,MATCH($P41,$G$3:$G$22,0),$Q41)=AZ$2,$S41+$O41+9,$S41+$O41)</f>
        <v>42713011</v>
      </c>
      <c r="BA41" s="1" cm="1">
        <f t="array" ref="BA41">IF(INDEX($I$3:$L$22,MATCH($P41,$G$3:$G$22,0),$Q41)=BA$2,$S41+$O41+9,$S41+$O41)</f>
        <v>42713011</v>
      </c>
      <c r="BB41" s="1" cm="1">
        <f t="array" ref="BB41">IF(INDEX($I$3:$L$22,MATCH($P41,$G$3:$G$22,0),$Q41)=BB$2,$S41+$O41+9,$S41+$O41)</f>
        <v>42713011</v>
      </c>
      <c r="BC41" s="1" cm="1">
        <f t="array" ref="BC41">IF(INDEX($I$3:$L$22,MATCH($P41,$G$3:$G$22,0),$Q41)=BC$2,$S41+$O41+9,$S41+$O41)</f>
        <v>42713011</v>
      </c>
      <c r="BD41" s="1" cm="1">
        <f t="array" ref="BD41">IF(INDEX($I$3:$L$22,MATCH($P41,$G$3:$G$22,0),$Q41)=BD$2,$S41+$O41+9,$S41+$O41)</f>
        <v>42713011</v>
      </c>
      <c r="BE41" s="1" cm="1">
        <f t="array" ref="BE41">IF(INDEX($I$3:$L$22,MATCH($P41,$G$3:$G$22,0),$Q41)=BE$2,$S41+$O41+9,$S41+$O41)</f>
        <v>42713011</v>
      </c>
      <c r="BF41" s="1" cm="1">
        <f t="array" ref="BF41">IF(INDEX($I$3:$L$22,MATCH($P41,$G$3:$G$22,0),$Q41)=BF$2,$S41+$O41+9,$S41+$O41)</f>
        <v>42713011</v>
      </c>
      <c r="BG41" s="1" cm="1">
        <f t="array" ref="BG41">IF(INDEX($I$3:$L$22,MATCH($P41,$G$3:$G$22,0),$Q41)=BG$2,$S41+$O41+9,$S41+$O41)</f>
        <v>42713011</v>
      </c>
      <c r="BH41" s="1" cm="1">
        <f t="array" ref="BH41">IF(INDEX($I$3:$L$22,MATCH($P41,$G$3:$G$22,0),$Q41)=BH$2,$S41+$O41+9,$S41+$O41)</f>
        <v>42713011</v>
      </c>
      <c r="BI41" s="1" cm="1">
        <f t="array" ref="BI41">IF(INDEX($I$3:$L$22,MATCH($P41,$G$3:$G$22,0),$Q41)=BI$2,$S41+$O41+9,$S41+$O41)</f>
        <v>42713011</v>
      </c>
      <c r="BJ41" s="1" cm="1">
        <f t="array" ref="BJ41">IF(INDEX($I$3:$L$22,MATCH($P41,$G$3:$G$22,0),$Q41)=BJ$2,$S41+$O41+9,$S41+$O41)</f>
        <v>42713011</v>
      </c>
      <c r="BK41" s="1" cm="1">
        <f t="array" ref="BK41">IF(INDEX($I$3:$L$22,MATCH($P41,$G$3:$G$22,0),$Q41)=BK$2,$S41+$O41+9,$S41+$O41)</f>
        <v>42713011</v>
      </c>
      <c r="BL41" s="1" cm="1">
        <f t="array" ref="BL41">IF(INDEX($I$3:$L$22,MATCH($P41,$G$3:$G$22,0),$Q41)=BL$2,$S41+$O41+9,$S41+$O41)</f>
        <v>42713011</v>
      </c>
      <c r="BM41" s="1" cm="1">
        <f t="array" ref="BM41">IF(INDEX($I$3:$L$22,MATCH($P41,$G$3:$G$22,0),$Q41)=BM$2,$S41+$O41+9,$S41+$O41)</f>
        <v>42713011</v>
      </c>
      <c r="BN41" s="1" cm="1">
        <f t="array" ref="BN41">IF(INDEX($I$3:$L$22,MATCH($P41,$G$3:$G$22,0),$Q41)=BN$2,$S41+$O41+9,$S41+$O41)</f>
        <v>42713011</v>
      </c>
      <c r="BO41" s="1" cm="1">
        <f t="array" ref="BO41">IF(INDEX($I$3:$L$22,MATCH($P41,$G$3:$G$22,0),$Q41)=BO$2,$S41+$O41+9,$S41+$O41)</f>
        <v>42713011</v>
      </c>
      <c r="BP41" s="1" cm="1">
        <f t="array" ref="BP41">IF(INDEX($I$3:$L$22,MATCH($P41,$G$3:$G$22,0),$Q41)=BP$2,$S41+$O41+9,$S41+$O41)</f>
        <v>42713011</v>
      </c>
      <c r="BQ41" s="1" cm="1">
        <f t="array" ref="BQ41">IF(INDEX($I$3:$L$22,MATCH($P41,$G$3:$G$22,0),$Q41)=BQ$2,$S41+$O41+9,$S41+$O41)</f>
        <v>42713011</v>
      </c>
      <c r="BR41" s="1" cm="1">
        <f t="array" ref="BR41">IF(INDEX($I$3:$L$22,MATCH($P41,$G$3:$G$22,0),$Q41)=BR$2,$S41+$O41+9,$S41+$O41)</f>
        <v>42713011</v>
      </c>
      <c r="BS41" s="1" cm="1">
        <f t="array" ref="BS41">IF(INDEX($I$3:$L$22,MATCH($P41,$G$3:$G$22,0),$Q41)=BS$2,$S41+$O41+9,$S41+$O41)</f>
        <v>42713011</v>
      </c>
      <c r="BT41" s="1" cm="1">
        <f t="array" ref="BT41">IF(INDEX($I$3:$L$22,MATCH($P41,$G$3:$G$22,0),$Q41)=BT$2,$S41+$O41+9,$S41+$O41)</f>
        <v>42713020</v>
      </c>
    </row>
    <row r="42" spans="1:72" x14ac:dyDescent="0.15">
      <c r="N42" s="1">
        <v>40001</v>
      </c>
      <c r="O42" s="1">
        <f t="shared" si="5"/>
        <v>11</v>
      </c>
      <c r="P42" s="1">
        <f t="shared" si="6"/>
        <v>204</v>
      </c>
      <c r="Q42" s="1">
        <f t="shared" si="7"/>
        <v>4</v>
      </c>
      <c r="R42" s="1" t="s">
        <v>15</v>
      </c>
      <c r="S42" s="1">
        <v>42716000</v>
      </c>
      <c r="T42" s="1" t="str">
        <f t="shared" si="8"/>
        <v>42716011,42716011,42716011,42716011,42716011,42716011,42716011,42716011,42716011,42716011,42716011,42716011,42716011,42716011,42716011,42716011,42716011,42716011,42716011,42716011,42716011,42716011,42716020,42716011,42716011,42716011,42716011,42716011,42716011,42716011,42716011,42716011,42716011,42716011,42716011,42716011,42716011,42716011,42716011,42716011,42716011,42716011,42716011,42716011,42716011,42716011,42716011,42716011,42716011,42716011</v>
      </c>
      <c r="W42" s="1" cm="1">
        <f t="array" ref="W42">IF(INDEX($I$3:$L$22,MATCH($P42,$G$3:$G$22,0),$Q42)=W$2,$S42+$O42+9,$S42+$O42)</f>
        <v>42716011</v>
      </c>
      <c r="X42" s="1" cm="1">
        <f t="array" ref="X42">IF(INDEX($I$3:$L$22,MATCH($P42,$G$3:$G$22,0),$Q42)=X$2,$S42+$O42+9,$S42+$O42)</f>
        <v>42716011</v>
      </c>
      <c r="Y42" s="1" cm="1">
        <f t="array" ref="Y42">IF(INDEX($I$3:$L$22,MATCH($P42,$G$3:$G$22,0),$Q42)=Y$2,$S42+$O42+9,$S42+$O42)</f>
        <v>42716011</v>
      </c>
      <c r="Z42" s="1" cm="1">
        <f t="array" ref="Z42">IF(INDEX($I$3:$L$22,MATCH($P42,$G$3:$G$22,0),$Q42)=Z$2,$S42+$O42+9,$S42+$O42)</f>
        <v>42716011</v>
      </c>
      <c r="AA42" s="1" cm="1">
        <f t="array" ref="AA42">IF(INDEX($I$3:$L$22,MATCH($P42,$G$3:$G$22,0),$Q42)=AA$2,$S42+$O42+9,$S42+$O42)</f>
        <v>42716011</v>
      </c>
      <c r="AB42" s="1" cm="1">
        <f t="array" ref="AB42">IF(INDEX($I$3:$L$22,MATCH($P42,$G$3:$G$22,0),$Q42)=AB$2,$S42+$O42+9,$S42+$O42)</f>
        <v>42716011</v>
      </c>
      <c r="AC42" s="1" cm="1">
        <f t="array" ref="AC42">IF(INDEX($I$3:$L$22,MATCH($P42,$G$3:$G$22,0),$Q42)=AC$2,$S42+$O42+9,$S42+$O42)</f>
        <v>42716011</v>
      </c>
      <c r="AD42" s="1" cm="1">
        <f t="array" ref="AD42">IF(INDEX($I$3:$L$22,MATCH($P42,$G$3:$G$22,0),$Q42)=AD$2,$S42+$O42+9,$S42+$O42)</f>
        <v>42716011</v>
      </c>
      <c r="AE42" s="1" cm="1">
        <f t="array" ref="AE42">IF(INDEX($I$3:$L$22,MATCH($P42,$G$3:$G$22,0),$Q42)=AE$2,$S42+$O42+9,$S42+$O42)</f>
        <v>42716011</v>
      </c>
      <c r="AF42" s="1" cm="1">
        <f t="array" ref="AF42">IF(INDEX($I$3:$L$22,MATCH($P42,$G$3:$G$22,0),$Q42)=AF$2,$S42+$O42+9,$S42+$O42)</f>
        <v>42716011</v>
      </c>
      <c r="AG42" s="1" cm="1">
        <f t="array" ref="AG42">IF(INDEX($I$3:$L$22,MATCH($P42,$G$3:$G$22,0),$Q42)=AG$2,$S42+$O42+9,$S42+$O42)</f>
        <v>42716011</v>
      </c>
      <c r="AH42" s="1" cm="1">
        <f t="array" ref="AH42">IF(INDEX($I$3:$L$22,MATCH($P42,$G$3:$G$22,0),$Q42)=AH$2,$S42+$O42+9,$S42+$O42)</f>
        <v>42716011</v>
      </c>
      <c r="AI42" s="1" cm="1">
        <f t="array" ref="AI42">IF(INDEX($I$3:$L$22,MATCH($P42,$G$3:$G$22,0),$Q42)=AI$2,$S42+$O42+9,$S42+$O42)</f>
        <v>42716011</v>
      </c>
      <c r="AJ42" s="1" cm="1">
        <f t="array" ref="AJ42">IF(INDEX($I$3:$L$22,MATCH($P42,$G$3:$G$22,0),$Q42)=AJ$2,$S42+$O42+9,$S42+$O42)</f>
        <v>42716011</v>
      </c>
      <c r="AK42" s="1" cm="1">
        <f t="array" ref="AK42">IF(INDEX($I$3:$L$22,MATCH($P42,$G$3:$G$22,0),$Q42)=AK$2,$S42+$O42+9,$S42+$O42)</f>
        <v>42716011</v>
      </c>
      <c r="AL42" s="1" cm="1">
        <f t="array" ref="AL42">IF(INDEX($I$3:$L$22,MATCH($P42,$G$3:$G$22,0),$Q42)=AL$2,$S42+$O42+9,$S42+$O42)</f>
        <v>42716011</v>
      </c>
      <c r="AM42" s="1" cm="1">
        <f t="array" ref="AM42">IF(INDEX($I$3:$L$22,MATCH($P42,$G$3:$G$22,0),$Q42)=AM$2,$S42+$O42+9,$S42+$O42)</f>
        <v>42716011</v>
      </c>
      <c r="AN42" s="1" cm="1">
        <f t="array" ref="AN42">IF(INDEX($I$3:$L$22,MATCH($P42,$G$3:$G$22,0),$Q42)=AN$2,$S42+$O42+9,$S42+$O42)</f>
        <v>42716011</v>
      </c>
      <c r="AO42" s="1" cm="1">
        <f t="array" ref="AO42">IF(INDEX($I$3:$L$22,MATCH($P42,$G$3:$G$22,0),$Q42)=AO$2,$S42+$O42+9,$S42+$O42)</f>
        <v>42716011</v>
      </c>
      <c r="AP42" s="1" cm="1">
        <f t="array" ref="AP42">IF(INDEX($I$3:$L$22,MATCH($P42,$G$3:$G$22,0),$Q42)=AP$2,$S42+$O42+9,$S42+$O42)</f>
        <v>42716011</v>
      </c>
      <c r="AQ42" s="1" cm="1">
        <f t="array" ref="AQ42">IF(INDEX($I$3:$L$22,MATCH($P42,$G$3:$G$22,0),$Q42)=AQ$2,$S42+$O42+9,$S42+$O42)</f>
        <v>42716011</v>
      </c>
      <c r="AR42" s="1" cm="1">
        <f t="array" ref="AR42">IF(INDEX($I$3:$L$22,MATCH($P42,$G$3:$G$22,0),$Q42)=AR$2,$S42+$O42+9,$S42+$O42)</f>
        <v>42716011</v>
      </c>
      <c r="AS42" s="1" cm="1">
        <f t="array" ref="AS42">IF(INDEX($I$3:$L$22,MATCH($P42,$G$3:$G$22,0),$Q42)=AS$2,$S42+$O42+9,$S42+$O42)</f>
        <v>42716020</v>
      </c>
      <c r="AT42" s="1" cm="1">
        <f t="array" ref="AT42">IF(INDEX($I$3:$L$22,MATCH($P42,$G$3:$G$22,0),$Q42)=AT$2,$S42+$O42+9,$S42+$O42)</f>
        <v>42716011</v>
      </c>
      <c r="AU42" s="1" cm="1">
        <f t="array" ref="AU42">IF(INDEX($I$3:$L$22,MATCH($P42,$G$3:$G$22,0),$Q42)=AU$2,$S42+$O42+9,$S42+$O42)</f>
        <v>42716011</v>
      </c>
      <c r="AV42" s="1" cm="1">
        <f t="array" ref="AV42">IF(INDEX($I$3:$L$22,MATCH($P42,$G$3:$G$22,0),$Q42)=AV$2,$S42+$O42+9,$S42+$O42)</f>
        <v>42716011</v>
      </c>
      <c r="AW42" s="1" cm="1">
        <f t="array" ref="AW42">IF(INDEX($I$3:$L$22,MATCH($P42,$G$3:$G$22,0),$Q42)=AW$2,$S42+$O42+9,$S42+$O42)</f>
        <v>42716011</v>
      </c>
      <c r="AX42" s="1" cm="1">
        <f t="array" ref="AX42">IF(INDEX($I$3:$L$22,MATCH($P42,$G$3:$G$22,0),$Q42)=AX$2,$S42+$O42+9,$S42+$O42)</f>
        <v>42716011</v>
      </c>
      <c r="AY42" s="1" cm="1">
        <f t="array" ref="AY42">IF(INDEX($I$3:$L$22,MATCH($P42,$G$3:$G$22,0),$Q42)=AY$2,$S42+$O42+9,$S42+$O42)</f>
        <v>42716011</v>
      </c>
      <c r="AZ42" s="1" cm="1">
        <f t="array" ref="AZ42">IF(INDEX($I$3:$L$22,MATCH($P42,$G$3:$G$22,0),$Q42)=AZ$2,$S42+$O42+9,$S42+$O42)</f>
        <v>42716011</v>
      </c>
      <c r="BA42" s="1" cm="1">
        <f t="array" ref="BA42">IF(INDEX($I$3:$L$22,MATCH($P42,$G$3:$G$22,0),$Q42)=BA$2,$S42+$O42+9,$S42+$O42)</f>
        <v>42716011</v>
      </c>
      <c r="BB42" s="1" cm="1">
        <f t="array" ref="BB42">IF(INDEX($I$3:$L$22,MATCH($P42,$G$3:$G$22,0),$Q42)=BB$2,$S42+$O42+9,$S42+$O42)</f>
        <v>42716011</v>
      </c>
      <c r="BC42" s="1" cm="1">
        <f t="array" ref="BC42">IF(INDEX($I$3:$L$22,MATCH($P42,$G$3:$G$22,0),$Q42)=BC$2,$S42+$O42+9,$S42+$O42)</f>
        <v>42716011</v>
      </c>
      <c r="BD42" s="1" cm="1">
        <f t="array" ref="BD42">IF(INDEX($I$3:$L$22,MATCH($P42,$G$3:$G$22,0),$Q42)=BD$2,$S42+$O42+9,$S42+$O42)</f>
        <v>42716011</v>
      </c>
      <c r="BE42" s="1" cm="1">
        <f t="array" ref="BE42">IF(INDEX($I$3:$L$22,MATCH($P42,$G$3:$G$22,0),$Q42)=BE$2,$S42+$O42+9,$S42+$O42)</f>
        <v>42716011</v>
      </c>
      <c r="BF42" s="1" cm="1">
        <f t="array" ref="BF42">IF(INDEX($I$3:$L$22,MATCH($P42,$G$3:$G$22,0),$Q42)=BF$2,$S42+$O42+9,$S42+$O42)</f>
        <v>42716011</v>
      </c>
      <c r="BG42" s="1" cm="1">
        <f t="array" ref="BG42">IF(INDEX($I$3:$L$22,MATCH($P42,$G$3:$G$22,0),$Q42)=BG$2,$S42+$O42+9,$S42+$O42)</f>
        <v>42716011</v>
      </c>
      <c r="BH42" s="1" cm="1">
        <f t="array" ref="BH42">IF(INDEX($I$3:$L$22,MATCH($P42,$G$3:$G$22,0),$Q42)=BH$2,$S42+$O42+9,$S42+$O42)</f>
        <v>42716011</v>
      </c>
      <c r="BI42" s="1" cm="1">
        <f t="array" ref="BI42">IF(INDEX($I$3:$L$22,MATCH($P42,$G$3:$G$22,0),$Q42)=BI$2,$S42+$O42+9,$S42+$O42)</f>
        <v>42716011</v>
      </c>
      <c r="BJ42" s="1" cm="1">
        <f t="array" ref="BJ42">IF(INDEX($I$3:$L$22,MATCH($P42,$G$3:$G$22,0),$Q42)=BJ$2,$S42+$O42+9,$S42+$O42)</f>
        <v>42716011</v>
      </c>
      <c r="BK42" s="1" cm="1">
        <f t="array" ref="BK42">IF(INDEX($I$3:$L$22,MATCH($P42,$G$3:$G$22,0),$Q42)=BK$2,$S42+$O42+9,$S42+$O42)</f>
        <v>42716011</v>
      </c>
      <c r="BL42" s="1" cm="1">
        <f t="array" ref="BL42">IF(INDEX($I$3:$L$22,MATCH($P42,$G$3:$G$22,0),$Q42)=BL$2,$S42+$O42+9,$S42+$O42)</f>
        <v>42716011</v>
      </c>
      <c r="BM42" s="1" cm="1">
        <f t="array" ref="BM42">IF(INDEX($I$3:$L$22,MATCH($P42,$G$3:$G$22,0),$Q42)=BM$2,$S42+$O42+9,$S42+$O42)</f>
        <v>42716011</v>
      </c>
      <c r="BN42" s="1" cm="1">
        <f t="array" ref="BN42">IF(INDEX($I$3:$L$22,MATCH($P42,$G$3:$G$22,0),$Q42)=BN$2,$S42+$O42+9,$S42+$O42)</f>
        <v>42716011</v>
      </c>
      <c r="BO42" s="1" cm="1">
        <f t="array" ref="BO42">IF(INDEX($I$3:$L$22,MATCH($P42,$G$3:$G$22,0),$Q42)=BO$2,$S42+$O42+9,$S42+$O42)</f>
        <v>42716011</v>
      </c>
      <c r="BP42" s="1" cm="1">
        <f t="array" ref="BP42">IF(INDEX($I$3:$L$22,MATCH($P42,$G$3:$G$22,0),$Q42)=BP$2,$S42+$O42+9,$S42+$O42)</f>
        <v>42716011</v>
      </c>
      <c r="BQ42" s="1" cm="1">
        <f t="array" ref="BQ42">IF(INDEX($I$3:$L$22,MATCH($P42,$G$3:$G$22,0),$Q42)=BQ$2,$S42+$O42+9,$S42+$O42)</f>
        <v>42716011</v>
      </c>
      <c r="BR42" s="1" cm="1">
        <f t="array" ref="BR42">IF(INDEX($I$3:$L$22,MATCH($P42,$G$3:$G$22,0),$Q42)=BR$2,$S42+$O42+9,$S42+$O42)</f>
        <v>42716011</v>
      </c>
      <c r="BS42" s="1" cm="1">
        <f t="array" ref="BS42">IF(INDEX($I$3:$L$22,MATCH($P42,$G$3:$G$22,0),$Q42)=BS$2,$S42+$O42+9,$S42+$O42)</f>
        <v>42716011</v>
      </c>
      <c r="BT42" s="1" cm="1">
        <f t="array" ref="BT42">IF(INDEX($I$3:$L$22,MATCH($P42,$G$3:$G$22,0),$Q42)=BT$2,$S42+$O42+9,$S42+$O42)</f>
        <v>42716011</v>
      </c>
    </row>
    <row r="43" spans="1:72" x14ac:dyDescent="0.15">
      <c r="N43" s="1">
        <v>50001</v>
      </c>
      <c r="O43" s="1">
        <f t="shared" si="5"/>
        <v>21</v>
      </c>
      <c r="P43" s="1">
        <f t="shared" si="6"/>
        <v>300</v>
      </c>
      <c r="Q43" s="1">
        <f t="shared" si="7"/>
        <v>1</v>
      </c>
      <c r="R43" s="1" t="s">
        <v>18</v>
      </c>
      <c r="S43" s="1">
        <v>42711000</v>
      </c>
      <c r="T43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</v>
      </c>
      <c r="W43" s="1" cm="1">
        <f t="array" ref="W43">IF(INDEX($I$3:$L$22,MATCH($P43,$G$3:$G$22,0),$Q43)=W$2,$S43+$O43+9,$S43+$O43)</f>
        <v>42711021</v>
      </c>
      <c r="X43" s="1" cm="1">
        <f t="array" ref="X43">IF(INDEX($I$3:$L$22,MATCH($P43,$G$3:$G$22,0),$Q43)=X$2,$S43+$O43+9,$S43+$O43)</f>
        <v>42711021</v>
      </c>
      <c r="Y43" s="1" cm="1">
        <f t="array" ref="Y43">IF(INDEX($I$3:$L$22,MATCH($P43,$G$3:$G$22,0),$Q43)=Y$2,$S43+$O43+9,$S43+$O43)</f>
        <v>42711021</v>
      </c>
      <c r="Z43" s="1" cm="1">
        <f t="array" ref="Z43">IF(INDEX($I$3:$L$22,MATCH($P43,$G$3:$G$22,0),$Q43)=Z$2,$S43+$O43+9,$S43+$O43)</f>
        <v>42711021</v>
      </c>
      <c r="AA43" s="1" cm="1">
        <f t="array" ref="AA43">IF(INDEX($I$3:$L$22,MATCH($P43,$G$3:$G$22,0),$Q43)=AA$2,$S43+$O43+9,$S43+$O43)</f>
        <v>42711021</v>
      </c>
      <c r="AB43" s="1" cm="1">
        <f t="array" ref="AB43">IF(INDEX($I$3:$L$22,MATCH($P43,$G$3:$G$22,0),$Q43)=AB$2,$S43+$O43+9,$S43+$O43)</f>
        <v>42711021</v>
      </c>
      <c r="AC43" s="1" cm="1">
        <f t="array" ref="AC43">IF(INDEX($I$3:$L$22,MATCH($P43,$G$3:$G$22,0),$Q43)=AC$2,$S43+$O43+9,$S43+$O43)</f>
        <v>42711021</v>
      </c>
      <c r="AD43" s="1" cm="1">
        <f t="array" ref="AD43">IF(INDEX($I$3:$L$22,MATCH($P43,$G$3:$G$22,0),$Q43)=AD$2,$S43+$O43+9,$S43+$O43)</f>
        <v>42711021</v>
      </c>
      <c r="AE43" s="1" cm="1">
        <f t="array" ref="AE43">IF(INDEX($I$3:$L$22,MATCH($P43,$G$3:$G$22,0),$Q43)=AE$2,$S43+$O43+9,$S43+$O43)</f>
        <v>42711021</v>
      </c>
      <c r="AF43" s="1" cm="1">
        <f t="array" ref="AF43">IF(INDEX($I$3:$L$22,MATCH($P43,$G$3:$G$22,0),$Q43)=AF$2,$S43+$O43+9,$S43+$O43)</f>
        <v>42711021</v>
      </c>
      <c r="AG43" s="1" cm="1">
        <f t="array" ref="AG43">IF(INDEX($I$3:$L$22,MATCH($P43,$G$3:$G$22,0),$Q43)=AG$2,$S43+$O43+9,$S43+$O43)</f>
        <v>42711021</v>
      </c>
      <c r="AH43" s="1" cm="1">
        <f t="array" ref="AH43">IF(INDEX($I$3:$L$22,MATCH($P43,$G$3:$G$22,0),$Q43)=AH$2,$S43+$O43+9,$S43+$O43)</f>
        <v>42711021</v>
      </c>
      <c r="AI43" s="1" cm="1">
        <f t="array" ref="AI43">IF(INDEX($I$3:$L$22,MATCH($P43,$G$3:$G$22,0),$Q43)=AI$2,$S43+$O43+9,$S43+$O43)</f>
        <v>42711021</v>
      </c>
      <c r="AJ43" s="1" cm="1">
        <f t="array" ref="AJ43">IF(INDEX($I$3:$L$22,MATCH($P43,$G$3:$G$22,0),$Q43)=AJ$2,$S43+$O43+9,$S43+$O43)</f>
        <v>42711021</v>
      </c>
      <c r="AK43" s="1" cm="1">
        <f t="array" ref="AK43">IF(INDEX($I$3:$L$22,MATCH($P43,$G$3:$G$22,0),$Q43)=AK$2,$S43+$O43+9,$S43+$O43)</f>
        <v>42711021</v>
      </c>
      <c r="AL43" s="1" cm="1">
        <f t="array" ref="AL43">IF(INDEX($I$3:$L$22,MATCH($P43,$G$3:$G$22,0),$Q43)=AL$2,$S43+$O43+9,$S43+$O43)</f>
        <v>42711021</v>
      </c>
      <c r="AM43" s="1" cm="1">
        <f t="array" ref="AM43">IF(INDEX($I$3:$L$22,MATCH($P43,$G$3:$G$22,0),$Q43)=AM$2,$S43+$O43+9,$S43+$O43)</f>
        <v>42711021</v>
      </c>
      <c r="AN43" s="1" cm="1">
        <f t="array" ref="AN43">IF(INDEX($I$3:$L$22,MATCH($P43,$G$3:$G$22,0),$Q43)=AN$2,$S43+$O43+9,$S43+$O43)</f>
        <v>42711021</v>
      </c>
      <c r="AO43" s="1" cm="1">
        <f t="array" ref="AO43">IF(INDEX($I$3:$L$22,MATCH($P43,$G$3:$G$22,0),$Q43)=AO$2,$S43+$O43+9,$S43+$O43)</f>
        <v>42711021</v>
      </c>
      <c r="AP43" s="1" cm="1">
        <f t="array" ref="AP43">IF(INDEX($I$3:$L$22,MATCH($P43,$G$3:$G$22,0),$Q43)=AP$2,$S43+$O43+9,$S43+$O43)</f>
        <v>42711021</v>
      </c>
      <c r="AQ43" s="1" cm="1">
        <f t="array" ref="AQ43">IF(INDEX($I$3:$L$22,MATCH($P43,$G$3:$G$22,0),$Q43)=AQ$2,$S43+$O43+9,$S43+$O43)</f>
        <v>42711021</v>
      </c>
      <c r="AR43" s="1" cm="1">
        <f t="array" ref="AR43">IF(INDEX($I$3:$L$22,MATCH($P43,$G$3:$G$22,0),$Q43)=AR$2,$S43+$O43+9,$S43+$O43)</f>
        <v>42711021</v>
      </c>
      <c r="AS43" s="1" cm="1">
        <f t="array" ref="AS43">IF(INDEX($I$3:$L$22,MATCH($P43,$G$3:$G$22,0),$Q43)=AS$2,$S43+$O43+9,$S43+$O43)</f>
        <v>42711021</v>
      </c>
      <c r="AT43" s="1" cm="1">
        <f t="array" ref="AT43">IF(INDEX($I$3:$L$22,MATCH($P43,$G$3:$G$22,0),$Q43)=AT$2,$S43+$O43+9,$S43+$O43)</f>
        <v>42711021</v>
      </c>
      <c r="AU43" s="1" cm="1">
        <f t="array" ref="AU43">IF(INDEX($I$3:$L$22,MATCH($P43,$G$3:$G$22,0),$Q43)=AU$2,$S43+$O43+9,$S43+$O43)</f>
        <v>42711030</v>
      </c>
      <c r="AV43" s="1" cm="1">
        <f t="array" ref="AV43">IF(INDEX($I$3:$L$22,MATCH($P43,$G$3:$G$22,0),$Q43)=AV$2,$S43+$O43+9,$S43+$O43)</f>
        <v>42711021</v>
      </c>
      <c r="AW43" s="1" cm="1">
        <f t="array" ref="AW43">IF(INDEX($I$3:$L$22,MATCH($P43,$G$3:$G$22,0),$Q43)=AW$2,$S43+$O43+9,$S43+$O43)</f>
        <v>42711021</v>
      </c>
      <c r="AX43" s="1" cm="1">
        <f t="array" ref="AX43">IF(INDEX($I$3:$L$22,MATCH($P43,$G$3:$G$22,0),$Q43)=AX$2,$S43+$O43+9,$S43+$O43)</f>
        <v>42711021</v>
      </c>
      <c r="AY43" s="1" cm="1">
        <f t="array" ref="AY43">IF(INDEX($I$3:$L$22,MATCH($P43,$G$3:$G$22,0),$Q43)=AY$2,$S43+$O43+9,$S43+$O43)</f>
        <v>42711021</v>
      </c>
      <c r="AZ43" s="1" cm="1">
        <f t="array" ref="AZ43">IF(INDEX($I$3:$L$22,MATCH($P43,$G$3:$G$22,0),$Q43)=AZ$2,$S43+$O43+9,$S43+$O43)</f>
        <v>42711021</v>
      </c>
      <c r="BA43" s="1" cm="1">
        <f t="array" ref="BA43">IF(INDEX($I$3:$L$22,MATCH($P43,$G$3:$G$22,0),$Q43)=BA$2,$S43+$O43+9,$S43+$O43)</f>
        <v>42711021</v>
      </c>
      <c r="BB43" s="1" cm="1">
        <f t="array" ref="BB43">IF(INDEX($I$3:$L$22,MATCH($P43,$G$3:$G$22,0),$Q43)=BB$2,$S43+$O43+9,$S43+$O43)</f>
        <v>42711021</v>
      </c>
      <c r="BC43" s="1" cm="1">
        <f t="array" ref="BC43">IF(INDEX($I$3:$L$22,MATCH($P43,$G$3:$G$22,0),$Q43)=BC$2,$S43+$O43+9,$S43+$O43)</f>
        <v>42711021</v>
      </c>
      <c r="BD43" s="1" cm="1">
        <f t="array" ref="BD43">IF(INDEX($I$3:$L$22,MATCH($P43,$G$3:$G$22,0),$Q43)=BD$2,$S43+$O43+9,$S43+$O43)</f>
        <v>42711021</v>
      </c>
      <c r="BE43" s="1" cm="1">
        <f t="array" ref="BE43">IF(INDEX($I$3:$L$22,MATCH($P43,$G$3:$G$22,0),$Q43)=BE$2,$S43+$O43+9,$S43+$O43)</f>
        <v>42711021</v>
      </c>
      <c r="BF43" s="1" cm="1">
        <f t="array" ref="BF43">IF(INDEX($I$3:$L$22,MATCH($P43,$G$3:$G$22,0),$Q43)=BF$2,$S43+$O43+9,$S43+$O43)</f>
        <v>42711021</v>
      </c>
      <c r="BG43" s="1" cm="1">
        <f t="array" ref="BG43">IF(INDEX($I$3:$L$22,MATCH($P43,$G$3:$G$22,0),$Q43)=BG$2,$S43+$O43+9,$S43+$O43)</f>
        <v>42711021</v>
      </c>
      <c r="BH43" s="1" cm="1">
        <f t="array" ref="BH43">IF(INDEX($I$3:$L$22,MATCH($P43,$G$3:$G$22,0),$Q43)=BH$2,$S43+$O43+9,$S43+$O43)</f>
        <v>42711021</v>
      </c>
      <c r="BI43" s="1" cm="1">
        <f t="array" ref="BI43">IF(INDEX($I$3:$L$22,MATCH($P43,$G$3:$G$22,0),$Q43)=BI$2,$S43+$O43+9,$S43+$O43)</f>
        <v>42711021</v>
      </c>
      <c r="BJ43" s="1" cm="1">
        <f t="array" ref="BJ43">IF(INDEX($I$3:$L$22,MATCH($P43,$G$3:$G$22,0),$Q43)=BJ$2,$S43+$O43+9,$S43+$O43)</f>
        <v>42711021</v>
      </c>
      <c r="BK43" s="1" cm="1">
        <f t="array" ref="BK43">IF(INDEX($I$3:$L$22,MATCH($P43,$G$3:$G$22,0),$Q43)=BK$2,$S43+$O43+9,$S43+$O43)</f>
        <v>42711021</v>
      </c>
      <c r="BL43" s="1" cm="1">
        <f t="array" ref="BL43">IF(INDEX($I$3:$L$22,MATCH($P43,$G$3:$G$22,0),$Q43)=BL$2,$S43+$O43+9,$S43+$O43)</f>
        <v>42711021</v>
      </c>
      <c r="BM43" s="1" cm="1">
        <f t="array" ref="BM43">IF(INDEX($I$3:$L$22,MATCH($P43,$G$3:$G$22,0),$Q43)=BM$2,$S43+$O43+9,$S43+$O43)</f>
        <v>42711021</v>
      </c>
      <c r="BN43" s="1" cm="1">
        <f t="array" ref="BN43">IF(INDEX($I$3:$L$22,MATCH($P43,$G$3:$G$22,0),$Q43)=BN$2,$S43+$O43+9,$S43+$O43)</f>
        <v>42711021</v>
      </c>
      <c r="BO43" s="1" cm="1">
        <f t="array" ref="BO43">IF(INDEX($I$3:$L$22,MATCH($P43,$G$3:$G$22,0),$Q43)=BO$2,$S43+$O43+9,$S43+$O43)</f>
        <v>42711021</v>
      </c>
      <c r="BP43" s="1" cm="1">
        <f t="array" ref="BP43">IF(INDEX($I$3:$L$22,MATCH($P43,$G$3:$G$22,0),$Q43)=BP$2,$S43+$O43+9,$S43+$O43)</f>
        <v>42711021</v>
      </c>
      <c r="BQ43" s="1" cm="1">
        <f t="array" ref="BQ43">IF(INDEX($I$3:$L$22,MATCH($P43,$G$3:$G$22,0),$Q43)=BQ$2,$S43+$O43+9,$S43+$O43)</f>
        <v>42711021</v>
      </c>
      <c r="BR43" s="1" cm="1">
        <f t="array" ref="BR43">IF(INDEX($I$3:$L$22,MATCH($P43,$G$3:$G$22,0),$Q43)=BR$2,$S43+$O43+9,$S43+$O43)</f>
        <v>42711021</v>
      </c>
      <c r="BS43" s="1" cm="1">
        <f t="array" ref="BS43">IF(INDEX($I$3:$L$22,MATCH($P43,$G$3:$G$22,0),$Q43)=BS$2,$S43+$O43+9,$S43+$O43)</f>
        <v>42711021</v>
      </c>
      <c r="BT43" s="1" cm="1">
        <f t="array" ref="BT43">IF(INDEX($I$3:$L$22,MATCH($P43,$G$3:$G$22,0),$Q43)=BT$2,$S43+$O43+9,$S43+$O43)</f>
        <v>42711021</v>
      </c>
    </row>
    <row r="44" spans="1:72" x14ac:dyDescent="0.15">
      <c r="N44" s="1">
        <v>50001</v>
      </c>
      <c r="O44" s="1">
        <f t="shared" si="5"/>
        <v>21</v>
      </c>
      <c r="P44" s="1">
        <f t="shared" si="6"/>
        <v>300</v>
      </c>
      <c r="Q44" s="1">
        <f t="shared" si="7"/>
        <v>2</v>
      </c>
      <c r="R44" s="1" t="s">
        <v>17</v>
      </c>
      <c r="S44" s="1">
        <v>42612000</v>
      </c>
      <c r="T44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</v>
      </c>
      <c r="W44" s="1" cm="1">
        <f t="array" ref="W44">IF(INDEX($I$3:$L$22,MATCH($P44,$G$3:$G$22,0),$Q44)=W$2,$S44+$O44+9,$S44+$O44)</f>
        <v>42612021</v>
      </c>
      <c r="X44" s="1" cm="1">
        <f t="array" ref="X44">IF(INDEX($I$3:$L$22,MATCH($P44,$G$3:$G$22,0),$Q44)=X$2,$S44+$O44+9,$S44+$O44)</f>
        <v>42612021</v>
      </c>
      <c r="Y44" s="1" cm="1">
        <f t="array" ref="Y44">IF(INDEX($I$3:$L$22,MATCH($P44,$G$3:$G$22,0),$Q44)=Y$2,$S44+$O44+9,$S44+$O44)</f>
        <v>42612021</v>
      </c>
      <c r="Z44" s="1" cm="1">
        <f t="array" ref="Z44">IF(INDEX($I$3:$L$22,MATCH($P44,$G$3:$G$22,0),$Q44)=Z$2,$S44+$O44+9,$S44+$O44)</f>
        <v>42612021</v>
      </c>
      <c r="AA44" s="1" cm="1">
        <f t="array" ref="AA44">IF(INDEX($I$3:$L$22,MATCH($P44,$G$3:$G$22,0),$Q44)=AA$2,$S44+$O44+9,$S44+$O44)</f>
        <v>42612021</v>
      </c>
      <c r="AB44" s="1" cm="1">
        <f t="array" ref="AB44">IF(INDEX($I$3:$L$22,MATCH($P44,$G$3:$G$22,0),$Q44)=AB$2,$S44+$O44+9,$S44+$O44)</f>
        <v>42612021</v>
      </c>
      <c r="AC44" s="1" cm="1">
        <f t="array" ref="AC44">IF(INDEX($I$3:$L$22,MATCH($P44,$G$3:$G$22,0),$Q44)=AC$2,$S44+$O44+9,$S44+$O44)</f>
        <v>42612021</v>
      </c>
      <c r="AD44" s="1" cm="1">
        <f t="array" ref="AD44">IF(INDEX($I$3:$L$22,MATCH($P44,$G$3:$G$22,0),$Q44)=AD$2,$S44+$O44+9,$S44+$O44)</f>
        <v>42612021</v>
      </c>
      <c r="AE44" s="1" cm="1">
        <f t="array" ref="AE44">IF(INDEX($I$3:$L$22,MATCH($P44,$G$3:$G$22,0),$Q44)=AE$2,$S44+$O44+9,$S44+$O44)</f>
        <v>42612021</v>
      </c>
      <c r="AF44" s="1" cm="1">
        <f t="array" ref="AF44">IF(INDEX($I$3:$L$22,MATCH($P44,$G$3:$G$22,0),$Q44)=AF$2,$S44+$O44+9,$S44+$O44)</f>
        <v>42612021</v>
      </c>
      <c r="AG44" s="1" cm="1">
        <f t="array" ref="AG44">IF(INDEX($I$3:$L$22,MATCH($P44,$G$3:$G$22,0),$Q44)=AG$2,$S44+$O44+9,$S44+$O44)</f>
        <v>42612021</v>
      </c>
      <c r="AH44" s="1" cm="1">
        <f t="array" ref="AH44">IF(INDEX($I$3:$L$22,MATCH($P44,$G$3:$G$22,0),$Q44)=AH$2,$S44+$O44+9,$S44+$O44)</f>
        <v>42612021</v>
      </c>
      <c r="AI44" s="1" cm="1">
        <f t="array" ref="AI44">IF(INDEX($I$3:$L$22,MATCH($P44,$G$3:$G$22,0),$Q44)=AI$2,$S44+$O44+9,$S44+$O44)</f>
        <v>42612021</v>
      </c>
      <c r="AJ44" s="1" cm="1">
        <f t="array" ref="AJ44">IF(INDEX($I$3:$L$22,MATCH($P44,$G$3:$G$22,0),$Q44)=AJ$2,$S44+$O44+9,$S44+$O44)</f>
        <v>42612021</v>
      </c>
      <c r="AK44" s="1" cm="1">
        <f t="array" ref="AK44">IF(INDEX($I$3:$L$22,MATCH($P44,$G$3:$G$22,0),$Q44)=AK$2,$S44+$O44+9,$S44+$O44)</f>
        <v>42612021</v>
      </c>
      <c r="AL44" s="1" cm="1">
        <f t="array" ref="AL44">IF(INDEX($I$3:$L$22,MATCH($P44,$G$3:$G$22,0),$Q44)=AL$2,$S44+$O44+9,$S44+$O44)</f>
        <v>42612021</v>
      </c>
      <c r="AM44" s="1" cm="1">
        <f t="array" ref="AM44">IF(INDEX($I$3:$L$22,MATCH($P44,$G$3:$G$22,0),$Q44)=AM$2,$S44+$O44+9,$S44+$O44)</f>
        <v>42612021</v>
      </c>
      <c r="AN44" s="1" cm="1">
        <f t="array" ref="AN44">IF(INDEX($I$3:$L$22,MATCH($P44,$G$3:$G$22,0),$Q44)=AN$2,$S44+$O44+9,$S44+$O44)</f>
        <v>42612021</v>
      </c>
      <c r="AO44" s="1" cm="1">
        <f t="array" ref="AO44">IF(INDEX($I$3:$L$22,MATCH($P44,$G$3:$G$22,0),$Q44)=AO$2,$S44+$O44+9,$S44+$O44)</f>
        <v>42612021</v>
      </c>
      <c r="AP44" s="1" cm="1">
        <f t="array" ref="AP44">IF(INDEX($I$3:$L$22,MATCH($P44,$G$3:$G$22,0),$Q44)=AP$2,$S44+$O44+9,$S44+$O44)</f>
        <v>42612021</v>
      </c>
      <c r="AQ44" s="1" cm="1">
        <f t="array" ref="AQ44">IF(INDEX($I$3:$L$22,MATCH($P44,$G$3:$G$22,0),$Q44)=AQ$2,$S44+$O44+9,$S44+$O44)</f>
        <v>42612021</v>
      </c>
      <c r="AR44" s="1" cm="1">
        <f t="array" ref="AR44">IF(INDEX($I$3:$L$22,MATCH($P44,$G$3:$G$22,0),$Q44)=AR$2,$S44+$O44+9,$S44+$O44)</f>
        <v>42612021</v>
      </c>
      <c r="AS44" s="1" cm="1">
        <f t="array" ref="AS44">IF(INDEX($I$3:$L$22,MATCH($P44,$G$3:$G$22,0),$Q44)=AS$2,$S44+$O44+9,$S44+$O44)</f>
        <v>42612021</v>
      </c>
      <c r="AT44" s="1" cm="1">
        <f t="array" ref="AT44">IF(INDEX($I$3:$L$22,MATCH($P44,$G$3:$G$22,0),$Q44)=AT$2,$S44+$O44+9,$S44+$O44)</f>
        <v>42612021</v>
      </c>
      <c r="AU44" s="1" cm="1">
        <f t="array" ref="AU44">IF(INDEX($I$3:$L$22,MATCH($P44,$G$3:$G$22,0),$Q44)=AU$2,$S44+$O44+9,$S44+$O44)</f>
        <v>42612021</v>
      </c>
      <c r="AV44" s="1" cm="1">
        <f t="array" ref="AV44">IF(INDEX($I$3:$L$22,MATCH($P44,$G$3:$G$22,0),$Q44)=AV$2,$S44+$O44+9,$S44+$O44)</f>
        <v>42612021</v>
      </c>
      <c r="AW44" s="1" cm="1">
        <f t="array" ref="AW44">IF(INDEX($I$3:$L$22,MATCH($P44,$G$3:$G$22,0),$Q44)=AW$2,$S44+$O44+9,$S44+$O44)</f>
        <v>42612021</v>
      </c>
      <c r="AX44" s="1" cm="1">
        <f t="array" ref="AX44">IF(INDEX($I$3:$L$22,MATCH($P44,$G$3:$G$22,0),$Q44)=AX$2,$S44+$O44+9,$S44+$O44)</f>
        <v>42612021</v>
      </c>
      <c r="AY44" s="1" cm="1">
        <f t="array" ref="AY44">IF(INDEX($I$3:$L$22,MATCH($P44,$G$3:$G$22,0),$Q44)=AY$2,$S44+$O44+9,$S44+$O44)</f>
        <v>42612021</v>
      </c>
      <c r="AZ44" s="1" cm="1">
        <f t="array" ref="AZ44">IF(INDEX($I$3:$L$22,MATCH($P44,$G$3:$G$22,0),$Q44)=AZ$2,$S44+$O44+9,$S44+$O44)</f>
        <v>42612021</v>
      </c>
      <c r="BA44" s="1" cm="1">
        <f t="array" ref="BA44">IF(INDEX($I$3:$L$22,MATCH($P44,$G$3:$G$22,0),$Q44)=BA$2,$S44+$O44+9,$S44+$O44)</f>
        <v>42612021</v>
      </c>
      <c r="BB44" s="1" cm="1">
        <f t="array" ref="BB44">IF(INDEX($I$3:$L$22,MATCH($P44,$G$3:$G$22,0),$Q44)=BB$2,$S44+$O44+9,$S44+$O44)</f>
        <v>42612021</v>
      </c>
      <c r="BC44" s="1" cm="1">
        <f t="array" ref="BC44">IF(INDEX($I$3:$L$22,MATCH($P44,$G$3:$G$22,0),$Q44)=BC$2,$S44+$O44+9,$S44+$O44)</f>
        <v>42612021</v>
      </c>
      <c r="BD44" s="1" cm="1">
        <f t="array" ref="BD44">IF(INDEX($I$3:$L$22,MATCH($P44,$G$3:$G$22,0),$Q44)=BD$2,$S44+$O44+9,$S44+$O44)</f>
        <v>42612021</v>
      </c>
      <c r="BE44" s="1" cm="1">
        <f t="array" ref="BE44">IF(INDEX($I$3:$L$22,MATCH($P44,$G$3:$G$22,0),$Q44)=BE$2,$S44+$O44+9,$S44+$O44)</f>
        <v>42612030</v>
      </c>
      <c r="BF44" s="1" cm="1">
        <f t="array" ref="BF44">IF(INDEX($I$3:$L$22,MATCH($P44,$G$3:$G$22,0),$Q44)=BF$2,$S44+$O44+9,$S44+$O44)</f>
        <v>42612021</v>
      </c>
      <c r="BG44" s="1" cm="1">
        <f t="array" ref="BG44">IF(INDEX($I$3:$L$22,MATCH($P44,$G$3:$G$22,0),$Q44)=BG$2,$S44+$O44+9,$S44+$O44)</f>
        <v>42612021</v>
      </c>
      <c r="BH44" s="1" cm="1">
        <f t="array" ref="BH44">IF(INDEX($I$3:$L$22,MATCH($P44,$G$3:$G$22,0),$Q44)=BH$2,$S44+$O44+9,$S44+$O44)</f>
        <v>42612021</v>
      </c>
      <c r="BI44" s="1" cm="1">
        <f t="array" ref="BI44">IF(INDEX($I$3:$L$22,MATCH($P44,$G$3:$G$22,0),$Q44)=BI$2,$S44+$O44+9,$S44+$O44)</f>
        <v>42612021</v>
      </c>
      <c r="BJ44" s="1" cm="1">
        <f t="array" ref="BJ44">IF(INDEX($I$3:$L$22,MATCH($P44,$G$3:$G$22,0),$Q44)=BJ$2,$S44+$O44+9,$S44+$O44)</f>
        <v>42612021</v>
      </c>
      <c r="BK44" s="1" cm="1">
        <f t="array" ref="BK44">IF(INDEX($I$3:$L$22,MATCH($P44,$G$3:$G$22,0),$Q44)=BK$2,$S44+$O44+9,$S44+$O44)</f>
        <v>42612021</v>
      </c>
      <c r="BL44" s="1" cm="1">
        <f t="array" ref="BL44">IF(INDEX($I$3:$L$22,MATCH($P44,$G$3:$G$22,0),$Q44)=BL$2,$S44+$O44+9,$S44+$O44)</f>
        <v>42612021</v>
      </c>
      <c r="BM44" s="1" cm="1">
        <f t="array" ref="BM44">IF(INDEX($I$3:$L$22,MATCH($P44,$G$3:$G$22,0),$Q44)=BM$2,$S44+$O44+9,$S44+$O44)</f>
        <v>42612021</v>
      </c>
      <c r="BN44" s="1" cm="1">
        <f t="array" ref="BN44">IF(INDEX($I$3:$L$22,MATCH($P44,$G$3:$G$22,0),$Q44)=BN$2,$S44+$O44+9,$S44+$O44)</f>
        <v>42612021</v>
      </c>
      <c r="BO44" s="1" cm="1">
        <f t="array" ref="BO44">IF(INDEX($I$3:$L$22,MATCH($P44,$G$3:$G$22,0),$Q44)=BO$2,$S44+$O44+9,$S44+$O44)</f>
        <v>42612021</v>
      </c>
      <c r="BP44" s="1" cm="1">
        <f t="array" ref="BP44">IF(INDEX($I$3:$L$22,MATCH($P44,$G$3:$G$22,0),$Q44)=BP$2,$S44+$O44+9,$S44+$O44)</f>
        <v>42612021</v>
      </c>
      <c r="BQ44" s="1" cm="1">
        <f t="array" ref="BQ44">IF(INDEX($I$3:$L$22,MATCH($P44,$G$3:$G$22,0),$Q44)=BQ$2,$S44+$O44+9,$S44+$O44)</f>
        <v>42612021</v>
      </c>
      <c r="BR44" s="1" cm="1">
        <f t="array" ref="BR44">IF(INDEX($I$3:$L$22,MATCH($P44,$G$3:$G$22,0),$Q44)=BR$2,$S44+$O44+9,$S44+$O44)</f>
        <v>42612021</v>
      </c>
      <c r="BS44" s="1" cm="1">
        <f t="array" ref="BS44">IF(INDEX($I$3:$L$22,MATCH($P44,$G$3:$G$22,0),$Q44)=BS$2,$S44+$O44+9,$S44+$O44)</f>
        <v>42612021</v>
      </c>
      <c r="BT44" s="1" cm="1">
        <f t="array" ref="BT44">IF(INDEX($I$3:$L$22,MATCH($P44,$G$3:$G$22,0),$Q44)=BT$2,$S44+$O44+9,$S44+$O44)</f>
        <v>42612021</v>
      </c>
    </row>
    <row r="45" spans="1:72" x14ac:dyDescent="0.15">
      <c r="N45" s="1">
        <v>50001</v>
      </c>
      <c r="O45" s="1">
        <f t="shared" si="5"/>
        <v>21</v>
      </c>
      <c r="P45" s="1">
        <f t="shared" si="6"/>
        <v>300</v>
      </c>
      <c r="Q45" s="1">
        <f t="shared" si="7"/>
        <v>3</v>
      </c>
      <c r="R45" s="1" t="s">
        <v>16</v>
      </c>
      <c r="S45" s="1">
        <v>42713000</v>
      </c>
      <c r="T45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</v>
      </c>
      <c r="W45" s="1" cm="1">
        <f t="array" ref="W45">IF(INDEX($I$3:$L$22,MATCH($P45,$G$3:$G$22,0),$Q45)=W$2,$S45+$O45+9,$S45+$O45)</f>
        <v>42713021</v>
      </c>
      <c r="X45" s="1" cm="1">
        <f t="array" ref="X45">IF(INDEX($I$3:$L$22,MATCH($P45,$G$3:$G$22,0),$Q45)=X$2,$S45+$O45+9,$S45+$O45)</f>
        <v>42713021</v>
      </c>
      <c r="Y45" s="1" cm="1">
        <f t="array" ref="Y45">IF(INDEX($I$3:$L$22,MATCH($P45,$G$3:$G$22,0),$Q45)=Y$2,$S45+$O45+9,$S45+$O45)</f>
        <v>42713021</v>
      </c>
      <c r="Z45" s="1" cm="1">
        <f t="array" ref="Z45">IF(INDEX($I$3:$L$22,MATCH($P45,$G$3:$G$22,0),$Q45)=Z$2,$S45+$O45+9,$S45+$O45)</f>
        <v>42713021</v>
      </c>
      <c r="AA45" s="1" cm="1">
        <f t="array" ref="AA45">IF(INDEX($I$3:$L$22,MATCH($P45,$G$3:$G$22,0),$Q45)=AA$2,$S45+$O45+9,$S45+$O45)</f>
        <v>42713021</v>
      </c>
      <c r="AB45" s="1" cm="1">
        <f t="array" ref="AB45">IF(INDEX($I$3:$L$22,MATCH($P45,$G$3:$G$22,0),$Q45)=AB$2,$S45+$O45+9,$S45+$O45)</f>
        <v>42713021</v>
      </c>
      <c r="AC45" s="1" cm="1">
        <f t="array" ref="AC45">IF(INDEX($I$3:$L$22,MATCH($P45,$G$3:$G$22,0),$Q45)=AC$2,$S45+$O45+9,$S45+$O45)</f>
        <v>42713021</v>
      </c>
      <c r="AD45" s="1" cm="1">
        <f t="array" ref="AD45">IF(INDEX($I$3:$L$22,MATCH($P45,$G$3:$G$22,0),$Q45)=AD$2,$S45+$O45+9,$S45+$O45)</f>
        <v>42713021</v>
      </c>
      <c r="AE45" s="1" cm="1">
        <f t="array" ref="AE45">IF(INDEX($I$3:$L$22,MATCH($P45,$G$3:$G$22,0),$Q45)=AE$2,$S45+$O45+9,$S45+$O45)</f>
        <v>42713021</v>
      </c>
      <c r="AF45" s="1" cm="1">
        <f t="array" ref="AF45">IF(INDEX($I$3:$L$22,MATCH($P45,$G$3:$G$22,0),$Q45)=AF$2,$S45+$O45+9,$S45+$O45)</f>
        <v>42713021</v>
      </c>
      <c r="AG45" s="1" cm="1">
        <f t="array" ref="AG45">IF(INDEX($I$3:$L$22,MATCH($P45,$G$3:$G$22,0),$Q45)=AG$2,$S45+$O45+9,$S45+$O45)</f>
        <v>42713021</v>
      </c>
      <c r="AH45" s="1" cm="1">
        <f t="array" ref="AH45">IF(INDEX($I$3:$L$22,MATCH($P45,$G$3:$G$22,0),$Q45)=AH$2,$S45+$O45+9,$S45+$O45)</f>
        <v>42713021</v>
      </c>
      <c r="AI45" s="1" cm="1">
        <f t="array" ref="AI45">IF(INDEX($I$3:$L$22,MATCH($P45,$G$3:$G$22,0),$Q45)=AI$2,$S45+$O45+9,$S45+$O45)</f>
        <v>42713021</v>
      </c>
      <c r="AJ45" s="1" cm="1">
        <f t="array" ref="AJ45">IF(INDEX($I$3:$L$22,MATCH($P45,$G$3:$G$22,0),$Q45)=AJ$2,$S45+$O45+9,$S45+$O45)</f>
        <v>42713021</v>
      </c>
      <c r="AK45" s="1" cm="1">
        <f t="array" ref="AK45">IF(INDEX($I$3:$L$22,MATCH($P45,$G$3:$G$22,0),$Q45)=AK$2,$S45+$O45+9,$S45+$O45)</f>
        <v>42713021</v>
      </c>
      <c r="AL45" s="1" cm="1">
        <f t="array" ref="AL45">IF(INDEX($I$3:$L$22,MATCH($P45,$G$3:$G$22,0),$Q45)=AL$2,$S45+$O45+9,$S45+$O45)</f>
        <v>42713021</v>
      </c>
      <c r="AM45" s="1" cm="1">
        <f t="array" ref="AM45">IF(INDEX($I$3:$L$22,MATCH($P45,$G$3:$G$22,0),$Q45)=AM$2,$S45+$O45+9,$S45+$O45)</f>
        <v>42713021</v>
      </c>
      <c r="AN45" s="1" cm="1">
        <f t="array" ref="AN45">IF(INDEX($I$3:$L$22,MATCH($P45,$G$3:$G$22,0),$Q45)=AN$2,$S45+$O45+9,$S45+$O45)</f>
        <v>42713021</v>
      </c>
      <c r="AO45" s="1" cm="1">
        <f t="array" ref="AO45">IF(INDEX($I$3:$L$22,MATCH($P45,$G$3:$G$22,0),$Q45)=AO$2,$S45+$O45+9,$S45+$O45)</f>
        <v>42713021</v>
      </c>
      <c r="AP45" s="1" cm="1">
        <f t="array" ref="AP45">IF(INDEX($I$3:$L$22,MATCH($P45,$G$3:$G$22,0),$Q45)=AP$2,$S45+$O45+9,$S45+$O45)</f>
        <v>42713021</v>
      </c>
      <c r="AQ45" s="1" cm="1">
        <f t="array" ref="AQ45">IF(INDEX($I$3:$L$22,MATCH($P45,$G$3:$G$22,0),$Q45)=AQ$2,$S45+$O45+9,$S45+$O45)</f>
        <v>42713021</v>
      </c>
      <c r="AR45" s="1" cm="1">
        <f t="array" ref="AR45">IF(INDEX($I$3:$L$22,MATCH($P45,$G$3:$G$22,0),$Q45)=AR$2,$S45+$O45+9,$S45+$O45)</f>
        <v>42713021</v>
      </c>
      <c r="AS45" s="1" cm="1">
        <f t="array" ref="AS45">IF(INDEX($I$3:$L$22,MATCH($P45,$G$3:$G$22,0),$Q45)=AS$2,$S45+$O45+9,$S45+$O45)</f>
        <v>42713021</v>
      </c>
      <c r="AT45" s="1" cm="1">
        <f t="array" ref="AT45">IF(INDEX($I$3:$L$22,MATCH($P45,$G$3:$G$22,0),$Q45)=AT$2,$S45+$O45+9,$S45+$O45)</f>
        <v>42713021</v>
      </c>
      <c r="AU45" s="1" cm="1">
        <f t="array" ref="AU45">IF(INDEX($I$3:$L$22,MATCH($P45,$G$3:$G$22,0),$Q45)=AU$2,$S45+$O45+9,$S45+$O45)</f>
        <v>42713021</v>
      </c>
      <c r="AV45" s="1" cm="1">
        <f t="array" ref="AV45">IF(INDEX($I$3:$L$22,MATCH($P45,$G$3:$G$22,0),$Q45)=AV$2,$S45+$O45+9,$S45+$O45)</f>
        <v>42713021</v>
      </c>
      <c r="AW45" s="1" cm="1">
        <f t="array" ref="AW45">IF(INDEX($I$3:$L$22,MATCH($P45,$G$3:$G$22,0),$Q45)=AW$2,$S45+$O45+9,$S45+$O45)</f>
        <v>42713021</v>
      </c>
      <c r="AX45" s="1" cm="1">
        <f t="array" ref="AX45">IF(INDEX($I$3:$L$22,MATCH($P45,$G$3:$G$22,0),$Q45)=AX$2,$S45+$O45+9,$S45+$O45)</f>
        <v>42713021</v>
      </c>
      <c r="AY45" s="1" cm="1">
        <f t="array" ref="AY45">IF(INDEX($I$3:$L$22,MATCH($P45,$G$3:$G$22,0),$Q45)=AY$2,$S45+$O45+9,$S45+$O45)</f>
        <v>42713021</v>
      </c>
      <c r="AZ45" s="1" cm="1">
        <f t="array" ref="AZ45">IF(INDEX($I$3:$L$22,MATCH($P45,$G$3:$G$22,0),$Q45)=AZ$2,$S45+$O45+9,$S45+$O45)</f>
        <v>42713021</v>
      </c>
      <c r="BA45" s="1" cm="1">
        <f t="array" ref="BA45">IF(INDEX($I$3:$L$22,MATCH($P45,$G$3:$G$22,0),$Q45)=BA$2,$S45+$O45+9,$S45+$O45)</f>
        <v>42713021</v>
      </c>
      <c r="BB45" s="1" cm="1">
        <f t="array" ref="BB45">IF(INDEX($I$3:$L$22,MATCH($P45,$G$3:$G$22,0),$Q45)=BB$2,$S45+$O45+9,$S45+$O45)</f>
        <v>42713021</v>
      </c>
      <c r="BC45" s="1" cm="1">
        <f t="array" ref="BC45">IF(INDEX($I$3:$L$22,MATCH($P45,$G$3:$G$22,0),$Q45)=BC$2,$S45+$O45+9,$S45+$O45)</f>
        <v>42713021</v>
      </c>
      <c r="BD45" s="1" cm="1">
        <f t="array" ref="BD45">IF(INDEX($I$3:$L$22,MATCH($P45,$G$3:$G$22,0),$Q45)=BD$2,$S45+$O45+9,$S45+$O45)</f>
        <v>42713021</v>
      </c>
      <c r="BE45" s="1" cm="1">
        <f t="array" ref="BE45">IF(INDEX($I$3:$L$22,MATCH($P45,$G$3:$G$22,0),$Q45)=BE$2,$S45+$O45+9,$S45+$O45)</f>
        <v>42713021</v>
      </c>
      <c r="BF45" s="1" cm="1">
        <f t="array" ref="BF45">IF(INDEX($I$3:$L$22,MATCH($P45,$G$3:$G$22,0),$Q45)=BF$2,$S45+$O45+9,$S45+$O45)</f>
        <v>42713021</v>
      </c>
      <c r="BG45" s="1" cm="1">
        <f t="array" ref="BG45">IF(INDEX($I$3:$L$22,MATCH($P45,$G$3:$G$22,0),$Q45)=BG$2,$S45+$O45+9,$S45+$O45)</f>
        <v>42713021</v>
      </c>
      <c r="BH45" s="1" cm="1">
        <f t="array" ref="BH45">IF(INDEX($I$3:$L$22,MATCH($P45,$G$3:$G$22,0),$Q45)=BH$2,$S45+$O45+9,$S45+$O45)</f>
        <v>42713021</v>
      </c>
      <c r="BI45" s="1" cm="1">
        <f t="array" ref="BI45">IF(INDEX($I$3:$L$22,MATCH($P45,$G$3:$G$22,0),$Q45)=BI$2,$S45+$O45+9,$S45+$O45)</f>
        <v>42713021</v>
      </c>
      <c r="BJ45" s="1" cm="1">
        <f t="array" ref="BJ45">IF(INDEX($I$3:$L$22,MATCH($P45,$G$3:$G$22,0),$Q45)=BJ$2,$S45+$O45+9,$S45+$O45)</f>
        <v>42713030</v>
      </c>
      <c r="BK45" s="1" cm="1">
        <f t="array" ref="BK45">IF(INDEX($I$3:$L$22,MATCH($P45,$G$3:$G$22,0),$Q45)=BK$2,$S45+$O45+9,$S45+$O45)</f>
        <v>42713021</v>
      </c>
      <c r="BL45" s="1" cm="1">
        <f t="array" ref="BL45">IF(INDEX($I$3:$L$22,MATCH($P45,$G$3:$G$22,0),$Q45)=BL$2,$S45+$O45+9,$S45+$O45)</f>
        <v>42713021</v>
      </c>
      <c r="BM45" s="1" cm="1">
        <f t="array" ref="BM45">IF(INDEX($I$3:$L$22,MATCH($P45,$G$3:$G$22,0),$Q45)=BM$2,$S45+$O45+9,$S45+$O45)</f>
        <v>42713021</v>
      </c>
      <c r="BN45" s="1" cm="1">
        <f t="array" ref="BN45">IF(INDEX($I$3:$L$22,MATCH($P45,$G$3:$G$22,0),$Q45)=BN$2,$S45+$O45+9,$S45+$O45)</f>
        <v>42713021</v>
      </c>
      <c r="BO45" s="1" cm="1">
        <f t="array" ref="BO45">IF(INDEX($I$3:$L$22,MATCH($P45,$G$3:$G$22,0),$Q45)=BO$2,$S45+$O45+9,$S45+$O45)</f>
        <v>42713021</v>
      </c>
      <c r="BP45" s="1" cm="1">
        <f t="array" ref="BP45">IF(INDEX($I$3:$L$22,MATCH($P45,$G$3:$G$22,0),$Q45)=BP$2,$S45+$O45+9,$S45+$O45)</f>
        <v>42713021</v>
      </c>
      <c r="BQ45" s="1" cm="1">
        <f t="array" ref="BQ45">IF(INDEX($I$3:$L$22,MATCH($P45,$G$3:$G$22,0),$Q45)=BQ$2,$S45+$O45+9,$S45+$O45)</f>
        <v>42713021</v>
      </c>
      <c r="BR45" s="1" cm="1">
        <f t="array" ref="BR45">IF(INDEX($I$3:$L$22,MATCH($P45,$G$3:$G$22,0),$Q45)=BR$2,$S45+$O45+9,$S45+$O45)</f>
        <v>42713021</v>
      </c>
      <c r="BS45" s="1" cm="1">
        <f t="array" ref="BS45">IF(INDEX($I$3:$L$22,MATCH($P45,$G$3:$G$22,0),$Q45)=BS$2,$S45+$O45+9,$S45+$O45)</f>
        <v>42713021</v>
      </c>
      <c r="BT45" s="1" cm="1">
        <f t="array" ref="BT45">IF(INDEX($I$3:$L$22,MATCH($P45,$G$3:$G$22,0),$Q45)=BT$2,$S45+$O45+9,$S45+$O45)</f>
        <v>42713021</v>
      </c>
    </row>
    <row r="46" spans="1:72" x14ac:dyDescent="0.15">
      <c r="N46" s="1">
        <v>50001</v>
      </c>
      <c r="O46" s="1">
        <f t="shared" si="5"/>
        <v>21</v>
      </c>
      <c r="P46" s="1">
        <f t="shared" si="6"/>
        <v>300</v>
      </c>
      <c r="Q46" s="1">
        <f t="shared" si="7"/>
        <v>4</v>
      </c>
      <c r="R46" s="1" t="s">
        <v>15</v>
      </c>
      <c r="S46" s="1">
        <v>42716000</v>
      </c>
      <c r="T46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</v>
      </c>
      <c r="W46" s="1" cm="1">
        <f t="array" ref="W46">IF(INDEX($I$3:$L$22,MATCH($P46,$G$3:$G$22,0),$Q46)=W$2,$S46+$O46+9,$S46+$O46)</f>
        <v>42716021</v>
      </c>
      <c r="X46" s="1" cm="1">
        <f t="array" ref="X46">IF(INDEX($I$3:$L$22,MATCH($P46,$G$3:$G$22,0),$Q46)=X$2,$S46+$O46+9,$S46+$O46)</f>
        <v>42716021</v>
      </c>
      <c r="Y46" s="1" cm="1">
        <f t="array" ref="Y46">IF(INDEX($I$3:$L$22,MATCH($P46,$G$3:$G$22,0),$Q46)=Y$2,$S46+$O46+9,$S46+$O46)</f>
        <v>42716021</v>
      </c>
      <c r="Z46" s="1" cm="1">
        <f t="array" ref="Z46">IF(INDEX($I$3:$L$22,MATCH($P46,$G$3:$G$22,0),$Q46)=Z$2,$S46+$O46+9,$S46+$O46)</f>
        <v>42716021</v>
      </c>
      <c r="AA46" s="1" cm="1">
        <f t="array" ref="AA46">IF(INDEX($I$3:$L$22,MATCH($P46,$G$3:$G$22,0),$Q46)=AA$2,$S46+$O46+9,$S46+$O46)</f>
        <v>42716021</v>
      </c>
      <c r="AB46" s="1" cm="1">
        <f t="array" ref="AB46">IF(INDEX($I$3:$L$22,MATCH($P46,$G$3:$G$22,0),$Q46)=AB$2,$S46+$O46+9,$S46+$O46)</f>
        <v>42716021</v>
      </c>
      <c r="AC46" s="1" cm="1">
        <f t="array" ref="AC46">IF(INDEX($I$3:$L$22,MATCH($P46,$G$3:$G$22,0),$Q46)=AC$2,$S46+$O46+9,$S46+$O46)</f>
        <v>42716021</v>
      </c>
      <c r="AD46" s="1" cm="1">
        <f t="array" ref="AD46">IF(INDEX($I$3:$L$22,MATCH($P46,$G$3:$G$22,0),$Q46)=AD$2,$S46+$O46+9,$S46+$O46)</f>
        <v>42716021</v>
      </c>
      <c r="AE46" s="1" cm="1">
        <f t="array" ref="AE46">IF(INDEX($I$3:$L$22,MATCH($P46,$G$3:$G$22,0),$Q46)=AE$2,$S46+$O46+9,$S46+$O46)</f>
        <v>42716021</v>
      </c>
      <c r="AF46" s="1" cm="1">
        <f t="array" ref="AF46">IF(INDEX($I$3:$L$22,MATCH($P46,$G$3:$G$22,0),$Q46)=AF$2,$S46+$O46+9,$S46+$O46)</f>
        <v>42716021</v>
      </c>
      <c r="AG46" s="1" cm="1">
        <f t="array" ref="AG46">IF(INDEX($I$3:$L$22,MATCH($P46,$G$3:$G$22,0),$Q46)=AG$2,$S46+$O46+9,$S46+$O46)</f>
        <v>42716021</v>
      </c>
      <c r="AH46" s="1" cm="1">
        <f t="array" ref="AH46">IF(INDEX($I$3:$L$22,MATCH($P46,$G$3:$G$22,0),$Q46)=AH$2,$S46+$O46+9,$S46+$O46)</f>
        <v>42716021</v>
      </c>
      <c r="AI46" s="1" cm="1">
        <f t="array" ref="AI46">IF(INDEX($I$3:$L$22,MATCH($P46,$G$3:$G$22,0),$Q46)=AI$2,$S46+$O46+9,$S46+$O46)</f>
        <v>42716021</v>
      </c>
      <c r="AJ46" s="1" cm="1">
        <f t="array" ref="AJ46">IF(INDEX($I$3:$L$22,MATCH($P46,$G$3:$G$22,0),$Q46)=AJ$2,$S46+$O46+9,$S46+$O46)</f>
        <v>42716021</v>
      </c>
      <c r="AK46" s="1" cm="1">
        <f t="array" ref="AK46">IF(INDEX($I$3:$L$22,MATCH($P46,$G$3:$G$22,0),$Q46)=AK$2,$S46+$O46+9,$S46+$O46)</f>
        <v>42716021</v>
      </c>
      <c r="AL46" s="1" cm="1">
        <f t="array" ref="AL46">IF(INDEX($I$3:$L$22,MATCH($P46,$G$3:$G$22,0),$Q46)=AL$2,$S46+$O46+9,$S46+$O46)</f>
        <v>42716021</v>
      </c>
      <c r="AM46" s="1" cm="1">
        <f t="array" ref="AM46">IF(INDEX($I$3:$L$22,MATCH($P46,$G$3:$G$22,0),$Q46)=AM$2,$S46+$O46+9,$S46+$O46)</f>
        <v>42716021</v>
      </c>
      <c r="AN46" s="1" cm="1">
        <f t="array" ref="AN46">IF(INDEX($I$3:$L$22,MATCH($P46,$G$3:$G$22,0),$Q46)=AN$2,$S46+$O46+9,$S46+$O46)</f>
        <v>42716021</v>
      </c>
      <c r="AO46" s="1" cm="1">
        <f t="array" ref="AO46">IF(INDEX($I$3:$L$22,MATCH($P46,$G$3:$G$22,0),$Q46)=AO$2,$S46+$O46+9,$S46+$O46)</f>
        <v>42716021</v>
      </c>
      <c r="AP46" s="1" cm="1">
        <f t="array" ref="AP46">IF(INDEX($I$3:$L$22,MATCH($P46,$G$3:$G$22,0),$Q46)=AP$2,$S46+$O46+9,$S46+$O46)</f>
        <v>42716021</v>
      </c>
      <c r="AQ46" s="1" cm="1">
        <f t="array" ref="AQ46">IF(INDEX($I$3:$L$22,MATCH($P46,$G$3:$G$22,0),$Q46)=AQ$2,$S46+$O46+9,$S46+$O46)</f>
        <v>42716021</v>
      </c>
      <c r="AR46" s="1" cm="1">
        <f t="array" ref="AR46">IF(INDEX($I$3:$L$22,MATCH($P46,$G$3:$G$22,0),$Q46)=AR$2,$S46+$O46+9,$S46+$O46)</f>
        <v>42716021</v>
      </c>
      <c r="AS46" s="1" cm="1">
        <f t="array" ref="AS46">IF(INDEX($I$3:$L$22,MATCH($P46,$G$3:$G$22,0),$Q46)=AS$2,$S46+$O46+9,$S46+$O46)</f>
        <v>42716021</v>
      </c>
      <c r="AT46" s="1" cm="1">
        <f t="array" ref="AT46">IF(INDEX($I$3:$L$22,MATCH($P46,$G$3:$G$22,0),$Q46)=AT$2,$S46+$O46+9,$S46+$O46)</f>
        <v>42716021</v>
      </c>
      <c r="AU46" s="1" cm="1">
        <f t="array" ref="AU46">IF(INDEX($I$3:$L$22,MATCH($P46,$G$3:$G$22,0),$Q46)=AU$2,$S46+$O46+9,$S46+$O46)</f>
        <v>42716021</v>
      </c>
      <c r="AV46" s="1" cm="1">
        <f t="array" ref="AV46">IF(INDEX($I$3:$L$22,MATCH($P46,$G$3:$G$22,0),$Q46)=AV$2,$S46+$O46+9,$S46+$O46)</f>
        <v>42716021</v>
      </c>
      <c r="AW46" s="1" cm="1">
        <f t="array" ref="AW46">IF(INDEX($I$3:$L$22,MATCH($P46,$G$3:$G$22,0),$Q46)=AW$2,$S46+$O46+9,$S46+$O46)</f>
        <v>42716021</v>
      </c>
      <c r="AX46" s="1" cm="1">
        <f t="array" ref="AX46">IF(INDEX($I$3:$L$22,MATCH($P46,$G$3:$G$22,0),$Q46)=AX$2,$S46+$O46+9,$S46+$O46)</f>
        <v>42716021</v>
      </c>
      <c r="AY46" s="1" cm="1">
        <f t="array" ref="AY46">IF(INDEX($I$3:$L$22,MATCH($P46,$G$3:$G$22,0),$Q46)=AY$2,$S46+$O46+9,$S46+$O46)</f>
        <v>42716021</v>
      </c>
      <c r="AZ46" s="1" cm="1">
        <f t="array" ref="AZ46">IF(INDEX($I$3:$L$22,MATCH($P46,$G$3:$G$22,0),$Q46)=AZ$2,$S46+$O46+9,$S46+$O46)</f>
        <v>42716021</v>
      </c>
      <c r="BA46" s="1" cm="1">
        <f t="array" ref="BA46">IF(INDEX($I$3:$L$22,MATCH($P46,$G$3:$G$22,0),$Q46)=BA$2,$S46+$O46+9,$S46+$O46)</f>
        <v>42716021</v>
      </c>
      <c r="BB46" s="1" cm="1">
        <f t="array" ref="BB46">IF(INDEX($I$3:$L$22,MATCH($P46,$G$3:$G$22,0),$Q46)=BB$2,$S46+$O46+9,$S46+$O46)</f>
        <v>42716021</v>
      </c>
      <c r="BC46" s="1" cm="1">
        <f t="array" ref="BC46">IF(INDEX($I$3:$L$22,MATCH($P46,$G$3:$G$22,0),$Q46)=BC$2,$S46+$O46+9,$S46+$O46)</f>
        <v>42716021</v>
      </c>
      <c r="BD46" s="1" cm="1">
        <f t="array" ref="BD46">IF(INDEX($I$3:$L$22,MATCH($P46,$G$3:$G$22,0),$Q46)=BD$2,$S46+$O46+9,$S46+$O46)</f>
        <v>42716021</v>
      </c>
      <c r="BE46" s="1" cm="1">
        <f t="array" ref="BE46">IF(INDEX($I$3:$L$22,MATCH($P46,$G$3:$G$22,0),$Q46)=BE$2,$S46+$O46+9,$S46+$O46)</f>
        <v>42716021</v>
      </c>
      <c r="BF46" s="1" cm="1">
        <f t="array" ref="BF46">IF(INDEX($I$3:$L$22,MATCH($P46,$G$3:$G$22,0),$Q46)=BF$2,$S46+$O46+9,$S46+$O46)</f>
        <v>42716021</v>
      </c>
      <c r="BG46" s="1" cm="1">
        <f t="array" ref="BG46">IF(INDEX($I$3:$L$22,MATCH($P46,$G$3:$G$22,0),$Q46)=BG$2,$S46+$O46+9,$S46+$O46)</f>
        <v>42716021</v>
      </c>
      <c r="BH46" s="1" cm="1">
        <f t="array" ref="BH46">IF(INDEX($I$3:$L$22,MATCH($P46,$G$3:$G$22,0),$Q46)=BH$2,$S46+$O46+9,$S46+$O46)</f>
        <v>42716021</v>
      </c>
      <c r="BI46" s="1" cm="1">
        <f t="array" ref="BI46">IF(INDEX($I$3:$L$22,MATCH($P46,$G$3:$G$22,0),$Q46)=BI$2,$S46+$O46+9,$S46+$O46)</f>
        <v>42716021</v>
      </c>
      <c r="BJ46" s="1" cm="1">
        <f t="array" ref="BJ46">IF(INDEX($I$3:$L$22,MATCH($P46,$G$3:$G$22,0),$Q46)=BJ$2,$S46+$O46+9,$S46+$O46)</f>
        <v>42716021</v>
      </c>
      <c r="BK46" s="1" cm="1">
        <f t="array" ref="BK46">IF(INDEX($I$3:$L$22,MATCH($P46,$G$3:$G$22,0),$Q46)=BK$2,$S46+$O46+9,$S46+$O46)</f>
        <v>42716021</v>
      </c>
      <c r="BL46" s="1" cm="1">
        <f t="array" ref="BL46">IF(INDEX($I$3:$L$22,MATCH($P46,$G$3:$G$22,0),$Q46)=BL$2,$S46+$O46+9,$S46+$O46)</f>
        <v>42716021</v>
      </c>
      <c r="BM46" s="1" cm="1">
        <f t="array" ref="BM46">IF(INDEX($I$3:$L$22,MATCH($P46,$G$3:$G$22,0),$Q46)=BM$2,$S46+$O46+9,$S46+$O46)</f>
        <v>42716021</v>
      </c>
      <c r="BN46" s="1" cm="1">
        <f t="array" ref="BN46">IF(INDEX($I$3:$L$22,MATCH($P46,$G$3:$G$22,0),$Q46)=BN$2,$S46+$O46+9,$S46+$O46)</f>
        <v>42716021</v>
      </c>
      <c r="BO46" s="1" cm="1">
        <f t="array" ref="BO46">IF(INDEX($I$3:$L$22,MATCH($P46,$G$3:$G$22,0),$Q46)=BO$2,$S46+$O46+9,$S46+$O46)</f>
        <v>42716021</v>
      </c>
      <c r="BP46" s="1" cm="1">
        <f t="array" ref="BP46">IF(INDEX($I$3:$L$22,MATCH($P46,$G$3:$G$22,0),$Q46)=BP$2,$S46+$O46+9,$S46+$O46)</f>
        <v>42716021</v>
      </c>
      <c r="BQ46" s="1" cm="1">
        <f t="array" ref="BQ46">IF(INDEX($I$3:$L$22,MATCH($P46,$G$3:$G$22,0),$Q46)=BQ$2,$S46+$O46+9,$S46+$O46)</f>
        <v>42716021</v>
      </c>
      <c r="BR46" s="1" cm="1">
        <f t="array" ref="BR46">IF(INDEX($I$3:$L$22,MATCH($P46,$G$3:$G$22,0),$Q46)=BR$2,$S46+$O46+9,$S46+$O46)</f>
        <v>42716030</v>
      </c>
      <c r="BS46" s="1" cm="1">
        <f t="array" ref="BS46">IF(INDEX($I$3:$L$22,MATCH($P46,$G$3:$G$22,0),$Q46)=BS$2,$S46+$O46+9,$S46+$O46)</f>
        <v>42716021</v>
      </c>
      <c r="BT46" s="1" cm="1">
        <f t="array" ref="BT46">IF(INDEX($I$3:$L$22,MATCH($P46,$G$3:$G$22,0),$Q46)=BT$2,$S46+$O46+9,$S46+$O46)</f>
        <v>42716021</v>
      </c>
    </row>
    <row r="47" spans="1:72" x14ac:dyDescent="0.15">
      <c r="N47" s="1">
        <v>50001</v>
      </c>
      <c r="O47" s="1">
        <f t="shared" si="5"/>
        <v>21</v>
      </c>
      <c r="P47" s="1">
        <f t="shared" si="6"/>
        <v>301</v>
      </c>
      <c r="Q47" s="1">
        <f t="shared" si="7"/>
        <v>1</v>
      </c>
      <c r="R47" s="1" t="s">
        <v>18</v>
      </c>
      <c r="S47" s="1">
        <v>42711000</v>
      </c>
      <c r="T47" s="1" t="str">
        <f t="shared" si="8"/>
        <v>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,42711021,42711021,42711021,42711021,42711021,42711021,42711021,42711021,42711021,42711021</v>
      </c>
      <c r="W47" s="1" cm="1">
        <f t="array" ref="W47">IF(INDEX($I$3:$L$22,MATCH($P47,$G$3:$G$22,0),$Q47)=W$2,$S47+$O47+9,$S47+$O47)</f>
        <v>42711021</v>
      </c>
      <c r="X47" s="1" cm="1">
        <f t="array" ref="X47">IF(INDEX($I$3:$L$22,MATCH($P47,$G$3:$G$22,0),$Q47)=X$2,$S47+$O47+9,$S47+$O47)</f>
        <v>42711021</v>
      </c>
      <c r="Y47" s="1" cm="1">
        <f t="array" ref="Y47">IF(INDEX($I$3:$L$22,MATCH($P47,$G$3:$G$22,0),$Q47)=Y$2,$S47+$O47+9,$S47+$O47)</f>
        <v>42711021</v>
      </c>
      <c r="Z47" s="1" cm="1">
        <f t="array" ref="Z47">IF(INDEX($I$3:$L$22,MATCH($P47,$G$3:$G$22,0),$Q47)=Z$2,$S47+$O47+9,$S47+$O47)</f>
        <v>42711021</v>
      </c>
      <c r="AA47" s="1" cm="1">
        <f t="array" ref="AA47">IF(INDEX($I$3:$L$22,MATCH($P47,$G$3:$G$22,0),$Q47)=AA$2,$S47+$O47+9,$S47+$O47)</f>
        <v>42711021</v>
      </c>
      <c r="AB47" s="1" cm="1">
        <f t="array" ref="AB47">IF(INDEX($I$3:$L$22,MATCH($P47,$G$3:$G$22,0),$Q47)=AB$2,$S47+$O47+9,$S47+$O47)</f>
        <v>42711021</v>
      </c>
      <c r="AC47" s="1" cm="1">
        <f t="array" ref="AC47">IF(INDEX($I$3:$L$22,MATCH($P47,$G$3:$G$22,0),$Q47)=AC$2,$S47+$O47+9,$S47+$O47)</f>
        <v>42711021</v>
      </c>
      <c r="AD47" s="1" cm="1">
        <f t="array" ref="AD47">IF(INDEX($I$3:$L$22,MATCH($P47,$G$3:$G$22,0),$Q47)=AD$2,$S47+$O47+9,$S47+$O47)</f>
        <v>42711021</v>
      </c>
      <c r="AE47" s="1" cm="1">
        <f t="array" ref="AE47">IF(INDEX($I$3:$L$22,MATCH($P47,$G$3:$G$22,0),$Q47)=AE$2,$S47+$O47+9,$S47+$O47)</f>
        <v>42711021</v>
      </c>
      <c r="AF47" s="1" cm="1">
        <f t="array" ref="AF47">IF(INDEX($I$3:$L$22,MATCH($P47,$G$3:$G$22,0),$Q47)=AF$2,$S47+$O47+9,$S47+$O47)</f>
        <v>42711021</v>
      </c>
      <c r="AG47" s="1" cm="1">
        <f t="array" ref="AG47">IF(INDEX($I$3:$L$22,MATCH($P47,$G$3:$G$22,0),$Q47)=AG$2,$S47+$O47+9,$S47+$O47)</f>
        <v>42711021</v>
      </c>
      <c r="AH47" s="1" cm="1">
        <f t="array" ref="AH47">IF(INDEX($I$3:$L$22,MATCH($P47,$G$3:$G$22,0),$Q47)=AH$2,$S47+$O47+9,$S47+$O47)</f>
        <v>42711021</v>
      </c>
      <c r="AI47" s="1" cm="1">
        <f t="array" ref="AI47">IF(INDEX($I$3:$L$22,MATCH($P47,$G$3:$G$22,0),$Q47)=AI$2,$S47+$O47+9,$S47+$O47)</f>
        <v>42711021</v>
      </c>
      <c r="AJ47" s="1" cm="1">
        <f t="array" ref="AJ47">IF(INDEX($I$3:$L$22,MATCH($P47,$G$3:$G$22,0),$Q47)=AJ$2,$S47+$O47+9,$S47+$O47)</f>
        <v>42711021</v>
      </c>
      <c r="AK47" s="1" cm="1">
        <f t="array" ref="AK47">IF(INDEX($I$3:$L$22,MATCH($P47,$G$3:$G$22,0),$Q47)=AK$2,$S47+$O47+9,$S47+$O47)</f>
        <v>42711021</v>
      </c>
      <c r="AL47" s="1" cm="1">
        <f t="array" ref="AL47">IF(INDEX($I$3:$L$22,MATCH($P47,$G$3:$G$22,0),$Q47)=AL$2,$S47+$O47+9,$S47+$O47)</f>
        <v>42711021</v>
      </c>
      <c r="AM47" s="1" cm="1">
        <f t="array" ref="AM47">IF(INDEX($I$3:$L$22,MATCH($P47,$G$3:$G$22,0),$Q47)=AM$2,$S47+$O47+9,$S47+$O47)</f>
        <v>42711021</v>
      </c>
      <c r="AN47" s="1" cm="1">
        <f t="array" ref="AN47">IF(INDEX($I$3:$L$22,MATCH($P47,$G$3:$G$22,0),$Q47)=AN$2,$S47+$O47+9,$S47+$O47)</f>
        <v>42711021</v>
      </c>
      <c r="AO47" s="1" cm="1">
        <f t="array" ref="AO47">IF(INDEX($I$3:$L$22,MATCH($P47,$G$3:$G$22,0),$Q47)=AO$2,$S47+$O47+9,$S47+$O47)</f>
        <v>42711021</v>
      </c>
      <c r="AP47" s="1" cm="1">
        <f t="array" ref="AP47">IF(INDEX($I$3:$L$22,MATCH($P47,$G$3:$G$22,0),$Q47)=AP$2,$S47+$O47+9,$S47+$O47)</f>
        <v>42711021</v>
      </c>
      <c r="AQ47" s="1" cm="1">
        <f t="array" ref="AQ47">IF(INDEX($I$3:$L$22,MATCH($P47,$G$3:$G$22,0),$Q47)=AQ$2,$S47+$O47+9,$S47+$O47)</f>
        <v>42711030</v>
      </c>
      <c r="AR47" s="1" cm="1">
        <f t="array" ref="AR47">IF(INDEX($I$3:$L$22,MATCH($P47,$G$3:$G$22,0),$Q47)=AR$2,$S47+$O47+9,$S47+$O47)</f>
        <v>42711021</v>
      </c>
      <c r="AS47" s="1" cm="1">
        <f t="array" ref="AS47">IF(INDEX($I$3:$L$22,MATCH($P47,$G$3:$G$22,0),$Q47)=AS$2,$S47+$O47+9,$S47+$O47)</f>
        <v>42711021</v>
      </c>
      <c r="AT47" s="1" cm="1">
        <f t="array" ref="AT47">IF(INDEX($I$3:$L$22,MATCH($P47,$G$3:$G$22,0),$Q47)=AT$2,$S47+$O47+9,$S47+$O47)</f>
        <v>42711021</v>
      </c>
      <c r="AU47" s="1" cm="1">
        <f t="array" ref="AU47">IF(INDEX($I$3:$L$22,MATCH($P47,$G$3:$G$22,0),$Q47)=AU$2,$S47+$O47+9,$S47+$O47)</f>
        <v>42711021</v>
      </c>
      <c r="AV47" s="1" cm="1">
        <f t="array" ref="AV47">IF(INDEX($I$3:$L$22,MATCH($P47,$G$3:$G$22,0),$Q47)=AV$2,$S47+$O47+9,$S47+$O47)</f>
        <v>42711021</v>
      </c>
      <c r="AW47" s="1" cm="1">
        <f t="array" ref="AW47">IF(INDEX($I$3:$L$22,MATCH($P47,$G$3:$G$22,0),$Q47)=AW$2,$S47+$O47+9,$S47+$O47)</f>
        <v>42711021</v>
      </c>
      <c r="AX47" s="1" cm="1">
        <f t="array" ref="AX47">IF(INDEX($I$3:$L$22,MATCH($P47,$G$3:$G$22,0),$Q47)=AX$2,$S47+$O47+9,$S47+$O47)</f>
        <v>42711021</v>
      </c>
      <c r="AY47" s="1" cm="1">
        <f t="array" ref="AY47">IF(INDEX($I$3:$L$22,MATCH($P47,$G$3:$G$22,0),$Q47)=AY$2,$S47+$O47+9,$S47+$O47)</f>
        <v>42711021</v>
      </c>
      <c r="AZ47" s="1" cm="1">
        <f t="array" ref="AZ47">IF(INDEX($I$3:$L$22,MATCH($P47,$G$3:$G$22,0),$Q47)=AZ$2,$S47+$O47+9,$S47+$O47)</f>
        <v>42711021</v>
      </c>
      <c r="BA47" s="1" cm="1">
        <f t="array" ref="BA47">IF(INDEX($I$3:$L$22,MATCH($P47,$G$3:$G$22,0),$Q47)=BA$2,$S47+$O47+9,$S47+$O47)</f>
        <v>42711021</v>
      </c>
      <c r="BB47" s="1" cm="1">
        <f t="array" ref="BB47">IF(INDEX($I$3:$L$22,MATCH($P47,$G$3:$G$22,0),$Q47)=BB$2,$S47+$O47+9,$S47+$O47)</f>
        <v>42711021</v>
      </c>
      <c r="BC47" s="1" cm="1">
        <f t="array" ref="BC47">IF(INDEX($I$3:$L$22,MATCH($P47,$G$3:$G$22,0),$Q47)=BC$2,$S47+$O47+9,$S47+$O47)</f>
        <v>42711021</v>
      </c>
      <c r="BD47" s="1" cm="1">
        <f t="array" ref="BD47">IF(INDEX($I$3:$L$22,MATCH($P47,$G$3:$G$22,0),$Q47)=BD$2,$S47+$O47+9,$S47+$O47)</f>
        <v>42711021</v>
      </c>
      <c r="BE47" s="1" cm="1">
        <f t="array" ref="BE47">IF(INDEX($I$3:$L$22,MATCH($P47,$G$3:$G$22,0),$Q47)=BE$2,$S47+$O47+9,$S47+$O47)</f>
        <v>42711021</v>
      </c>
      <c r="BF47" s="1" cm="1">
        <f t="array" ref="BF47">IF(INDEX($I$3:$L$22,MATCH($P47,$G$3:$G$22,0),$Q47)=BF$2,$S47+$O47+9,$S47+$O47)</f>
        <v>42711021</v>
      </c>
      <c r="BG47" s="1" cm="1">
        <f t="array" ref="BG47">IF(INDEX($I$3:$L$22,MATCH($P47,$G$3:$G$22,0),$Q47)=BG$2,$S47+$O47+9,$S47+$O47)</f>
        <v>42711021</v>
      </c>
      <c r="BH47" s="1" cm="1">
        <f t="array" ref="BH47">IF(INDEX($I$3:$L$22,MATCH($P47,$G$3:$G$22,0),$Q47)=BH$2,$S47+$O47+9,$S47+$O47)</f>
        <v>42711021</v>
      </c>
      <c r="BI47" s="1" cm="1">
        <f t="array" ref="BI47">IF(INDEX($I$3:$L$22,MATCH($P47,$G$3:$G$22,0),$Q47)=BI$2,$S47+$O47+9,$S47+$O47)</f>
        <v>42711021</v>
      </c>
      <c r="BJ47" s="1" cm="1">
        <f t="array" ref="BJ47">IF(INDEX($I$3:$L$22,MATCH($P47,$G$3:$G$22,0),$Q47)=BJ$2,$S47+$O47+9,$S47+$O47)</f>
        <v>42711021</v>
      </c>
      <c r="BK47" s="1" cm="1">
        <f t="array" ref="BK47">IF(INDEX($I$3:$L$22,MATCH($P47,$G$3:$G$22,0),$Q47)=BK$2,$S47+$O47+9,$S47+$O47)</f>
        <v>42711021</v>
      </c>
      <c r="BL47" s="1" cm="1">
        <f t="array" ref="BL47">IF(INDEX($I$3:$L$22,MATCH($P47,$G$3:$G$22,0),$Q47)=BL$2,$S47+$O47+9,$S47+$O47)</f>
        <v>42711021</v>
      </c>
      <c r="BM47" s="1" cm="1">
        <f t="array" ref="BM47">IF(INDEX($I$3:$L$22,MATCH($P47,$G$3:$G$22,0),$Q47)=BM$2,$S47+$O47+9,$S47+$O47)</f>
        <v>42711021</v>
      </c>
      <c r="BN47" s="1" cm="1">
        <f t="array" ref="BN47">IF(INDEX($I$3:$L$22,MATCH($P47,$G$3:$G$22,0),$Q47)=BN$2,$S47+$O47+9,$S47+$O47)</f>
        <v>42711021</v>
      </c>
      <c r="BO47" s="1" cm="1">
        <f t="array" ref="BO47">IF(INDEX($I$3:$L$22,MATCH($P47,$G$3:$G$22,0),$Q47)=BO$2,$S47+$O47+9,$S47+$O47)</f>
        <v>42711021</v>
      </c>
      <c r="BP47" s="1" cm="1">
        <f t="array" ref="BP47">IF(INDEX($I$3:$L$22,MATCH($P47,$G$3:$G$22,0),$Q47)=BP$2,$S47+$O47+9,$S47+$O47)</f>
        <v>42711021</v>
      </c>
      <c r="BQ47" s="1" cm="1">
        <f t="array" ref="BQ47">IF(INDEX($I$3:$L$22,MATCH($P47,$G$3:$G$22,0),$Q47)=BQ$2,$S47+$O47+9,$S47+$O47)</f>
        <v>42711021</v>
      </c>
      <c r="BR47" s="1" cm="1">
        <f t="array" ref="BR47">IF(INDEX($I$3:$L$22,MATCH($P47,$G$3:$G$22,0),$Q47)=BR$2,$S47+$O47+9,$S47+$O47)</f>
        <v>42711021</v>
      </c>
      <c r="BS47" s="1" cm="1">
        <f t="array" ref="BS47">IF(INDEX($I$3:$L$22,MATCH($P47,$G$3:$G$22,0),$Q47)=BS$2,$S47+$O47+9,$S47+$O47)</f>
        <v>42711021</v>
      </c>
      <c r="BT47" s="1" cm="1">
        <f t="array" ref="BT47">IF(INDEX($I$3:$L$22,MATCH($P47,$G$3:$G$22,0),$Q47)=BT$2,$S47+$O47+9,$S47+$O47)</f>
        <v>42711021</v>
      </c>
    </row>
    <row r="48" spans="1:72" x14ac:dyDescent="0.15">
      <c r="N48" s="1">
        <v>50001</v>
      </c>
      <c r="O48" s="1">
        <f t="shared" si="5"/>
        <v>21</v>
      </c>
      <c r="P48" s="1">
        <f t="shared" si="6"/>
        <v>301</v>
      </c>
      <c r="Q48" s="1">
        <f t="shared" si="7"/>
        <v>2</v>
      </c>
      <c r="R48" s="1" t="s">
        <v>17</v>
      </c>
      <c r="S48" s="1">
        <v>42612000</v>
      </c>
      <c r="T48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</v>
      </c>
      <c r="W48" s="1" cm="1">
        <f t="array" ref="W48">IF(INDEX($I$3:$L$22,MATCH($P48,$G$3:$G$22,0),$Q48)=W$2,$S48+$O48+9,$S48+$O48)</f>
        <v>42612021</v>
      </c>
      <c r="X48" s="1" cm="1">
        <f t="array" ref="X48">IF(INDEX($I$3:$L$22,MATCH($P48,$G$3:$G$22,0),$Q48)=X$2,$S48+$O48+9,$S48+$O48)</f>
        <v>42612021</v>
      </c>
      <c r="Y48" s="1" cm="1">
        <f t="array" ref="Y48">IF(INDEX($I$3:$L$22,MATCH($P48,$G$3:$G$22,0),$Q48)=Y$2,$S48+$O48+9,$S48+$O48)</f>
        <v>42612021</v>
      </c>
      <c r="Z48" s="1" cm="1">
        <f t="array" ref="Z48">IF(INDEX($I$3:$L$22,MATCH($P48,$G$3:$G$22,0),$Q48)=Z$2,$S48+$O48+9,$S48+$O48)</f>
        <v>42612021</v>
      </c>
      <c r="AA48" s="1" cm="1">
        <f t="array" ref="AA48">IF(INDEX($I$3:$L$22,MATCH($P48,$G$3:$G$22,0),$Q48)=AA$2,$S48+$O48+9,$S48+$O48)</f>
        <v>42612021</v>
      </c>
      <c r="AB48" s="1" cm="1">
        <f t="array" ref="AB48">IF(INDEX($I$3:$L$22,MATCH($P48,$G$3:$G$22,0),$Q48)=AB$2,$S48+$O48+9,$S48+$O48)</f>
        <v>42612021</v>
      </c>
      <c r="AC48" s="1" cm="1">
        <f t="array" ref="AC48">IF(INDEX($I$3:$L$22,MATCH($P48,$G$3:$G$22,0),$Q48)=AC$2,$S48+$O48+9,$S48+$O48)</f>
        <v>42612021</v>
      </c>
      <c r="AD48" s="1" cm="1">
        <f t="array" ref="AD48">IF(INDEX($I$3:$L$22,MATCH($P48,$G$3:$G$22,0),$Q48)=AD$2,$S48+$O48+9,$S48+$O48)</f>
        <v>42612021</v>
      </c>
      <c r="AE48" s="1" cm="1">
        <f t="array" ref="AE48">IF(INDEX($I$3:$L$22,MATCH($P48,$G$3:$G$22,0),$Q48)=AE$2,$S48+$O48+9,$S48+$O48)</f>
        <v>42612021</v>
      </c>
      <c r="AF48" s="1" cm="1">
        <f t="array" ref="AF48">IF(INDEX($I$3:$L$22,MATCH($P48,$G$3:$G$22,0),$Q48)=AF$2,$S48+$O48+9,$S48+$O48)</f>
        <v>42612021</v>
      </c>
      <c r="AG48" s="1" cm="1">
        <f t="array" ref="AG48">IF(INDEX($I$3:$L$22,MATCH($P48,$G$3:$G$22,0),$Q48)=AG$2,$S48+$O48+9,$S48+$O48)</f>
        <v>42612021</v>
      </c>
      <c r="AH48" s="1" cm="1">
        <f t="array" ref="AH48">IF(INDEX($I$3:$L$22,MATCH($P48,$G$3:$G$22,0),$Q48)=AH$2,$S48+$O48+9,$S48+$O48)</f>
        <v>42612021</v>
      </c>
      <c r="AI48" s="1" cm="1">
        <f t="array" ref="AI48">IF(INDEX($I$3:$L$22,MATCH($P48,$G$3:$G$22,0),$Q48)=AI$2,$S48+$O48+9,$S48+$O48)</f>
        <v>42612021</v>
      </c>
      <c r="AJ48" s="1" cm="1">
        <f t="array" ref="AJ48">IF(INDEX($I$3:$L$22,MATCH($P48,$G$3:$G$22,0),$Q48)=AJ$2,$S48+$O48+9,$S48+$O48)</f>
        <v>42612021</v>
      </c>
      <c r="AK48" s="1" cm="1">
        <f t="array" ref="AK48">IF(INDEX($I$3:$L$22,MATCH($P48,$G$3:$G$22,0),$Q48)=AK$2,$S48+$O48+9,$S48+$O48)</f>
        <v>42612021</v>
      </c>
      <c r="AL48" s="1" cm="1">
        <f t="array" ref="AL48">IF(INDEX($I$3:$L$22,MATCH($P48,$G$3:$G$22,0),$Q48)=AL$2,$S48+$O48+9,$S48+$O48)</f>
        <v>42612021</v>
      </c>
      <c r="AM48" s="1" cm="1">
        <f t="array" ref="AM48">IF(INDEX($I$3:$L$22,MATCH($P48,$G$3:$G$22,0),$Q48)=AM$2,$S48+$O48+9,$S48+$O48)</f>
        <v>42612021</v>
      </c>
      <c r="AN48" s="1" cm="1">
        <f t="array" ref="AN48">IF(INDEX($I$3:$L$22,MATCH($P48,$G$3:$G$22,0),$Q48)=AN$2,$S48+$O48+9,$S48+$O48)</f>
        <v>42612021</v>
      </c>
      <c r="AO48" s="1" cm="1">
        <f t="array" ref="AO48">IF(INDEX($I$3:$L$22,MATCH($P48,$G$3:$G$22,0),$Q48)=AO$2,$S48+$O48+9,$S48+$O48)</f>
        <v>42612021</v>
      </c>
      <c r="AP48" s="1" cm="1">
        <f t="array" ref="AP48">IF(INDEX($I$3:$L$22,MATCH($P48,$G$3:$G$22,0),$Q48)=AP$2,$S48+$O48+9,$S48+$O48)</f>
        <v>42612021</v>
      </c>
      <c r="AQ48" s="1" cm="1">
        <f t="array" ref="AQ48">IF(INDEX($I$3:$L$22,MATCH($P48,$G$3:$G$22,0),$Q48)=AQ$2,$S48+$O48+9,$S48+$O48)</f>
        <v>42612021</v>
      </c>
      <c r="AR48" s="1" cm="1">
        <f t="array" ref="AR48">IF(INDEX($I$3:$L$22,MATCH($P48,$G$3:$G$22,0),$Q48)=AR$2,$S48+$O48+9,$S48+$O48)</f>
        <v>42612021</v>
      </c>
      <c r="AS48" s="1" cm="1">
        <f t="array" ref="AS48">IF(INDEX($I$3:$L$22,MATCH($P48,$G$3:$G$22,0),$Q48)=AS$2,$S48+$O48+9,$S48+$O48)</f>
        <v>42612021</v>
      </c>
      <c r="AT48" s="1" cm="1">
        <f t="array" ref="AT48">IF(INDEX($I$3:$L$22,MATCH($P48,$G$3:$G$22,0),$Q48)=AT$2,$S48+$O48+9,$S48+$O48)</f>
        <v>42612021</v>
      </c>
      <c r="AU48" s="1" cm="1">
        <f t="array" ref="AU48">IF(INDEX($I$3:$L$22,MATCH($P48,$G$3:$G$22,0),$Q48)=AU$2,$S48+$O48+9,$S48+$O48)</f>
        <v>42612021</v>
      </c>
      <c r="AV48" s="1" cm="1">
        <f t="array" ref="AV48">IF(INDEX($I$3:$L$22,MATCH($P48,$G$3:$G$22,0),$Q48)=AV$2,$S48+$O48+9,$S48+$O48)</f>
        <v>42612021</v>
      </c>
      <c r="AW48" s="1" cm="1">
        <f t="array" ref="AW48">IF(INDEX($I$3:$L$22,MATCH($P48,$G$3:$G$22,0),$Q48)=AW$2,$S48+$O48+9,$S48+$O48)</f>
        <v>42612021</v>
      </c>
      <c r="AX48" s="1" cm="1">
        <f t="array" ref="AX48">IF(INDEX($I$3:$L$22,MATCH($P48,$G$3:$G$22,0),$Q48)=AX$2,$S48+$O48+9,$S48+$O48)</f>
        <v>42612021</v>
      </c>
      <c r="AY48" s="1" cm="1">
        <f t="array" ref="AY48">IF(INDEX($I$3:$L$22,MATCH($P48,$G$3:$G$22,0),$Q48)=AY$2,$S48+$O48+9,$S48+$O48)</f>
        <v>42612021</v>
      </c>
      <c r="AZ48" s="1" cm="1">
        <f t="array" ref="AZ48">IF(INDEX($I$3:$L$22,MATCH($P48,$G$3:$G$22,0),$Q48)=AZ$2,$S48+$O48+9,$S48+$O48)</f>
        <v>42612021</v>
      </c>
      <c r="BA48" s="1" cm="1">
        <f t="array" ref="BA48">IF(INDEX($I$3:$L$22,MATCH($P48,$G$3:$G$22,0),$Q48)=BA$2,$S48+$O48+9,$S48+$O48)</f>
        <v>42612030</v>
      </c>
      <c r="BB48" s="1" cm="1">
        <f t="array" ref="BB48">IF(INDEX($I$3:$L$22,MATCH($P48,$G$3:$G$22,0),$Q48)=BB$2,$S48+$O48+9,$S48+$O48)</f>
        <v>42612021</v>
      </c>
      <c r="BC48" s="1" cm="1">
        <f t="array" ref="BC48">IF(INDEX($I$3:$L$22,MATCH($P48,$G$3:$G$22,0),$Q48)=BC$2,$S48+$O48+9,$S48+$O48)</f>
        <v>42612021</v>
      </c>
      <c r="BD48" s="1" cm="1">
        <f t="array" ref="BD48">IF(INDEX($I$3:$L$22,MATCH($P48,$G$3:$G$22,0),$Q48)=BD$2,$S48+$O48+9,$S48+$O48)</f>
        <v>42612021</v>
      </c>
      <c r="BE48" s="1" cm="1">
        <f t="array" ref="BE48">IF(INDEX($I$3:$L$22,MATCH($P48,$G$3:$G$22,0),$Q48)=BE$2,$S48+$O48+9,$S48+$O48)</f>
        <v>42612021</v>
      </c>
      <c r="BF48" s="1" cm="1">
        <f t="array" ref="BF48">IF(INDEX($I$3:$L$22,MATCH($P48,$G$3:$G$22,0),$Q48)=BF$2,$S48+$O48+9,$S48+$O48)</f>
        <v>42612021</v>
      </c>
      <c r="BG48" s="1" cm="1">
        <f t="array" ref="BG48">IF(INDEX($I$3:$L$22,MATCH($P48,$G$3:$G$22,0),$Q48)=BG$2,$S48+$O48+9,$S48+$O48)</f>
        <v>42612021</v>
      </c>
      <c r="BH48" s="1" cm="1">
        <f t="array" ref="BH48">IF(INDEX($I$3:$L$22,MATCH($P48,$G$3:$G$22,0),$Q48)=BH$2,$S48+$O48+9,$S48+$O48)</f>
        <v>42612021</v>
      </c>
      <c r="BI48" s="1" cm="1">
        <f t="array" ref="BI48">IF(INDEX($I$3:$L$22,MATCH($P48,$G$3:$G$22,0),$Q48)=BI$2,$S48+$O48+9,$S48+$O48)</f>
        <v>42612021</v>
      </c>
      <c r="BJ48" s="1" cm="1">
        <f t="array" ref="BJ48">IF(INDEX($I$3:$L$22,MATCH($P48,$G$3:$G$22,0),$Q48)=BJ$2,$S48+$O48+9,$S48+$O48)</f>
        <v>42612021</v>
      </c>
      <c r="BK48" s="1" cm="1">
        <f t="array" ref="BK48">IF(INDEX($I$3:$L$22,MATCH($P48,$G$3:$G$22,0),$Q48)=BK$2,$S48+$O48+9,$S48+$O48)</f>
        <v>42612021</v>
      </c>
      <c r="BL48" s="1" cm="1">
        <f t="array" ref="BL48">IF(INDEX($I$3:$L$22,MATCH($P48,$G$3:$G$22,0),$Q48)=BL$2,$S48+$O48+9,$S48+$O48)</f>
        <v>42612021</v>
      </c>
      <c r="BM48" s="1" cm="1">
        <f t="array" ref="BM48">IF(INDEX($I$3:$L$22,MATCH($P48,$G$3:$G$22,0),$Q48)=BM$2,$S48+$O48+9,$S48+$O48)</f>
        <v>42612021</v>
      </c>
      <c r="BN48" s="1" cm="1">
        <f t="array" ref="BN48">IF(INDEX($I$3:$L$22,MATCH($P48,$G$3:$G$22,0),$Q48)=BN$2,$S48+$O48+9,$S48+$O48)</f>
        <v>42612021</v>
      </c>
      <c r="BO48" s="1" cm="1">
        <f t="array" ref="BO48">IF(INDEX($I$3:$L$22,MATCH($P48,$G$3:$G$22,0),$Q48)=BO$2,$S48+$O48+9,$S48+$O48)</f>
        <v>42612021</v>
      </c>
      <c r="BP48" s="1" cm="1">
        <f t="array" ref="BP48">IF(INDEX($I$3:$L$22,MATCH($P48,$G$3:$G$22,0),$Q48)=BP$2,$S48+$O48+9,$S48+$O48)</f>
        <v>42612021</v>
      </c>
      <c r="BQ48" s="1" cm="1">
        <f t="array" ref="BQ48">IF(INDEX($I$3:$L$22,MATCH($P48,$G$3:$G$22,0),$Q48)=BQ$2,$S48+$O48+9,$S48+$O48)</f>
        <v>42612021</v>
      </c>
      <c r="BR48" s="1" cm="1">
        <f t="array" ref="BR48">IF(INDEX($I$3:$L$22,MATCH($P48,$G$3:$G$22,0),$Q48)=BR$2,$S48+$O48+9,$S48+$O48)</f>
        <v>42612021</v>
      </c>
      <c r="BS48" s="1" cm="1">
        <f t="array" ref="BS48">IF(INDEX($I$3:$L$22,MATCH($P48,$G$3:$G$22,0),$Q48)=BS$2,$S48+$O48+9,$S48+$O48)</f>
        <v>42612021</v>
      </c>
      <c r="BT48" s="1" cm="1">
        <f t="array" ref="BT48">IF(INDEX($I$3:$L$22,MATCH($P48,$G$3:$G$22,0),$Q48)=BT$2,$S48+$O48+9,$S48+$O48)</f>
        <v>42612021</v>
      </c>
    </row>
    <row r="49" spans="14:72" x14ac:dyDescent="0.15">
      <c r="N49" s="1">
        <v>50001</v>
      </c>
      <c r="O49" s="1">
        <f t="shared" si="5"/>
        <v>21</v>
      </c>
      <c r="P49" s="1">
        <f t="shared" si="6"/>
        <v>301</v>
      </c>
      <c r="Q49" s="1">
        <f t="shared" si="7"/>
        <v>3</v>
      </c>
      <c r="R49" s="1" t="s">
        <v>16</v>
      </c>
      <c r="S49" s="1">
        <v>42713000</v>
      </c>
      <c r="T49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49" s="1" cm="1">
        <f t="array" ref="W49">IF(INDEX($I$3:$L$22,MATCH($P49,$G$3:$G$22,0),$Q49)=W$2,$S49+$O49+9,$S49+$O49)</f>
        <v>42713021</v>
      </c>
      <c r="X49" s="1" cm="1">
        <f t="array" ref="X49">IF(INDEX($I$3:$L$22,MATCH($P49,$G$3:$G$22,0),$Q49)=X$2,$S49+$O49+9,$S49+$O49)</f>
        <v>42713021</v>
      </c>
      <c r="Y49" s="1" cm="1">
        <f t="array" ref="Y49">IF(INDEX($I$3:$L$22,MATCH($P49,$G$3:$G$22,0),$Q49)=Y$2,$S49+$O49+9,$S49+$O49)</f>
        <v>42713021</v>
      </c>
      <c r="Z49" s="1" cm="1">
        <f t="array" ref="Z49">IF(INDEX($I$3:$L$22,MATCH($P49,$G$3:$G$22,0),$Q49)=Z$2,$S49+$O49+9,$S49+$O49)</f>
        <v>42713021</v>
      </c>
      <c r="AA49" s="1" cm="1">
        <f t="array" ref="AA49">IF(INDEX($I$3:$L$22,MATCH($P49,$G$3:$G$22,0),$Q49)=AA$2,$S49+$O49+9,$S49+$O49)</f>
        <v>42713021</v>
      </c>
      <c r="AB49" s="1" cm="1">
        <f t="array" ref="AB49">IF(INDEX($I$3:$L$22,MATCH($P49,$G$3:$G$22,0),$Q49)=AB$2,$S49+$O49+9,$S49+$O49)</f>
        <v>42713021</v>
      </c>
      <c r="AC49" s="1" cm="1">
        <f t="array" ref="AC49">IF(INDEX($I$3:$L$22,MATCH($P49,$G$3:$G$22,0),$Q49)=AC$2,$S49+$O49+9,$S49+$O49)</f>
        <v>42713021</v>
      </c>
      <c r="AD49" s="1" cm="1">
        <f t="array" ref="AD49">IF(INDEX($I$3:$L$22,MATCH($P49,$G$3:$G$22,0),$Q49)=AD$2,$S49+$O49+9,$S49+$O49)</f>
        <v>42713021</v>
      </c>
      <c r="AE49" s="1" cm="1">
        <f t="array" ref="AE49">IF(INDEX($I$3:$L$22,MATCH($P49,$G$3:$G$22,0),$Q49)=AE$2,$S49+$O49+9,$S49+$O49)</f>
        <v>42713021</v>
      </c>
      <c r="AF49" s="1" cm="1">
        <f t="array" ref="AF49">IF(INDEX($I$3:$L$22,MATCH($P49,$G$3:$G$22,0),$Q49)=AF$2,$S49+$O49+9,$S49+$O49)</f>
        <v>42713021</v>
      </c>
      <c r="AG49" s="1" cm="1">
        <f t="array" ref="AG49">IF(INDEX($I$3:$L$22,MATCH($P49,$G$3:$G$22,0),$Q49)=AG$2,$S49+$O49+9,$S49+$O49)</f>
        <v>42713021</v>
      </c>
      <c r="AH49" s="1" cm="1">
        <f t="array" ref="AH49">IF(INDEX($I$3:$L$22,MATCH($P49,$G$3:$G$22,0),$Q49)=AH$2,$S49+$O49+9,$S49+$O49)</f>
        <v>42713021</v>
      </c>
      <c r="AI49" s="1" cm="1">
        <f t="array" ref="AI49">IF(INDEX($I$3:$L$22,MATCH($P49,$G$3:$G$22,0),$Q49)=AI$2,$S49+$O49+9,$S49+$O49)</f>
        <v>42713021</v>
      </c>
      <c r="AJ49" s="1" cm="1">
        <f t="array" ref="AJ49">IF(INDEX($I$3:$L$22,MATCH($P49,$G$3:$G$22,0),$Q49)=AJ$2,$S49+$O49+9,$S49+$O49)</f>
        <v>42713021</v>
      </c>
      <c r="AK49" s="1" cm="1">
        <f t="array" ref="AK49">IF(INDEX($I$3:$L$22,MATCH($P49,$G$3:$G$22,0),$Q49)=AK$2,$S49+$O49+9,$S49+$O49)</f>
        <v>42713021</v>
      </c>
      <c r="AL49" s="1" cm="1">
        <f t="array" ref="AL49">IF(INDEX($I$3:$L$22,MATCH($P49,$G$3:$G$22,0),$Q49)=AL$2,$S49+$O49+9,$S49+$O49)</f>
        <v>42713021</v>
      </c>
      <c r="AM49" s="1" cm="1">
        <f t="array" ref="AM49">IF(INDEX($I$3:$L$22,MATCH($P49,$G$3:$G$22,0),$Q49)=AM$2,$S49+$O49+9,$S49+$O49)</f>
        <v>42713021</v>
      </c>
      <c r="AN49" s="1" cm="1">
        <f t="array" ref="AN49">IF(INDEX($I$3:$L$22,MATCH($P49,$G$3:$G$22,0),$Q49)=AN$2,$S49+$O49+9,$S49+$O49)</f>
        <v>42713021</v>
      </c>
      <c r="AO49" s="1" cm="1">
        <f t="array" ref="AO49">IF(INDEX($I$3:$L$22,MATCH($P49,$G$3:$G$22,0),$Q49)=AO$2,$S49+$O49+9,$S49+$O49)</f>
        <v>42713021</v>
      </c>
      <c r="AP49" s="1" cm="1">
        <f t="array" ref="AP49">IF(INDEX($I$3:$L$22,MATCH($P49,$G$3:$G$22,0),$Q49)=AP$2,$S49+$O49+9,$S49+$O49)</f>
        <v>42713021</v>
      </c>
      <c r="AQ49" s="1" cm="1">
        <f t="array" ref="AQ49">IF(INDEX($I$3:$L$22,MATCH($P49,$G$3:$G$22,0),$Q49)=AQ$2,$S49+$O49+9,$S49+$O49)</f>
        <v>42713021</v>
      </c>
      <c r="AR49" s="1" cm="1">
        <f t="array" ref="AR49">IF(INDEX($I$3:$L$22,MATCH($P49,$G$3:$G$22,0),$Q49)=AR$2,$S49+$O49+9,$S49+$O49)</f>
        <v>42713021</v>
      </c>
      <c r="AS49" s="1" cm="1">
        <f t="array" ref="AS49">IF(INDEX($I$3:$L$22,MATCH($P49,$G$3:$G$22,0),$Q49)=AS$2,$S49+$O49+9,$S49+$O49)</f>
        <v>42713021</v>
      </c>
      <c r="AT49" s="1" cm="1">
        <f t="array" ref="AT49">IF(INDEX($I$3:$L$22,MATCH($P49,$G$3:$G$22,0),$Q49)=AT$2,$S49+$O49+9,$S49+$O49)</f>
        <v>42713021</v>
      </c>
      <c r="AU49" s="1" cm="1">
        <f t="array" ref="AU49">IF(INDEX($I$3:$L$22,MATCH($P49,$G$3:$G$22,0),$Q49)=AU$2,$S49+$O49+9,$S49+$O49)</f>
        <v>42713021</v>
      </c>
      <c r="AV49" s="1" cm="1">
        <f t="array" ref="AV49">IF(INDEX($I$3:$L$22,MATCH($P49,$G$3:$G$22,0),$Q49)=AV$2,$S49+$O49+9,$S49+$O49)</f>
        <v>42713021</v>
      </c>
      <c r="AW49" s="1" cm="1">
        <f t="array" ref="AW49">IF(INDEX($I$3:$L$22,MATCH($P49,$G$3:$G$22,0),$Q49)=AW$2,$S49+$O49+9,$S49+$O49)</f>
        <v>42713021</v>
      </c>
      <c r="AX49" s="1" cm="1">
        <f t="array" ref="AX49">IF(INDEX($I$3:$L$22,MATCH($P49,$G$3:$G$22,0),$Q49)=AX$2,$S49+$O49+9,$S49+$O49)</f>
        <v>42713021</v>
      </c>
      <c r="AY49" s="1" cm="1">
        <f t="array" ref="AY49">IF(INDEX($I$3:$L$22,MATCH($P49,$G$3:$G$22,0),$Q49)=AY$2,$S49+$O49+9,$S49+$O49)</f>
        <v>42713021</v>
      </c>
      <c r="AZ49" s="1" cm="1">
        <f t="array" ref="AZ49">IF(INDEX($I$3:$L$22,MATCH($P49,$G$3:$G$22,0),$Q49)=AZ$2,$S49+$O49+9,$S49+$O49)</f>
        <v>42713021</v>
      </c>
      <c r="BA49" s="1" cm="1">
        <f t="array" ref="BA49">IF(INDEX($I$3:$L$22,MATCH($P49,$G$3:$G$22,0),$Q49)=BA$2,$S49+$O49+9,$S49+$O49)</f>
        <v>42713021</v>
      </c>
      <c r="BB49" s="1" cm="1">
        <f t="array" ref="BB49">IF(INDEX($I$3:$L$22,MATCH($P49,$G$3:$G$22,0),$Q49)=BB$2,$S49+$O49+9,$S49+$O49)</f>
        <v>42713021</v>
      </c>
      <c r="BC49" s="1" cm="1">
        <f t="array" ref="BC49">IF(INDEX($I$3:$L$22,MATCH($P49,$G$3:$G$22,0),$Q49)=BC$2,$S49+$O49+9,$S49+$O49)</f>
        <v>42713021</v>
      </c>
      <c r="BD49" s="1" cm="1">
        <f t="array" ref="BD49">IF(INDEX($I$3:$L$22,MATCH($P49,$G$3:$G$22,0),$Q49)=BD$2,$S49+$O49+9,$S49+$O49)</f>
        <v>42713021</v>
      </c>
      <c r="BE49" s="1" cm="1">
        <f t="array" ref="BE49">IF(INDEX($I$3:$L$22,MATCH($P49,$G$3:$G$22,0),$Q49)=BE$2,$S49+$O49+9,$S49+$O49)</f>
        <v>42713021</v>
      </c>
      <c r="BF49" s="1" cm="1">
        <f t="array" ref="BF49">IF(INDEX($I$3:$L$22,MATCH($P49,$G$3:$G$22,0),$Q49)=BF$2,$S49+$O49+9,$S49+$O49)</f>
        <v>42713021</v>
      </c>
      <c r="BG49" s="1" cm="1">
        <f t="array" ref="BG49">IF(INDEX($I$3:$L$22,MATCH($P49,$G$3:$G$22,0),$Q49)=BG$2,$S49+$O49+9,$S49+$O49)</f>
        <v>42713021</v>
      </c>
      <c r="BH49" s="1" cm="1">
        <f t="array" ref="BH49">IF(INDEX($I$3:$L$22,MATCH($P49,$G$3:$G$22,0),$Q49)=BH$2,$S49+$O49+9,$S49+$O49)</f>
        <v>42713021</v>
      </c>
      <c r="BI49" s="1" cm="1">
        <f t="array" ref="BI49">IF(INDEX($I$3:$L$22,MATCH($P49,$G$3:$G$22,0),$Q49)=BI$2,$S49+$O49+9,$S49+$O49)</f>
        <v>42713021</v>
      </c>
      <c r="BJ49" s="1" cm="1">
        <f t="array" ref="BJ49">IF(INDEX($I$3:$L$22,MATCH($P49,$G$3:$G$22,0),$Q49)=BJ$2,$S49+$O49+9,$S49+$O49)</f>
        <v>42713021</v>
      </c>
      <c r="BK49" s="1" cm="1">
        <f t="array" ref="BK49">IF(INDEX($I$3:$L$22,MATCH($P49,$G$3:$G$22,0),$Q49)=BK$2,$S49+$O49+9,$S49+$O49)</f>
        <v>42713021</v>
      </c>
      <c r="BL49" s="1" cm="1">
        <f t="array" ref="BL49">IF(INDEX($I$3:$L$22,MATCH($P49,$G$3:$G$22,0),$Q49)=BL$2,$S49+$O49+9,$S49+$O49)</f>
        <v>42713021</v>
      </c>
      <c r="BM49" s="1" cm="1">
        <f t="array" ref="BM49">IF(INDEX($I$3:$L$22,MATCH($P49,$G$3:$G$22,0),$Q49)=BM$2,$S49+$O49+9,$S49+$O49)</f>
        <v>42713021</v>
      </c>
      <c r="BN49" s="1" cm="1">
        <f t="array" ref="BN49">IF(INDEX($I$3:$L$22,MATCH($P49,$G$3:$G$22,0),$Q49)=BN$2,$S49+$O49+9,$S49+$O49)</f>
        <v>42713021</v>
      </c>
      <c r="BO49" s="1" cm="1">
        <f t="array" ref="BO49">IF(INDEX($I$3:$L$22,MATCH($P49,$G$3:$G$22,0),$Q49)=BO$2,$S49+$O49+9,$S49+$O49)</f>
        <v>42713021</v>
      </c>
      <c r="BP49" s="1" cm="1">
        <f t="array" ref="BP49">IF(INDEX($I$3:$L$22,MATCH($P49,$G$3:$G$22,0),$Q49)=BP$2,$S49+$O49+9,$S49+$O49)</f>
        <v>42713021</v>
      </c>
      <c r="BQ49" s="1" cm="1">
        <f t="array" ref="BQ49">IF(INDEX($I$3:$L$22,MATCH($P49,$G$3:$G$22,0),$Q49)=BQ$2,$S49+$O49+9,$S49+$O49)</f>
        <v>42713021</v>
      </c>
      <c r="BR49" s="1" cm="1">
        <f t="array" ref="BR49">IF(INDEX($I$3:$L$22,MATCH($P49,$G$3:$G$22,0),$Q49)=BR$2,$S49+$O49+9,$S49+$O49)</f>
        <v>42713030</v>
      </c>
      <c r="BS49" s="1" cm="1">
        <f t="array" ref="BS49">IF(INDEX($I$3:$L$22,MATCH($P49,$G$3:$G$22,0),$Q49)=BS$2,$S49+$O49+9,$S49+$O49)</f>
        <v>42713021</v>
      </c>
      <c r="BT49" s="1" cm="1">
        <f t="array" ref="BT49">IF(INDEX($I$3:$L$22,MATCH($P49,$G$3:$G$22,0),$Q49)=BT$2,$S49+$O49+9,$S49+$O49)</f>
        <v>42713021</v>
      </c>
    </row>
    <row r="50" spans="14:72" x14ac:dyDescent="0.15">
      <c r="N50" s="1">
        <v>50001</v>
      </c>
      <c r="O50" s="1">
        <f t="shared" si="5"/>
        <v>21</v>
      </c>
      <c r="P50" s="1">
        <f t="shared" si="6"/>
        <v>301</v>
      </c>
      <c r="Q50" s="1">
        <f t="shared" si="7"/>
        <v>4</v>
      </c>
      <c r="R50" s="1" t="s">
        <v>15</v>
      </c>
      <c r="S50" s="1">
        <v>42716000</v>
      </c>
      <c r="T50" s="1" t="str">
        <f t="shared" si="8"/>
        <v>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</v>
      </c>
      <c r="W50" s="1" cm="1">
        <f t="array" ref="W50">IF(INDEX($I$3:$L$22,MATCH($P50,$G$3:$G$22,0),$Q50)=W$2,$S50+$O50+9,$S50+$O50)</f>
        <v>42716021</v>
      </c>
      <c r="X50" s="1" cm="1">
        <f t="array" ref="X50">IF(INDEX($I$3:$L$22,MATCH($P50,$G$3:$G$22,0),$Q50)=X$2,$S50+$O50+9,$S50+$O50)</f>
        <v>42716021</v>
      </c>
      <c r="Y50" s="1" cm="1">
        <f t="array" ref="Y50">IF(INDEX($I$3:$L$22,MATCH($P50,$G$3:$G$22,0),$Q50)=Y$2,$S50+$O50+9,$S50+$O50)</f>
        <v>42716021</v>
      </c>
      <c r="Z50" s="1" cm="1">
        <f t="array" ref="Z50">IF(INDEX($I$3:$L$22,MATCH($P50,$G$3:$G$22,0),$Q50)=Z$2,$S50+$O50+9,$S50+$O50)</f>
        <v>42716021</v>
      </c>
      <c r="AA50" s="1" cm="1">
        <f t="array" ref="AA50">IF(INDEX($I$3:$L$22,MATCH($P50,$G$3:$G$22,0),$Q50)=AA$2,$S50+$O50+9,$S50+$O50)</f>
        <v>42716021</v>
      </c>
      <c r="AB50" s="1" cm="1">
        <f t="array" ref="AB50">IF(INDEX($I$3:$L$22,MATCH($P50,$G$3:$G$22,0),$Q50)=AB$2,$S50+$O50+9,$S50+$O50)</f>
        <v>42716021</v>
      </c>
      <c r="AC50" s="1" cm="1">
        <f t="array" ref="AC50">IF(INDEX($I$3:$L$22,MATCH($P50,$G$3:$G$22,0),$Q50)=AC$2,$S50+$O50+9,$S50+$O50)</f>
        <v>42716021</v>
      </c>
      <c r="AD50" s="1" cm="1">
        <f t="array" ref="AD50">IF(INDEX($I$3:$L$22,MATCH($P50,$G$3:$G$22,0),$Q50)=AD$2,$S50+$O50+9,$S50+$O50)</f>
        <v>42716021</v>
      </c>
      <c r="AE50" s="1" cm="1">
        <f t="array" ref="AE50">IF(INDEX($I$3:$L$22,MATCH($P50,$G$3:$G$22,0),$Q50)=AE$2,$S50+$O50+9,$S50+$O50)</f>
        <v>42716021</v>
      </c>
      <c r="AF50" s="1" cm="1">
        <f t="array" ref="AF50">IF(INDEX($I$3:$L$22,MATCH($P50,$G$3:$G$22,0),$Q50)=AF$2,$S50+$O50+9,$S50+$O50)</f>
        <v>42716021</v>
      </c>
      <c r="AG50" s="1" cm="1">
        <f t="array" ref="AG50">IF(INDEX($I$3:$L$22,MATCH($P50,$G$3:$G$22,0),$Q50)=AG$2,$S50+$O50+9,$S50+$O50)</f>
        <v>42716021</v>
      </c>
      <c r="AH50" s="1" cm="1">
        <f t="array" ref="AH50">IF(INDEX($I$3:$L$22,MATCH($P50,$G$3:$G$22,0),$Q50)=AH$2,$S50+$O50+9,$S50+$O50)</f>
        <v>42716021</v>
      </c>
      <c r="AI50" s="1" cm="1">
        <f t="array" ref="AI50">IF(INDEX($I$3:$L$22,MATCH($P50,$G$3:$G$22,0),$Q50)=AI$2,$S50+$O50+9,$S50+$O50)</f>
        <v>42716021</v>
      </c>
      <c r="AJ50" s="1" cm="1">
        <f t="array" ref="AJ50">IF(INDEX($I$3:$L$22,MATCH($P50,$G$3:$G$22,0),$Q50)=AJ$2,$S50+$O50+9,$S50+$O50)</f>
        <v>42716021</v>
      </c>
      <c r="AK50" s="1" cm="1">
        <f t="array" ref="AK50">IF(INDEX($I$3:$L$22,MATCH($P50,$G$3:$G$22,0),$Q50)=AK$2,$S50+$O50+9,$S50+$O50)</f>
        <v>42716021</v>
      </c>
      <c r="AL50" s="1" cm="1">
        <f t="array" ref="AL50">IF(INDEX($I$3:$L$22,MATCH($P50,$G$3:$G$22,0),$Q50)=AL$2,$S50+$O50+9,$S50+$O50)</f>
        <v>42716030</v>
      </c>
      <c r="AM50" s="1" cm="1">
        <f t="array" ref="AM50">IF(INDEX($I$3:$L$22,MATCH($P50,$G$3:$G$22,0),$Q50)=AM$2,$S50+$O50+9,$S50+$O50)</f>
        <v>42716021</v>
      </c>
      <c r="AN50" s="1" cm="1">
        <f t="array" ref="AN50">IF(INDEX($I$3:$L$22,MATCH($P50,$G$3:$G$22,0),$Q50)=AN$2,$S50+$O50+9,$S50+$O50)</f>
        <v>42716021</v>
      </c>
      <c r="AO50" s="1" cm="1">
        <f t="array" ref="AO50">IF(INDEX($I$3:$L$22,MATCH($P50,$G$3:$G$22,0),$Q50)=AO$2,$S50+$O50+9,$S50+$O50)</f>
        <v>42716021</v>
      </c>
      <c r="AP50" s="1" cm="1">
        <f t="array" ref="AP50">IF(INDEX($I$3:$L$22,MATCH($P50,$G$3:$G$22,0),$Q50)=AP$2,$S50+$O50+9,$S50+$O50)</f>
        <v>42716021</v>
      </c>
      <c r="AQ50" s="1" cm="1">
        <f t="array" ref="AQ50">IF(INDEX($I$3:$L$22,MATCH($P50,$G$3:$G$22,0),$Q50)=AQ$2,$S50+$O50+9,$S50+$O50)</f>
        <v>42716021</v>
      </c>
      <c r="AR50" s="1" cm="1">
        <f t="array" ref="AR50">IF(INDEX($I$3:$L$22,MATCH($P50,$G$3:$G$22,0),$Q50)=AR$2,$S50+$O50+9,$S50+$O50)</f>
        <v>42716021</v>
      </c>
      <c r="AS50" s="1" cm="1">
        <f t="array" ref="AS50">IF(INDEX($I$3:$L$22,MATCH($P50,$G$3:$G$22,0),$Q50)=AS$2,$S50+$O50+9,$S50+$O50)</f>
        <v>42716021</v>
      </c>
      <c r="AT50" s="1" cm="1">
        <f t="array" ref="AT50">IF(INDEX($I$3:$L$22,MATCH($P50,$G$3:$G$22,0),$Q50)=AT$2,$S50+$O50+9,$S50+$O50)</f>
        <v>42716021</v>
      </c>
      <c r="AU50" s="1" cm="1">
        <f t="array" ref="AU50">IF(INDEX($I$3:$L$22,MATCH($P50,$G$3:$G$22,0),$Q50)=AU$2,$S50+$O50+9,$S50+$O50)</f>
        <v>42716021</v>
      </c>
      <c r="AV50" s="1" cm="1">
        <f t="array" ref="AV50">IF(INDEX($I$3:$L$22,MATCH($P50,$G$3:$G$22,0),$Q50)=AV$2,$S50+$O50+9,$S50+$O50)</f>
        <v>42716021</v>
      </c>
      <c r="AW50" s="1" cm="1">
        <f t="array" ref="AW50">IF(INDEX($I$3:$L$22,MATCH($P50,$G$3:$G$22,0),$Q50)=AW$2,$S50+$O50+9,$S50+$O50)</f>
        <v>42716021</v>
      </c>
      <c r="AX50" s="1" cm="1">
        <f t="array" ref="AX50">IF(INDEX($I$3:$L$22,MATCH($P50,$G$3:$G$22,0),$Q50)=AX$2,$S50+$O50+9,$S50+$O50)</f>
        <v>42716021</v>
      </c>
      <c r="AY50" s="1" cm="1">
        <f t="array" ref="AY50">IF(INDEX($I$3:$L$22,MATCH($P50,$G$3:$G$22,0),$Q50)=AY$2,$S50+$O50+9,$S50+$O50)</f>
        <v>42716021</v>
      </c>
      <c r="AZ50" s="1" cm="1">
        <f t="array" ref="AZ50">IF(INDEX($I$3:$L$22,MATCH($P50,$G$3:$G$22,0),$Q50)=AZ$2,$S50+$O50+9,$S50+$O50)</f>
        <v>42716021</v>
      </c>
      <c r="BA50" s="1" cm="1">
        <f t="array" ref="BA50">IF(INDEX($I$3:$L$22,MATCH($P50,$G$3:$G$22,0),$Q50)=BA$2,$S50+$O50+9,$S50+$O50)</f>
        <v>42716021</v>
      </c>
      <c r="BB50" s="1" cm="1">
        <f t="array" ref="BB50">IF(INDEX($I$3:$L$22,MATCH($P50,$G$3:$G$22,0),$Q50)=BB$2,$S50+$O50+9,$S50+$O50)</f>
        <v>42716021</v>
      </c>
      <c r="BC50" s="1" cm="1">
        <f t="array" ref="BC50">IF(INDEX($I$3:$L$22,MATCH($P50,$G$3:$G$22,0),$Q50)=BC$2,$S50+$O50+9,$S50+$O50)</f>
        <v>42716021</v>
      </c>
      <c r="BD50" s="1" cm="1">
        <f t="array" ref="BD50">IF(INDEX($I$3:$L$22,MATCH($P50,$G$3:$G$22,0),$Q50)=BD$2,$S50+$O50+9,$S50+$O50)</f>
        <v>42716021</v>
      </c>
      <c r="BE50" s="1" cm="1">
        <f t="array" ref="BE50">IF(INDEX($I$3:$L$22,MATCH($P50,$G$3:$G$22,0),$Q50)=BE$2,$S50+$O50+9,$S50+$O50)</f>
        <v>42716021</v>
      </c>
      <c r="BF50" s="1" cm="1">
        <f t="array" ref="BF50">IF(INDEX($I$3:$L$22,MATCH($P50,$G$3:$G$22,0),$Q50)=BF$2,$S50+$O50+9,$S50+$O50)</f>
        <v>42716021</v>
      </c>
      <c r="BG50" s="1" cm="1">
        <f t="array" ref="BG50">IF(INDEX($I$3:$L$22,MATCH($P50,$G$3:$G$22,0),$Q50)=BG$2,$S50+$O50+9,$S50+$O50)</f>
        <v>42716021</v>
      </c>
      <c r="BH50" s="1" cm="1">
        <f t="array" ref="BH50">IF(INDEX($I$3:$L$22,MATCH($P50,$G$3:$G$22,0),$Q50)=BH$2,$S50+$O50+9,$S50+$O50)</f>
        <v>42716021</v>
      </c>
      <c r="BI50" s="1" cm="1">
        <f t="array" ref="BI50">IF(INDEX($I$3:$L$22,MATCH($P50,$G$3:$G$22,0),$Q50)=BI$2,$S50+$O50+9,$S50+$O50)</f>
        <v>42716021</v>
      </c>
      <c r="BJ50" s="1" cm="1">
        <f t="array" ref="BJ50">IF(INDEX($I$3:$L$22,MATCH($P50,$G$3:$G$22,0),$Q50)=BJ$2,$S50+$O50+9,$S50+$O50)</f>
        <v>42716021</v>
      </c>
      <c r="BK50" s="1" cm="1">
        <f t="array" ref="BK50">IF(INDEX($I$3:$L$22,MATCH($P50,$G$3:$G$22,0),$Q50)=BK$2,$S50+$O50+9,$S50+$O50)</f>
        <v>42716021</v>
      </c>
      <c r="BL50" s="1" cm="1">
        <f t="array" ref="BL50">IF(INDEX($I$3:$L$22,MATCH($P50,$G$3:$G$22,0),$Q50)=BL$2,$S50+$O50+9,$S50+$O50)</f>
        <v>42716021</v>
      </c>
      <c r="BM50" s="1" cm="1">
        <f t="array" ref="BM50">IF(INDEX($I$3:$L$22,MATCH($P50,$G$3:$G$22,0),$Q50)=BM$2,$S50+$O50+9,$S50+$O50)</f>
        <v>42716021</v>
      </c>
      <c r="BN50" s="1" cm="1">
        <f t="array" ref="BN50">IF(INDEX($I$3:$L$22,MATCH($P50,$G$3:$G$22,0),$Q50)=BN$2,$S50+$O50+9,$S50+$O50)</f>
        <v>42716021</v>
      </c>
      <c r="BO50" s="1" cm="1">
        <f t="array" ref="BO50">IF(INDEX($I$3:$L$22,MATCH($P50,$G$3:$G$22,0),$Q50)=BO$2,$S50+$O50+9,$S50+$O50)</f>
        <v>42716021</v>
      </c>
      <c r="BP50" s="1" cm="1">
        <f t="array" ref="BP50">IF(INDEX($I$3:$L$22,MATCH($P50,$G$3:$G$22,0),$Q50)=BP$2,$S50+$O50+9,$S50+$O50)</f>
        <v>42716021</v>
      </c>
      <c r="BQ50" s="1" cm="1">
        <f t="array" ref="BQ50">IF(INDEX($I$3:$L$22,MATCH($P50,$G$3:$G$22,0),$Q50)=BQ$2,$S50+$O50+9,$S50+$O50)</f>
        <v>42716021</v>
      </c>
      <c r="BR50" s="1" cm="1">
        <f t="array" ref="BR50">IF(INDEX($I$3:$L$22,MATCH($P50,$G$3:$G$22,0),$Q50)=BR$2,$S50+$O50+9,$S50+$O50)</f>
        <v>42716021</v>
      </c>
      <c r="BS50" s="1" cm="1">
        <f t="array" ref="BS50">IF(INDEX($I$3:$L$22,MATCH($P50,$G$3:$G$22,0),$Q50)=BS$2,$S50+$O50+9,$S50+$O50)</f>
        <v>42716021</v>
      </c>
      <c r="BT50" s="1" cm="1">
        <f t="array" ref="BT50">IF(INDEX($I$3:$L$22,MATCH($P50,$G$3:$G$22,0),$Q50)=BT$2,$S50+$O50+9,$S50+$O50)</f>
        <v>42716021</v>
      </c>
    </row>
    <row r="51" spans="14:72" x14ac:dyDescent="0.15">
      <c r="N51" s="1">
        <v>50001</v>
      </c>
      <c r="O51" s="1">
        <f t="shared" si="5"/>
        <v>21</v>
      </c>
      <c r="P51" s="1">
        <f t="shared" si="6"/>
        <v>302</v>
      </c>
      <c r="Q51" s="1">
        <f t="shared" si="7"/>
        <v>1</v>
      </c>
      <c r="R51" s="1" t="s">
        <v>18</v>
      </c>
      <c r="S51" s="1">
        <v>42711000</v>
      </c>
      <c r="T51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</v>
      </c>
      <c r="W51" s="1" cm="1">
        <f t="array" ref="W51">IF(INDEX($I$3:$L$22,MATCH($P51,$G$3:$G$22,0),$Q51)=W$2,$S51+$O51+9,$S51+$O51)</f>
        <v>42711021</v>
      </c>
      <c r="X51" s="1" cm="1">
        <f t="array" ref="X51">IF(INDEX($I$3:$L$22,MATCH($P51,$G$3:$G$22,0),$Q51)=X$2,$S51+$O51+9,$S51+$O51)</f>
        <v>42711021</v>
      </c>
      <c r="Y51" s="1" cm="1">
        <f t="array" ref="Y51">IF(INDEX($I$3:$L$22,MATCH($P51,$G$3:$G$22,0),$Q51)=Y$2,$S51+$O51+9,$S51+$O51)</f>
        <v>42711021</v>
      </c>
      <c r="Z51" s="1" cm="1">
        <f t="array" ref="Z51">IF(INDEX($I$3:$L$22,MATCH($P51,$G$3:$G$22,0),$Q51)=Z$2,$S51+$O51+9,$S51+$O51)</f>
        <v>42711021</v>
      </c>
      <c r="AA51" s="1" cm="1">
        <f t="array" ref="AA51">IF(INDEX($I$3:$L$22,MATCH($P51,$G$3:$G$22,0),$Q51)=AA$2,$S51+$O51+9,$S51+$O51)</f>
        <v>42711021</v>
      </c>
      <c r="AB51" s="1" cm="1">
        <f t="array" ref="AB51">IF(INDEX($I$3:$L$22,MATCH($P51,$G$3:$G$22,0),$Q51)=AB$2,$S51+$O51+9,$S51+$O51)</f>
        <v>42711021</v>
      </c>
      <c r="AC51" s="1" cm="1">
        <f t="array" ref="AC51">IF(INDEX($I$3:$L$22,MATCH($P51,$G$3:$G$22,0),$Q51)=AC$2,$S51+$O51+9,$S51+$O51)</f>
        <v>42711021</v>
      </c>
      <c r="AD51" s="1" cm="1">
        <f t="array" ref="AD51">IF(INDEX($I$3:$L$22,MATCH($P51,$G$3:$G$22,0),$Q51)=AD$2,$S51+$O51+9,$S51+$O51)</f>
        <v>42711021</v>
      </c>
      <c r="AE51" s="1" cm="1">
        <f t="array" ref="AE51">IF(INDEX($I$3:$L$22,MATCH($P51,$G$3:$G$22,0),$Q51)=AE$2,$S51+$O51+9,$S51+$O51)</f>
        <v>42711021</v>
      </c>
      <c r="AF51" s="1" cm="1">
        <f t="array" ref="AF51">IF(INDEX($I$3:$L$22,MATCH($P51,$G$3:$G$22,0),$Q51)=AF$2,$S51+$O51+9,$S51+$O51)</f>
        <v>42711021</v>
      </c>
      <c r="AG51" s="1" cm="1">
        <f t="array" ref="AG51">IF(INDEX($I$3:$L$22,MATCH($P51,$G$3:$G$22,0),$Q51)=AG$2,$S51+$O51+9,$S51+$O51)</f>
        <v>42711021</v>
      </c>
      <c r="AH51" s="1" cm="1">
        <f t="array" ref="AH51">IF(INDEX($I$3:$L$22,MATCH($P51,$G$3:$G$22,0),$Q51)=AH$2,$S51+$O51+9,$S51+$O51)</f>
        <v>42711021</v>
      </c>
      <c r="AI51" s="1" cm="1">
        <f t="array" ref="AI51">IF(INDEX($I$3:$L$22,MATCH($P51,$G$3:$G$22,0),$Q51)=AI$2,$S51+$O51+9,$S51+$O51)</f>
        <v>42711021</v>
      </c>
      <c r="AJ51" s="1" cm="1">
        <f t="array" ref="AJ51">IF(INDEX($I$3:$L$22,MATCH($P51,$G$3:$G$22,0),$Q51)=AJ$2,$S51+$O51+9,$S51+$O51)</f>
        <v>42711021</v>
      </c>
      <c r="AK51" s="1" cm="1">
        <f t="array" ref="AK51">IF(INDEX($I$3:$L$22,MATCH($P51,$G$3:$G$22,0),$Q51)=AK$2,$S51+$O51+9,$S51+$O51)</f>
        <v>42711021</v>
      </c>
      <c r="AL51" s="1" cm="1">
        <f t="array" ref="AL51">IF(INDEX($I$3:$L$22,MATCH($P51,$G$3:$G$22,0),$Q51)=AL$2,$S51+$O51+9,$S51+$O51)</f>
        <v>42711021</v>
      </c>
      <c r="AM51" s="1" cm="1">
        <f t="array" ref="AM51">IF(INDEX($I$3:$L$22,MATCH($P51,$G$3:$G$22,0),$Q51)=AM$2,$S51+$O51+9,$S51+$O51)</f>
        <v>42711021</v>
      </c>
      <c r="AN51" s="1" cm="1">
        <f t="array" ref="AN51">IF(INDEX($I$3:$L$22,MATCH($P51,$G$3:$G$22,0),$Q51)=AN$2,$S51+$O51+9,$S51+$O51)</f>
        <v>42711021</v>
      </c>
      <c r="AO51" s="1" cm="1">
        <f t="array" ref="AO51">IF(INDEX($I$3:$L$22,MATCH($P51,$G$3:$G$22,0),$Q51)=AO$2,$S51+$O51+9,$S51+$O51)</f>
        <v>42711021</v>
      </c>
      <c r="AP51" s="1" cm="1">
        <f t="array" ref="AP51">IF(INDEX($I$3:$L$22,MATCH($P51,$G$3:$G$22,0),$Q51)=AP$2,$S51+$O51+9,$S51+$O51)</f>
        <v>42711021</v>
      </c>
      <c r="AQ51" s="1" cm="1">
        <f t="array" ref="AQ51">IF(INDEX($I$3:$L$22,MATCH($P51,$G$3:$G$22,0),$Q51)=AQ$2,$S51+$O51+9,$S51+$O51)</f>
        <v>42711021</v>
      </c>
      <c r="AR51" s="1" cm="1">
        <f t="array" ref="AR51">IF(INDEX($I$3:$L$22,MATCH($P51,$G$3:$G$22,0),$Q51)=AR$2,$S51+$O51+9,$S51+$O51)</f>
        <v>42711021</v>
      </c>
      <c r="AS51" s="1" cm="1">
        <f t="array" ref="AS51">IF(INDEX($I$3:$L$22,MATCH($P51,$G$3:$G$22,0),$Q51)=AS$2,$S51+$O51+9,$S51+$O51)</f>
        <v>42711021</v>
      </c>
      <c r="AT51" s="1" cm="1">
        <f t="array" ref="AT51">IF(INDEX($I$3:$L$22,MATCH($P51,$G$3:$G$22,0),$Q51)=AT$2,$S51+$O51+9,$S51+$O51)</f>
        <v>42711021</v>
      </c>
      <c r="AU51" s="1" cm="1">
        <f t="array" ref="AU51">IF(INDEX($I$3:$L$22,MATCH($P51,$G$3:$G$22,0),$Q51)=AU$2,$S51+$O51+9,$S51+$O51)</f>
        <v>42711021</v>
      </c>
      <c r="AV51" s="1" cm="1">
        <f t="array" ref="AV51">IF(INDEX($I$3:$L$22,MATCH($P51,$G$3:$G$22,0),$Q51)=AV$2,$S51+$O51+9,$S51+$O51)</f>
        <v>42711021</v>
      </c>
      <c r="AW51" s="1" cm="1">
        <f t="array" ref="AW51">IF(INDEX($I$3:$L$22,MATCH($P51,$G$3:$G$22,0),$Q51)=AW$2,$S51+$O51+9,$S51+$O51)</f>
        <v>42711021</v>
      </c>
      <c r="AX51" s="1" cm="1">
        <f t="array" ref="AX51">IF(INDEX($I$3:$L$22,MATCH($P51,$G$3:$G$22,0),$Q51)=AX$2,$S51+$O51+9,$S51+$O51)</f>
        <v>42711021</v>
      </c>
      <c r="AY51" s="1" cm="1">
        <f t="array" ref="AY51">IF(INDEX($I$3:$L$22,MATCH($P51,$G$3:$G$22,0),$Q51)=AY$2,$S51+$O51+9,$S51+$O51)</f>
        <v>42711021</v>
      </c>
      <c r="AZ51" s="1" cm="1">
        <f t="array" ref="AZ51">IF(INDEX($I$3:$L$22,MATCH($P51,$G$3:$G$22,0),$Q51)=AZ$2,$S51+$O51+9,$S51+$O51)</f>
        <v>42711021</v>
      </c>
      <c r="BA51" s="1" cm="1">
        <f t="array" ref="BA51">IF(INDEX($I$3:$L$22,MATCH($P51,$G$3:$G$22,0),$Q51)=BA$2,$S51+$O51+9,$S51+$O51)</f>
        <v>42711021</v>
      </c>
      <c r="BB51" s="1" cm="1">
        <f t="array" ref="BB51">IF(INDEX($I$3:$L$22,MATCH($P51,$G$3:$G$22,0),$Q51)=BB$2,$S51+$O51+9,$S51+$O51)</f>
        <v>42711021</v>
      </c>
      <c r="BC51" s="1" cm="1">
        <f t="array" ref="BC51">IF(INDEX($I$3:$L$22,MATCH($P51,$G$3:$G$22,0),$Q51)=BC$2,$S51+$O51+9,$S51+$O51)</f>
        <v>42711021</v>
      </c>
      <c r="BD51" s="1" cm="1">
        <f t="array" ref="BD51">IF(INDEX($I$3:$L$22,MATCH($P51,$G$3:$G$22,0),$Q51)=BD$2,$S51+$O51+9,$S51+$O51)</f>
        <v>42711021</v>
      </c>
      <c r="BE51" s="1" cm="1">
        <f t="array" ref="BE51">IF(INDEX($I$3:$L$22,MATCH($P51,$G$3:$G$22,0),$Q51)=BE$2,$S51+$O51+9,$S51+$O51)</f>
        <v>42711021</v>
      </c>
      <c r="BF51" s="1" cm="1">
        <f t="array" ref="BF51">IF(INDEX($I$3:$L$22,MATCH($P51,$G$3:$G$22,0),$Q51)=BF$2,$S51+$O51+9,$S51+$O51)</f>
        <v>42711021</v>
      </c>
      <c r="BG51" s="1" cm="1">
        <f t="array" ref="BG51">IF(INDEX($I$3:$L$22,MATCH($P51,$G$3:$G$22,0),$Q51)=BG$2,$S51+$O51+9,$S51+$O51)</f>
        <v>42711030</v>
      </c>
      <c r="BH51" s="1" cm="1">
        <f t="array" ref="BH51">IF(INDEX($I$3:$L$22,MATCH($P51,$G$3:$G$22,0),$Q51)=BH$2,$S51+$O51+9,$S51+$O51)</f>
        <v>42711021</v>
      </c>
      <c r="BI51" s="1" cm="1">
        <f t="array" ref="BI51">IF(INDEX($I$3:$L$22,MATCH($P51,$G$3:$G$22,0),$Q51)=BI$2,$S51+$O51+9,$S51+$O51)</f>
        <v>42711021</v>
      </c>
      <c r="BJ51" s="1" cm="1">
        <f t="array" ref="BJ51">IF(INDEX($I$3:$L$22,MATCH($P51,$G$3:$G$22,0),$Q51)=BJ$2,$S51+$O51+9,$S51+$O51)</f>
        <v>42711021</v>
      </c>
      <c r="BK51" s="1" cm="1">
        <f t="array" ref="BK51">IF(INDEX($I$3:$L$22,MATCH($P51,$G$3:$G$22,0),$Q51)=BK$2,$S51+$O51+9,$S51+$O51)</f>
        <v>42711021</v>
      </c>
      <c r="BL51" s="1" cm="1">
        <f t="array" ref="BL51">IF(INDEX($I$3:$L$22,MATCH($P51,$G$3:$G$22,0),$Q51)=BL$2,$S51+$O51+9,$S51+$O51)</f>
        <v>42711021</v>
      </c>
      <c r="BM51" s="1" cm="1">
        <f t="array" ref="BM51">IF(INDEX($I$3:$L$22,MATCH($P51,$G$3:$G$22,0),$Q51)=BM$2,$S51+$O51+9,$S51+$O51)</f>
        <v>42711021</v>
      </c>
      <c r="BN51" s="1" cm="1">
        <f t="array" ref="BN51">IF(INDEX($I$3:$L$22,MATCH($P51,$G$3:$G$22,0),$Q51)=BN$2,$S51+$O51+9,$S51+$O51)</f>
        <v>42711021</v>
      </c>
      <c r="BO51" s="1" cm="1">
        <f t="array" ref="BO51">IF(INDEX($I$3:$L$22,MATCH($P51,$G$3:$G$22,0),$Q51)=BO$2,$S51+$O51+9,$S51+$O51)</f>
        <v>42711021</v>
      </c>
      <c r="BP51" s="1" cm="1">
        <f t="array" ref="BP51">IF(INDEX($I$3:$L$22,MATCH($P51,$G$3:$G$22,0),$Q51)=BP$2,$S51+$O51+9,$S51+$O51)</f>
        <v>42711021</v>
      </c>
      <c r="BQ51" s="1" cm="1">
        <f t="array" ref="BQ51">IF(INDEX($I$3:$L$22,MATCH($P51,$G$3:$G$22,0),$Q51)=BQ$2,$S51+$O51+9,$S51+$O51)</f>
        <v>42711021</v>
      </c>
      <c r="BR51" s="1" cm="1">
        <f t="array" ref="BR51">IF(INDEX($I$3:$L$22,MATCH($P51,$G$3:$G$22,0),$Q51)=BR$2,$S51+$O51+9,$S51+$O51)</f>
        <v>42711021</v>
      </c>
      <c r="BS51" s="1" cm="1">
        <f t="array" ref="BS51">IF(INDEX($I$3:$L$22,MATCH($P51,$G$3:$G$22,0),$Q51)=BS$2,$S51+$O51+9,$S51+$O51)</f>
        <v>42711021</v>
      </c>
      <c r="BT51" s="1" cm="1">
        <f t="array" ref="BT51">IF(INDEX($I$3:$L$22,MATCH($P51,$G$3:$G$22,0),$Q51)=BT$2,$S51+$O51+9,$S51+$O51)</f>
        <v>42711021</v>
      </c>
    </row>
    <row r="52" spans="14:72" x14ac:dyDescent="0.15">
      <c r="N52" s="1">
        <v>50001</v>
      </c>
      <c r="O52" s="1">
        <f t="shared" si="5"/>
        <v>21</v>
      </c>
      <c r="P52" s="1">
        <f t="shared" si="6"/>
        <v>302</v>
      </c>
      <c r="Q52" s="1">
        <f t="shared" si="7"/>
        <v>2</v>
      </c>
      <c r="R52" s="1" t="s">
        <v>17</v>
      </c>
      <c r="S52" s="1">
        <v>42612000</v>
      </c>
      <c r="T52" s="1" t="str">
        <f t="shared" si="8"/>
        <v>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,42612021</v>
      </c>
      <c r="W52" s="1" cm="1">
        <f t="array" ref="W52">IF(INDEX($I$3:$L$22,MATCH($P52,$G$3:$G$22,0),$Q52)=W$2,$S52+$O52+9,$S52+$O52)</f>
        <v>42612021</v>
      </c>
      <c r="X52" s="1" cm="1">
        <f t="array" ref="X52">IF(INDEX($I$3:$L$22,MATCH($P52,$G$3:$G$22,0),$Q52)=X$2,$S52+$O52+9,$S52+$O52)</f>
        <v>42612021</v>
      </c>
      <c r="Y52" s="1" cm="1">
        <f t="array" ref="Y52">IF(INDEX($I$3:$L$22,MATCH($P52,$G$3:$G$22,0),$Q52)=Y$2,$S52+$O52+9,$S52+$O52)</f>
        <v>42612021</v>
      </c>
      <c r="Z52" s="1" cm="1">
        <f t="array" ref="Z52">IF(INDEX($I$3:$L$22,MATCH($P52,$G$3:$G$22,0),$Q52)=Z$2,$S52+$O52+9,$S52+$O52)</f>
        <v>42612021</v>
      </c>
      <c r="AA52" s="1" cm="1">
        <f t="array" ref="AA52">IF(INDEX($I$3:$L$22,MATCH($P52,$G$3:$G$22,0),$Q52)=AA$2,$S52+$O52+9,$S52+$O52)</f>
        <v>42612021</v>
      </c>
      <c r="AB52" s="1" cm="1">
        <f t="array" ref="AB52">IF(INDEX($I$3:$L$22,MATCH($P52,$G$3:$G$22,0),$Q52)=AB$2,$S52+$O52+9,$S52+$O52)</f>
        <v>42612021</v>
      </c>
      <c r="AC52" s="1" cm="1">
        <f t="array" ref="AC52">IF(INDEX($I$3:$L$22,MATCH($P52,$G$3:$G$22,0),$Q52)=AC$2,$S52+$O52+9,$S52+$O52)</f>
        <v>42612021</v>
      </c>
      <c r="AD52" s="1" cm="1">
        <f t="array" ref="AD52">IF(INDEX($I$3:$L$22,MATCH($P52,$G$3:$G$22,0),$Q52)=AD$2,$S52+$O52+9,$S52+$O52)</f>
        <v>42612021</v>
      </c>
      <c r="AE52" s="1" cm="1">
        <f t="array" ref="AE52">IF(INDEX($I$3:$L$22,MATCH($P52,$G$3:$G$22,0),$Q52)=AE$2,$S52+$O52+9,$S52+$O52)</f>
        <v>42612021</v>
      </c>
      <c r="AF52" s="1" cm="1">
        <f t="array" ref="AF52">IF(INDEX($I$3:$L$22,MATCH($P52,$G$3:$G$22,0),$Q52)=AF$2,$S52+$O52+9,$S52+$O52)</f>
        <v>42612021</v>
      </c>
      <c r="AG52" s="1" cm="1">
        <f t="array" ref="AG52">IF(INDEX($I$3:$L$22,MATCH($P52,$G$3:$G$22,0),$Q52)=AG$2,$S52+$O52+9,$S52+$O52)</f>
        <v>42612021</v>
      </c>
      <c r="AH52" s="1" cm="1">
        <f t="array" ref="AH52">IF(INDEX($I$3:$L$22,MATCH($P52,$G$3:$G$22,0),$Q52)=AH$2,$S52+$O52+9,$S52+$O52)</f>
        <v>42612021</v>
      </c>
      <c r="AI52" s="1" cm="1">
        <f t="array" ref="AI52">IF(INDEX($I$3:$L$22,MATCH($P52,$G$3:$G$22,0),$Q52)=AI$2,$S52+$O52+9,$S52+$O52)</f>
        <v>42612021</v>
      </c>
      <c r="AJ52" s="1" cm="1">
        <f t="array" ref="AJ52">IF(INDEX($I$3:$L$22,MATCH($P52,$G$3:$G$22,0),$Q52)=AJ$2,$S52+$O52+9,$S52+$O52)</f>
        <v>42612021</v>
      </c>
      <c r="AK52" s="1" cm="1">
        <f t="array" ref="AK52">IF(INDEX($I$3:$L$22,MATCH($P52,$G$3:$G$22,0),$Q52)=AK$2,$S52+$O52+9,$S52+$O52)</f>
        <v>42612030</v>
      </c>
      <c r="AL52" s="1" cm="1">
        <f t="array" ref="AL52">IF(INDEX($I$3:$L$22,MATCH($P52,$G$3:$G$22,0),$Q52)=AL$2,$S52+$O52+9,$S52+$O52)</f>
        <v>42612021</v>
      </c>
      <c r="AM52" s="1" cm="1">
        <f t="array" ref="AM52">IF(INDEX($I$3:$L$22,MATCH($P52,$G$3:$G$22,0),$Q52)=AM$2,$S52+$O52+9,$S52+$O52)</f>
        <v>42612021</v>
      </c>
      <c r="AN52" s="1" cm="1">
        <f t="array" ref="AN52">IF(INDEX($I$3:$L$22,MATCH($P52,$G$3:$G$22,0),$Q52)=AN$2,$S52+$O52+9,$S52+$O52)</f>
        <v>42612021</v>
      </c>
      <c r="AO52" s="1" cm="1">
        <f t="array" ref="AO52">IF(INDEX($I$3:$L$22,MATCH($P52,$G$3:$G$22,0),$Q52)=AO$2,$S52+$O52+9,$S52+$O52)</f>
        <v>42612021</v>
      </c>
      <c r="AP52" s="1" cm="1">
        <f t="array" ref="AP52">IF(INDEX($I$3:$L$22,MATCH($P52,$G$3:$G$22,0),$Q52)=AP$2,$S52+$O52+9,$S52+$O52)</f>
        <v>42612021</v>
      </c>
      <c r="AQ52" s="1" cm="1">
        <f t="array" ref="AQ52">IF(INDEX($I$3:$L$22,MATCH($P52,$G$3:$G$22,0),$Q52)=AQ$2,$S52+$O52+9,$S52+$O52)</f>
        <v>42612021</v>
      </c>
      <c r="AR52" s="1" cm="1">
        <f t="array" ref="AR52">IF(INDEX($I$3:$L$22,MATCH($P52,$G$3:$G$22,0),$Q52)=AR$2,$S52+$O52+9,$S52+$O52)</f>
        <v>42612021</v>
      </c>
      <c r="AS52" s="1" cm="1">
        <f t="array" ref="AS52">IF(INDEX($I$3:$L$22,MATCH($P52,$G$3:$G$22,0),$Q52)=AS$2,$S52+$O52+9,$S52+$O52)</f>
        <v>42612021</v>
      </c>
      <c r="AT52" s="1" cm="1">
        <f t="array" ref="AT52">IF(INDEX($I$3:$L$22,MATCH($P52,$G$3:$G$22,0),$Q52)=AT$2,$S52+$O52+9,$S52+$O52)</f>
        <v>42612021</v>
      </c>
      <c r="AU52" s="1" cm="1">
        <f t="array" ref="AU52">IF(INDEX($I$3:$L$22,MATCH($P52,$G$3:$G$22,0),$Q52)=AU$2,$S52+$O52+9,$S52+$O52)</f>
        <v>42612021</v>
      </c>
      <c r="AV52" s="1" cm="1">
        <f t="array" ref="AV52">IF(INDEX($I$3:$L$22,MATCH($P52,$G$3:$G$22,0),$Q52)=AV$2,$S52+$O52+9,$S52+$O52)</f>
        <v>42612021</v>
      </c>
      <c r="AW52" s="1" cm="1">
        <f t="array" ref="AW52">IF(INDEX($I$3:$L$22,MATCH($P52,$G$3:$G$22,0),$Q52)=AW$2,$S52+$O52+9,$S52+$O52)</f>
        <v>42612021</v>
      </c>
      <c r="AX52" s="1" cm="1">
        <f t="array" ref="AX52">IF(INDEX($I$3:$L$22,MATCH($P52,$G$3:$G$22,0),$Q52)=AX$2,$S52+$O52+9,$S52+$O52)</f>
        <v>42612021</v>
      </c>
      <c r="AY52" s="1" cm="1">
        <f t="array" ref="AY52">IF(INDEX($I$3:$L$22,MATCH($P52,$G$3:$G$22,0),$Q52)=AY$2,$S52+$O52+9,$S52+$O52)</f>
        <v>42612021</v>
      </c>
      <c r="AZ52" s="1" cm="1">
        <f t="array" ref="AZ52">IF(INDEX($I$3:$L$22,MATCH($P52,$G$3:$G$22,0),$Q52)=AZ$2,$S52+$O52+9,$S52+$O52)</f>
        <v>42612021</v>
      </c>
      <c r="BA52" s="1" cm="1">
        <f t="array" ref="BA52">IF(INDEX($I$3:$L$22,MATCH($P52,$G$3:$G$22,0),$Q52)=BA$2,$S52+$O52+9,$S52+$O52)</f>
        <v>42612021</v>
      </c>
      <c r="BB52" s="1" cm="1">
        <f t="array" ref="BB52">IF(INDEX($I$3:$L$22,MATCH($P52,$G$3:$G$22,0),$Q52)=BB$2,$S52+$O52+9,$S52+$O52)</f>
        <v>42612021</v>
      </c>
      <c r="BC52" s="1" cm="1">
        <f t="array" ref="BC52">IF(INDEX($I$3:$L$22,MATCH($P52,$G$3:$G$22,0),$Q52)=BC$2,$S52+$O52+9,$S52+$O52)</f>
        <v>42612021</v>
      </c>
      <c r="BD52" s="1" cm="1">
        <f t="array" ref="BD52">IF(INDEX($I$3:$L$22,MATCH($P52,$G$3:$G$22,0),$Q52)=BD$2,$S52+$O52+9,$S52+$O52)</f>
        <v>42612021</v>
      </c>
      <c r="BE52" s="1" cm="1">
        <f t="array" ref="BE52">IF(INDEX($I$3:$L$22,MATCH($P52,$G$3:$G$22,0),$Q52)=BE$2,$S52+$O52+9,$S52+$O52)</f>
        <v>42612021</v>
      </c>
      <c r="BF52" s="1" cm="1">
        <f t="array" ref="BF52">IF(INDEX($I$3:$L$22,MATCH($P52,$G$3:$G$22,0),$Q52)=BF$2,$S52+$O52+9,$S52+$O52)</f>
        <v>42612021</v>
      </c>
      <c r="BG52" s="1" cm="1">
        <f t="array" ref="BG52">IF(INDEX($I$3:$L$22,MATCH($P52,$G$3:$G$22,0),$Q52)=BG$2,$S52+$O52+9,$S52+$O52)</f>
        <v>42612021</v>
      </c>
      <c r="BH52" s="1" cm="1">
        <f t="array" ref="BH52">IF(INDEX($I$3:$L$22,MATCH($P52,$G$3:$G$22,0),$Q52)=BH$2,$S52+$O52+9,$S52+$O52)</f>
        <v>42612021</v>
      </c>
      <c r="BI52" s="1" cm="1">
        <f t="array" ref="BI52">IF(INDEX($I$3:$L$22,MATCH($P52,$G$3:$G$22,0),$Q52)=BI$2,$S52+$O52+9,$S52+$O52)</f>
        <v>42612021</v>
      </c>
      <c r="BJ52" s="1" cm="1">
        <f t="array" ref="BJ52">IF(INDEX($I$3:$L$22,MATCH($P52,$G$3:$G$22,0),$Q52)=BJ$2,$S52+$O52+9,$S52+$O52)</f>
        <v>42612021</v>
      </c>
      <c r="BK52" s="1" cm="1">
        <f t="array" ref="BK52">IF(INDEX($I$3:$L$22,MATCH($P52,$G$3:$G$22,0),$Q52)=BK$2,$S52+$O52+9,$S52+$O52)</f>
        <v>42612021</v>
      </c>
      <c r="BL52" s="1" cm="1">
        <f t="array" ref="BL52">IF(INDEX($I$3:$L$22,MATCH($P52,$G$3:$G$22,0),$Q52)=BL$2,$S52+$O52+9,$S52+$O52)</f>
        <v>42612021</v>
      </c>
      <c r="BM52" s="1" cm="1">
        <f t="array" ref="BM52">IF(INDEX($I$3:$L$22,MATCH($P52,$G$3:$G$22,0),$Q52)=BM$2,$S52+$O52+9,$S52+$O52)</f>
        <v>42612021</v>
      </c>
      <c r="BN52" s="1" cm="1">
        <f t="array" ref="BN52">IF(INDEX($I$3:$L$22,MATCH($P52,$G$3:$G$22,0),$Q52)=BN$2,$S52+$O52+9,$S52+$O52)</f>
        <v>42612021</v>
      </c>
      <c r="BO52" s="1" cm="1">
        <f t="array" ref="BO52">IF(INDEX($I$3:$L$22,MATCH($P52,$G$3:$G$22,0),$Q52)=BO$2,$S52+$O52+9,$S52+$O52)</f>
        <v>42612021</v>
      </c>
      <c r="BP52" s="1" cm="1">
        <f t="array" ref="BP52">IF(INDEX($I$3:$L$22,MATCH($P52,$G$3:$G$22,0),$Q52)=BP$2,$S52+$O52+9,$S52+$O52)</f>
        <v>42612021</v>
      </c>
      <c r="BQ52" s="1" cm="1">
        <f t="array" ref="BQ52">IF(INDEX($I$3:$L$22,MATCH($P52,$G$3:$G$22,0),$Q52)=BQ$2,$S52+$O52+9,$S52+$O52)</f>
        <v>42612021</v>
      </c>
      <c r="BR52" s="1" cm="1">
        <f t="array" ref="BR52">IF(INDEX($I$3:$L$22,MATCH($P52,$G$3:$G$22,0),$Q52)=BR$2,$S52+$O52+9,$S52+$O52)</f>
        <v>42612021</v>
      </c>
      <c r="BS52" s="1" cm="1">
        <f t="array" ref="BS52">IF(INDEX($I$3:$L$22,MATCH($P52,$G$3:$G$22,0),$Q52)=BS$2,$S52+$O52+9,$S52+$O52)</f>
        <v>42612021</v>
      </c>
      <c r="BT52" s="1" cm="1">
        <f t="array" ref="BT52">IF(INDEX($I$3:$L$22,MATCH($P52,$G$3:$G$22,0),$Q52)=BT$2,$S52+$O52+9,$S52+$O52)</f>
        <v>42612021</v>
      </c>
    </row>
    <row r="53" spans="14:72" x14ac:dyDescent="0.15">
      <c r="N53" s="1">
        <v>50001</v>
      </c>
      <c r="O53" s="1">
        <f t="shared" si="5"/>
        <v>21</v>
      </c>
      <c r="P53" s="1">
        <f t="shared" si="6"/>
        <v>302</v>
      </c>
      <c r="Q53" s="1">
        <f t="shared" si="7"/>
        <v>3</v>
      </c>
      <c r="R53" s="1" t="s">
        <v>16</v>
      </c>
      <c r="S53" s="1">
        <v>42713000</v>
      </c>
      <c r="T53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</v>
      </c>
      <c r="W53" s="1" cm="1">
        <f t="array" ref="W53">IF(INDEX($I$3:$L$22,MATCH($P53,$G$3:$G$22,0),$Q53)=W$2,$S53+$O53+9,$S53+$O53)</f>
        <v>42713021</v>
      </c>
      <c r="X53" s="1" cm="1">
        <f t="array" ref="X53">IF(INDEX($I$3:$L$22,MATCH($P53,$G$3:$G$22,0),$Q53)=X$2,$S53+$O53+9,$S53+$O53)</f>
        <v>42713021</v>
      </c>
      <c r="Y53" s="1" cm="1">
        <f t="array" ref="Y53">IF(INDEX($I$3:$L$22,MATCH($P53,$G$3:$G$22,0),$Q53)=Y$2,$S53+$O53+9,$S53+$O53)</f>
        <v>42713021</v>
      </c>
      <c r="Z53" s="1" cm="1">
        <f t="array" ref="Z53">IF(INDEX($I$3:$L$22,MATCH($P53,$G$3:$G$22,0),$Q53)=Z$2,$S53+$O53+9,$S53+$O53)</f>
        <v>42713021</v>
      </c>
      <c r="AA53" s="1" cm="1">
        <f t="array" ref="AA53">IF(INDEX($I$3:$L$22,MATCH($P53,$G$3:$G$22,0),$Q53)=AA$2,$S53+$O53+9,$S53+$O53)</f>
        <v>42713021</v>
      </c>
      <c r="AB53" s="1" cm="1">
        <f t="array" ref="AB53">IF(INDEX($I$3:$L$22,MATCH($P53,$G$3:$G$22,0),$Q53)=AB$2,$S53+$O53+9,$S53+$O53)</f>
        <v>42713021</v>
      </c>
      <c r="AC53" s="1" cm="1">
        <f t="array" ref="AC53">IF(INDEX($I$3:$L$22,MATCH($P53,$G$3:$G$22,0),$Q53)=AC$2,$S53+$O53+9,$S53+$O53)</f>
        <v>42713021</v>
      </c>
      <c r="AD53" s="1" cm="1">
        <f t="array" ref="AD53">IF(INDEX($I$3:$L$22,MATCH($P53,$G$3:$G$22,0),$Q53)=AD$2,$S53+$O53+9,$S53+$O53)</f>
        <v>42713021</v>
      </c>
      <c r="AE53" s="1" cm="1">
        <f t="array" ref="AE53">IF(INDEX($I$3:$L$22,MATCH($P53,$G$3:$G$22,0),$Q53)=AE$2,$S53+$O53+9,$S53+$O53)</f>
        <v>42713021</v>
      </c>
      <c r="AF53" s="1" cm="1">
        <f t="array" ref="AF53">IF(INDEX($I$3:$L$22,MATCH($P53,$G$3:$G$22,0),$Q53)=AF$2,$S53+$O53+9,$S53+$O53)</f>
        <v>42713021</v>
      </c>
      <c r="AG53" s="1" cm="1">
        <f t="array" ref="AG53">IF(INDEX($I$3:$L$22,MATCH($P53,$G$3:$G$22,0),$Q53)=AG$2,$S53+$O53+9,$S53+$O53)</f>
        <v>42713021</v>
      </c>
      <c r="AH53" s="1" cm="1">
        <f t="array" ref="AH53">IF(INDEX($I$3:$L$22,MATCH($P53,$G$3:$G$22,0),$Q53)=AH$2,$S53+$O53+9,$S53+$O53)</f>
        <v>42713021</v>
      </c>
      <c r="AI53" s="1" cm="1">
        <f t="array" ref="AI53">IF(INDEX($I$3:$L$22,MATCH($P53,$G$3:$G$22,0),$Q53)=AI$2,$S53+$O53+9,$S53+$O53)</f>
        <v>42713021</v>
      </c>
      <c r="AJ53" s="1" cm="1">
        <f t="array" ref="AJ53">IF(INDEX($I$3:$L$22,MATCH($P53,$G$3:$G$22,0),$Q53)=AJ$2,$S53+$O53+9,$S53+$O53)</f>
        <v>42713021</v>
      </c>
      <c r="AK53" s="1" cm="1">
        <f t="array" ref="AK53">IF(INDEX($I$3:$L$22,MATCH($P53,$G$3:$G$22,0),$Q53)=AK$2,$S53+$O53+9,$S53+$O53)</f>
        <v>42713021</v>
      </c>
      <c r="AL53" s="1" cm="1">
        <f t="array" ref="AL53">IF(INDEX($I$3:$L$22,MATCH($P53,$G$3:$G$22,0),$Q53)=AL$2,$S53+$O53+9,$S53+$O53)</f>
        <v>42713021</v>
      </c>
      <c r="AM53" s="1" cm="1">
        <f t="array" ref="AM53">IF(INDEX($I$3:$L$22,MATCH($P53,$G$3:$G$22,0),$Q53)=AM$2,$S53+$O53+9,$S53+$O53)</f>
        <v>42713021</v>
      </c>
      <c r="AN53" s="1" cm="1">
        <f t="array" ref="AN53">IF(INDEX($I$3:$L$22,MATCH($P53,$G$3:$G$22,0),$Q53)=AN$2,$S53+$O53+9,$S53+$O53)</f>
        <v>42713021</v>
      </c>
      <c r="AO53" s="1" cm="1">
        <f t="array" ref="AO53">IF(INDEX($I$3:$L$22,MATCH($P53,$G$3:$G$22,0),$Q53)=AO$2,$S53+$O53+9,$S53+$O53)</f>
        <v>42713021</v>
      </c>
      <c r="AP53" s="1" cm="1">
        <f t="array" ref="AP53">IF(INDEX($I$3:$L$22,MATCH($P53,$G$3:$G$22,0),$Q53)=AP$2,$S53+$O53+9,$S53+$O53)</f>
        <v>42713021</v>
      </c>
      <c r="AQ53" s="1" cm="1">
        <f t="array" ref="AQ53">IF(INDEX($I$3:$L$22,MATCH($P53,$G$3:$G$22,0),$Q53)=AQ$2,$S53+$O53+9,$S53+$O53)</f>
        <v>42713021</v>
      </c>
      <c r="AR53" s="1" cm="1">
        <f t="array" ref="AR53">IF(INDEX($I$3:$L$22,MATCH($P53,$G$3:$G$22,0),$Q53)=AR$2,$S53+$O53+9,$S53+$O53)</f>
        <v>42713021</v>
      </c>
      <c r="AS53" s="1" cm="1">
        <f t="array" ref="AS53">IF(INDEX($I$3:$L$22,MATCH($P53,$G$3:$G$22,0),$Q53)=AS$2,$S53+$O53+9,$S53+$O53)</f>
        <v>42713021</v>
      </c>
      <c r="AT53" s="1" cm="1">
        <f t="array" ref="AT53">IF(INDEX($I$3:$L$22,MATCH($P53,$G$3:$G$22,0),$Q53)=AT$2,$S53+$O53+9,$S53+$O53)</f>
        <v>42713021</v>
      </c>
      <c r="AU53" s="1" cm="1">
        <f t="array" ref="AU53">IF(INDEX($I$3:$L$22,MATCH($P53,$G$3:$G$22,0),$Q53)=AU$2,$S53+$O53+9,$S53+$O53)</f>
        <v>42713021</v>
      </c>
      <c r="AV53" s="1" cm="1">
        <f t="array" ref="AV53">IF(INDEX($I$3:$L$22,MATCH($P53,$G$3:$G$22,0),$Q53)=AV$2,$S53+$O53+9,$S53+$O53)</f>
        <v>42713021</v>
      </c>
      <c r="AW53" s="1" cm="1">
        <f t="array" ref="AW53">IF(INDEX($I$3:$L$22,MATCH($P53,$G$3:$G$22,0),$Q53)=AW$2,$S53+$O53+9,$S53+$O53)</f>
        <v>42713021</v>
      </c>
      <c r="AX53" s="1" cm="1">
        <f t="array" ref="AX53">IF(INDEX($I$3:$L$22,MATCH($P53,$G$3:$G$22,0),$Q53)=AX$2,$S53+$O53+9,$S53+$O53)</f>
        <v>42713021</v>
      </c>
      <c r="AY53" s="1" cm="1">
        <f t="array" ref="AY53">IF(INDEX($I$3:$L$22,MATCH($P53,$G$3:$G$22,0),$Q53)=AY$2,$S53+$O53+9,$S53+$O53)</f>
        <v>42713021</v>
      </c>
      <c r="AZ53" s="1" cm="1">
        <f t="array" ref="AZ53">IF(INDEX($I$3:$L$22,MATCH($P53,$G$3:$G$22,0),$Q53)=AZ$2,$S53+$O53+9,$S53+$O53)</f>
        <v>42713021</v>
      </c>
      <c r="BA53" s="1" cm="1">
        <f t="array" ref="BA53">IF(INDEX($I$3:$L$22,MATCH($P53,$G$3:$G$22,0),$Q53)=BA$2,$S53+$O53+9,$S53+$O53)</f>
        <v>42713021</v>
      </c>
      <c r="BB53" s="1" cm="1">
        <f t="array" ref="BB53">IF(INDEX($I$3:$L$22,MATCH($P53,$G$3:$G$22,0),$Q53)=BB$2,$S53+$O53+9,$S53+$O53)</f>
        <v>42713021</v>
      </c>
      <c r="BC53" s="1" cm="1">
        <f t="array" ref="BC53">IF(INDEX($I$3:$L$22,MATCH($P53,$G$3:$G$22,0),$Q53)=BC$2,$S53+$O53+9,$S53+$O53)</f>
        <v>42713021</v>
      </c>
      <c r="BD53" s="1" cm="1">
        <f t="array" ref="BD53">IF(INDEX($I$3:$L$22,MATCH($P53,$G$3:$G$22,0),$Q53)=BD$2,$S53+$O53+9,$S53+$O53)</f>
        <v>42713021</v>
      </c>
      <c r="BE53" s="1" cm="1">
        <f t="array" ref="BE53">IF(INDEX($I$3:$L$22,MATCH($P53,$G$3:$G$22,0),$Q53)=BE$2,$S53+$O53+9,$S53+$O53)</f>
        <v>42713021</v>
      </c>
      <c r="BF53" s="1" cm="1">
        <f t="array" ref="BF53">IF(INDEX($I$3:$L$22,MATCH($P53,$G$3:$G$22,0),$Q53)=BF$2,$S53+$O53+9,$S53+$O53)</f>
        <v>42713021</v>
      </c>
      <c r="BG53" s="1" cm="1">
        <f t="array" ref="BG53">IF(INDEX($I$3:$L$22,MATCH($P53,$G$3:$G$22,0),$Q53)=BG$2,$S53+$O53+9,$S53+$O53)</f>
        <v>42713021</v>
      </c>
      <c r="BH53" s="1" cm="1">
        <f t="array" ref="BH53">IF(INDEX($I$3:$L$22,MATCH($P53,$G$3:$G$22,0),$Q53)=BH$2,$S53+$O53+9,$S53+$O53)</f>
        <v>42713021</v>
      </c>
      <c r="BI53" s="1" cm="1">
        <f t="array" ref="BI53">IF(INDEX($I$3:$L$22,MATCH($P53,$G$3:$G$22,0),$Q53)=BI$2,$S53+$O53+9,$S53+$O53)</f>
        <v>42713021</v>
      </c>
      <c r="BJ53" s="1" cm="1">
        <f t="array" ref="BJ53">IF(INDEX($I$3:$L$22,MATCH($P53,$G$3:$G$22,0),$Q53)=BJ$2,$S53+$O53+9,$S53+$O53)</f>
        <v>42713021</v>
      </c>
      <c r="BK53" s="1" cm="1">
        <f t="array" ref="BK53">IF(INDEX($I$3:$L$22,MATCH($P53,$G$3:$G$22,0),$Q53)=BK$2,$S53+$O53+9,$S53+$O53)</f>
        <v>42713021</v>
      </c>
      <c r="BL53" s="1" cm="1">
        <f t="array" ref="BL53">IF(INDEX($I$3:$L$22,MATCH($P53,$G$3:$G$22,0),$Q53)=BL$2,$S53+$O53+9,$S53+$O53)</f>
        <v>42713021</v>
      </c>
      <c r="BM53" s="1" cm="1">
        <f t="array" ref="BM53">IF(INDEX($I$3:$L$22,MATCH($P53,$G$3:$G$22,0),$Q53)=BM$2,$S53+$O53+9,$S53+$O53)</f>
        <v>42713021</v>
      </c>
      <c r="BN53" s="1" cm="1">
        <f t="array" ref="BN53">IF(INDEX($I$3:$L$22,MATCH($P53,$G$3:$G$22,0),$Q53)=BN$2,$S53+$O53+9,$S53+$O53)</f>
        <v>42713021</v>
      </c>
      <c r="BO53" s="1" cm="1">
        <f t="array" ref="BO53">IF(INDEX($I$3:$L$22,MATCH($P53,$G$3:$G$22,0),$Q53)=BO$2,$S53+$O53+9,$S53+$O53)</f>
        <v>42713021</v>
      </c>
      <c r="BP53" s="1" cm="1">
        <f t="array" ref="BP53">IF(INDEX($I$3:$L$22,MATCH($P53,$G$3:$G$22,0),$Q53)=BP$2,$S53+$O53+9,$S53+$O53)</f>
        <v>42713021</v>
      </c>
      <c r="BQ53" s="1" cm="1">
        <f t="array" ref="BQ53">IF(INDEX($I$3:$L$22,MATCH($P53,$G$3:$G$22,0),$Q53)=BQ$2,$S53+$O53+9,$S53+$O53)</f>
        <v>42713021</v>
      </c>
      <c r="BR53" s="1" cm="1">
        <f t="array" ref="BR53">IF(INDEX($I$3:$L$22,MATCH($P53,$G$3:$G$22,0),$Q53)=BR$2,$S53+$O53+9,$S53+$O53)</f>
        <v>42713030</v>
      </c>
      <c r="BS53" s="1" cm="1">
        <f t="array" ref="BS53">IF(INDEX($I$3:$L$22,MATCH($P53,$G$3:$G$22,0),$Q53)=BS$2,$S53+$O53+9,$S53+$O53)</f>
        <v>42713021</v>
      </c>
      <c r="BT53" s="1" cm="1">
        <f t="array" ref="BT53">IF(INDEX($I$3:$L$22,MATCH($P53,$G$3:$G$22,0),$Q53)=BT$2,$S53+$O53+9,$S53+$O53)</f>
        <v>42713021</v>
      </c>
    </row>
    <row r="54" spans="14:72" x14ac:dyDescent="0.15">
      <c r="N54" s="1">
        <v>50001</v>
      </c>
      <c r="O54" s="1">
        <f t="shared" si="5"/>
        <v>21</v>
      </c>
      <c r="P54" s="1">
        <f t="shared" si="6"/>
        <v>302</v>
      </c>
      <c r="Q54" s="1">
        <f t="shared" si="7"/>
        <v>4</v>
      </c>
      <c r="R54" s="1" t="s">
        <v>15</v>
      </c>
      <c r="S54" s="1">
        <v>42716000</v>
      </c>
      <c r="T54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</v>
      </c>
      <c r="W54" s="1" cm="1">
        <f t="array" ref="W54">IF(INDEX($I$3:$L$22,MATCH($P54,$G$3:$G$22,0),$Q54)=W$2,$S54+$O54+9,$S54+$O54)</f>
        <v>42716021</v>
      </c>
      <c r="X54" s="1" cm="1">
        <f t="array" ref="X54">IF(INDEX($I$3:$L$22,MATCH($P54,$G$3:$G$22,0),$Q54)=X$2,$S54+$O54+9,$S54+$O54)</f>
        <v>42716021</v>
      </c>
      <c r="Y54" s="1" cm="1">
        <f t="array" ref="Y54">IF(INDEX($I$3:$L$22,MATCH($P54,$G$3:$G$22,0),$Q54)=Y$2,$S54+$O54+9,$S54+$O54)</f>
        <v>42716021</v>
      </c>
      <c r="Z54" s="1" cm="1">
        <f t="array" ref="Z54">IF(INDEX($I$3:$L$22,MATCH($P54,$G$3:$G$22,0),$Q54)=Z$2,$S54+$O54+9,$S54+$O54)</f>
        <v>42716021</v>
      </c>
      <c r="AA54" s="1" cm="1">
        <f t="array" ref="AA54">IF(INDEX($I$3:$L$22,MATCH($P54,$G$3:$G$22,0),$Q54)=AA$2,$S54+$O54+9,$S54+$O54)</f>
        <v>42716021</v>
      </c>
      <c r="AB54" s="1" cm="1">
        <f t="array" ref="AB54">IF(INDEX($I$3:$L$22,MATCH($P54,$G$3:$G$22,0),$Q54)=AB$2,$S54+$O54+9,$S54+$O54)</f>
        <v>42716021</v>
      </c>
      <c r="AC54" s="1" cm="1">
        <f t="array" ref="AC54">IF(INDEX($I$3:$L$22,MATCH($P54,$G$3:$G$22,0),$Q54)=AC$2,$S54+$O54+9,$S54+$O54)</f>
        <v>42716021</v>
      </c>
      <c r="AD54" s="1" cm="1">
        <f t="array" ref="AD54">IF(INDEX($I$3:$L$22,MATCH($P54,$G$3:$G$22,0),$Q54)=AD$2,$S54+$O54+9,$S54+$O54)</f>
        <v>42716021</v>
      </c>
      <c r="AE54" s="1" cm="1">
        <f t="array" ref="AE54">IF(INDEX($I$3:$L$22,MATCH($P54,$G$3:$G$22,0),$Q54)=AE$2,$S54+$O54+9,$S54+$O54)</f>
        <v>42716021</v>
      </c>
      <c r="AF54" s="1" cm="1">
        <f t="array" ref="AF54">IF(INDEX($I$3:$L$22,MATCH($P54,$G$3:$G$22,0),$Q54)=AF$2,$S54+$O54+9,$S54+$O54)</f>
        <v>42716021</v>
      </c>
      <c r="AG54" s="1" cm="1">
        <f t="array" ref="AG54">IF(INDEX($I$3:$L$22,MATCH($P54,$G$3:$G$22,0),$Q54)=AG$2,$S54+$O54+9,$S54+$O54)</f>
        <v>42716021</v>
      </c>
      <c r="AH54" s="1" cm="1">
        <f t="array" ref="AH54">IF(INDEX($I$3:$L$22,MATCH($P54,$G$3:$G$22,0),$Q54)=AH$2,$S54+$O54+9,$S54+$O54)</f>
        <v>42716021</v>
      </c>
      <c r="AI54" s="1" cm="1">
        <f t="array" ref="AI54">IF(INDEX($I$3:$L$22,MATCH($P54,$G$3:$G$22,0),$Q54)=AI$2,$S54+$O54+9,$S54+$O54)</f>
        <v>42716021</v>
      </c>
      <c r="AJ54" s="1" cm="1">
        <f t="array" ref="AJ54">IF(INDEX($I$3:$L$22,MATCH($P54,$G$3:$G$22,0),$Q54)=AJ$2,$S54+$O54+9,$S54+$O54)</f>
        <v>42716021</v>
      </c>
      <c r="AK54" s="1" cm="1">
        <f t="array" ref="AK54">IF(INDEX($I$3:$L$22,MATCH($P54,$G$3:$G$22,0),$Q54)=AK$2,$S54+$O54+9,$S54+$O54)</f>
        <v>42716021</v>
      </c>
      <c r="AL54" s="1" cm="1">
        <f t="array" ref="AL54">IF(INDEX($I$3:$L$22,MATCH($P54,$G$3:$G$22,0),$Q54)=AL$2,$S54+$O54+9,$S54+$O54)</f>
        <v>42716021</v>
      </c>
      <c r="AM54" s="1" cm="1">
        <f t="array" ref="AM54">IF(INDEX($I$3:$L$22,MATCH($P54,$G$3:$G$22,0),$Q54)=AM$2,$S54+$O54+9,$S54+$O54)</f>
        <v>42716021</v>
      </c>
      <c r="AN54" s="1" cm="1">
        <f t="array" ref="AN54">IF(INDEX($I$3:$L$22,MATCH($P54,$G$3:$G$22,0),$Q54)=AN$2,$S54+$O54+9,$S54+$O54)</f>
        <v>42716021</v>
      </c>
      <c r="AO54" s="1" cm="1">
        <f t="array" ref="AO54">IF(INDEX($I$3:$L$22,MATCH($P54,$G$3:$G$22,0),$Q54)=AO$2,$S54+$O54+9,$S54+$O54)</f>
        <v>42716021</v>
      </c>
      <c r="AP54" s="1" cm="1">
        <f t="array" ref="AP54">IF(INDEX($I$3:$L$22,MATCH($P54,$G$3:$G$22,0),$Q54)=AP$2,$S54+$O54+9,$S54+$O54)</f>
        <v>42716021</v>
      </c>
      <c r="AQ54" s="1" cm="1">
        <f t="array" ref="AQ54">IF(INDEX($I$3:$L$22,MATCH($P54,$G$3:$G$22,0),$Q54)=AQ$2,$S54+$O54+9,$S54+$O54)</f>
        <v>42716021</v>
      </c>
      <c r="AR54" s="1" cm="1">
        <f t="array" ref="AR54">IF(INDEX($I$3:$L$22,MATCH($P54,$G$3:$G$22,0),$Q54)=AR$2,$S54+$O54+9,$S54+$O54)</f>
        <v>42716021</v>
      </c>
      <c r="AS54" s="1" cm="1">
        <f t="array" ref="AS54">IF(INDEX($I$3:$L$22,MATCH($P54,$G$3:$G$22,0),$Q54)=AS$2,$S54+$O54+9,$S54+$O54)</f>
        <v>42716021</v>
      </c>
      <c r="AT54" s="1" cm="1">
        <f t="array" ref="AT54">IF(INDEX($I$3:$L$22,MATCH($P54,$G$3:$G$22,0),$Q54)=AT$2,$S54+$O54+9,$S54+$O54)</f>
        <v>42716021</v>
      </c>
      <c r="AU54" s="1" cm="1">
        <f t="array" ref="AU54">IF(INDEX($I$3:$L$22,MATCH($P54,$G$3:$G$22,0),$Q54)=AU$2,$S54+$O54+9,$S54+$O54)</f>
        <v>42716021</v>
      </c>
      <c r="AV54" s="1" cm="1">
        <f t="array" ref="AV54">IF(INDEX($I$3:$L$22,MATCH($P54,$G$3:$G$22,0),$Q54)=AV$2,$S54+$O54+9,$S54+$O54)</f>
        <v>42716021</v>
      </c>
      <c r="AW54" s="1" cm="1">
        <f t="array" ref="AW54">IF(INDEX($I$3:$L$22,MATCH($P54,$G$3:$G$22,0),$Q54)=AW$2,$S54+$O54+9,$S54+$O54)</f>
        <v>42716021</v>
      </c>
      <c r="AX54" s="1" cm="1">
        <f t="array" ref="AX54">IF(INDEX($I$3:$L$22,MATCH($P54,$G$3:$G$22,0),$Q54)=AX$2,$S54+$O54+9,$S54+$O54)</f>
        <v>42716021</v>
      </c>
      <c r="AY54" s="1" cm="1">
        <f t="array" ref="AY54">IF(INDEX($I$3:$L$22,MATCH($P54,$G$3:$G$22,0),$Q54)=AY$2,$S54+$O54+9,$S54+$O54)</f>
        <v>42716030</v>
      </c>
      <c r="AZ54" s="1" cm="1">
        <f t="array" ref="AZ54">IF(INDEX($I$3:$L$22,MATCH($P54,$G$3:$G$22,0),$Q54)=AZ$2,$S54+$O54+9,$S54+$O54)</f>
        <v>42716021</v>
      </c>
      <c r="BA54" s="1" cm="1">
        <f t="array" ref="BA54">IF(INDEX($I$3:$L$22,MATCH($P54,$G$3:$G$22,0),$Q54)=BA$2,$S54+$O54+9,$S54+$O54)</f>
        <v>42716021</v>
      </c>
      <c r="BB54" s="1" cm="1">
        <f t="array" ref="BB54">IF(INDEX($I$3:$L$22,MATCH($P54,$G$3:$G$22,0),$Q54)=BB$2,$S54+$O54+9,$S54+$O54)</f>
        <v>42716021</v>
      </c>
      <c r="BC54" s="1" cm="1">
        <f t="array" ref="BC54">IF(INDEX($I$3:$L$22,MATCH($P54,$G$3:$G$22,0),$Q54)=BC$2,$S54+$O54+9,$S54+$O54)</f>
        <v>42716021</v>
      </c>
      <c r="BD54" s="1" cm="1">
        <f t="array" ref="BD54">IF(INDEX($I$3:$L$22,MATCH($P54,$G$3:$G$22,0),$Q54)=BD$2,$S54+$O54+9,$S54+$O54)</f>
        <v>42716021</v>
      </c>
      <c r="BE54" s="1" cm="1">
        <f t="array" ref="BE54">IF(INDEX($I$3:$L$22,MATCH($P54,$G$3:$G$22,0),$Q54)=BE$2,$S54+$O54+9,$S54+$O54)</f>
        <v>42716021</v>
      </c>
      <c r="BF54" s="1" cm="1">
        <f t="array" ref="BF54">IF(INDEX($I$3:$L$22,MATCH($P54,$G$3:$G$22,0),$Q54)=BF$2,$S54+$O54+9,$S54+$O54)</f>
        <v>42716021</v>
      </c>
      <c r="BG54" s="1" cm="1">
        <f t="array" ref="BG54">IF(INDEX($I$3:$L$22,MATCH($P54,$G$3:$G$22,0),$Q54)=BG$2,$S54+$O54+9,$S54+$O54)</f>
        <v>42716021</v>
      </c>
      <c r="BH54" s="1" cm="1">
        <f t="array" ref="BH54">IF(INDEX($I$3:$L$22,MATCH($P54,$G$3:$G$22,0),$Q54)=BH$2,$S54+$O54+9,$S54+$O54)</f>
        <v>42716021</v>
      </c>
      <c r="BI54" s="1" cm="1">
        <f t="array" ref="BI54">IF(INDEX($I$3:$L$22,MATCH($P54,$G$3:$G$22,0),$Q54)=BI$2,$S54+$O54+9,$S54+$O54)</f>
        <v>42716021</v>
      </c>
      <c r="BJ54" s="1" cm="1">
        <f t="array" ref="BJ54">IF(INDEX($I$3:$L$22,MATCH($P54,$G$3:$G$22,0),$Q54)=BJ$2,$S54+$O54+9,$S54+$O54)</f>
        <v>42716021</v>
      </c>
      <c r="BK54" s="1" cm="1">
        <f t="array" ref="BK54">IF(INDEX($I$3:$L$22,MATCH($P54,$G$3:$G$22,0),$Q54)=BK$2,$S54+$O54+9,$S54+$O54)</f>
        <v>42716021</v>
      </c>
      <c r="BL54" s="1" cm="1">
        <f t="array" ref="BL54">IF(INDEX($I$3:$L$22,MATCH($P54,$G$3:$G$22,0),$Q54)=BL$2,$S54+$O54+9,$S54+$O54)</f>
        <v>42716021</v>
      </c>
      <c r="BM54" s="1" cm="1">
        <f t="array" ref="BM54">IF(INDEX($I$3:$L$22,MATCH($P54,$G$3:$G$22,0),$Q54)=BM$2,$S54+$O54+9,$S54+$O54)</f>
        <v>42716021</v>
      </c>
      <c r="BN54" s="1" cm="1">
        <f t="array" ref="BN54">IF(INDEX($I$3:$L$22,MATCH($P54,$G$3:$G$22,0),$Q54)=BN$2,$S54+$O54+9,$S54+$O54)</f>
        <v>42716021</v>
      </c>
      <c r="BO54" s="1" cm="1">
        <f t="array" ref="BO54">IF(INDEX($I$3:$L$22,MATCH($P54,$G$3:$G$22,0),$Q54)=BO$2,$S54+$O54+9,$S54+$O54)</f>
        <v>42716021</v>
      </c>
      <c r="BP54" s="1" cm="1">
        <f t="array" ref="BP54">IF(INDEX($I$3:$L$22,MATCH($P54,$G$3:$G$22,0),$Q54)=BP$2,$S54+$O54+9,$S54+$O54)</f>
        <v>42716021</v>
      </c>
      <c r="BQ54" s="1" cm="1">
        <f t="array" ref="BQ54">IF(INDEX($I$3:$L$22,MATCH($P54,$G$3:$G$22,0),$Q54)=BQ$2,$S54+$O54+9,$S54+$O54)</f>
        <v>42716021</v>
      </c>
      <c r="BR54" s="1" cm="1">
        <f t="array" ref="BR54">IF(INDEX($I$3:$L$22,MATCH($P54,$G$3:$G$22,0),$Q54)=BR$2,$S54+$O54+9,$S54+$O54)</f>
        <v>42716021</v>
      </c>
      <c r="BS54" s="1" cm="1">
        <f t="array" ref="BS54">IF(INDEX($I$3:$L$22,MATCH($P54,$G$3:$G$22,0),$Q54)=BS$2,$S54+$O54+9,$S54+$O54)</f>
        <v>42716021</v>
      </c>
      <c r="BT54" s="1" cm="1">
        <f t="array" ref="BT54">IF(INDEX($I$3:$L$22,MATCH($P54,$G$3:$G$22,0),$Q54)=BT$2,$S54+$O54+9,$S54+$O54)</f>
        <v>42716021</v>
      </c>
    </row>
    <row r="55" spans="14:72" x14ac:dyDescent="0.15">
      <c r="N55" s="1">
        <v>50001</v>
      </c>
      <c r="O55" s="1">
        <f t="shared" ref="O55:O82" si="9">O35+10</f>
        <v>21</v>
      </c>
      <c r="P55" s="1">
        <f t="shared" ref="P55:P82" si="10">P35+100</f>
        <v>303</v>
      </c>
      <c r="Q55" s="1">
        <f t="shared" ref="Q55:Q82" si="11">Q35</f>
        <v>1</v>
      </c>
      <c r="R55" s="1" t="s">
        <v>18</v>
      </c>
      <c r="S55" s="1">
        <v>42711000</v>
      </c>
      <c r="T55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42711021,42711030</v>
      </c>
      <c r="W55" s="1" cm="1">
        <f t="array" ref="W55">IF(INDEX($I$3:$L$22,MATCH($P55,$G$3:$G$22,0),$Q55)=W$2,$S55+$O55+9,$S55+$O55)</f>
        <v>42711021</v>
      </c>
      <c r="X55" s="1" cm="1">
        <f t="array" ref="X55">IF(INDEX($I$3:$L$22,MATCH($P55,$G$3:$G$22,0),$Q55)=X$2,$S55+$O55+9,$S55+$O55)</f>
        <v>42711021</v>
      </c>
      <c r="Y55" s="1" cm="1">
        <f t="array" ref="Y55">IF(INDEX($I$3:$L$22,MATCH($P55,$G$3:$G$22,0),$Q55)=Y$2,$S55+$O55+9,$S55+$O55)</f>
        <v>42711021</v>
      </c>
      <c r="Z55" s="1" cm="1">
        <f t="array" ref="Z55">IF(INDEX($I$3:$L$22,MATCH($P55,$G$3:$G$22,0),$Q55)=Z$2,$S55+$O55+9,$S55+$O55)</f>
        <v>42711021</v>
      </c>
      <c r="AA55" s="1" cm="1">
        <f t="array" ref="AA55">IF(INDEX($I$3:$L$22,MATCH($P55,$G$3:$G$22,0),$Q55)=AA$2,$S55+$O55+9,$S55+$O55)</f>
        <v>42711021</v>
      </c>
      <c r="AB55" s="1" cm="1">
        <f t="array" ref="AB55">IF(INDEX($I$3:$L$22,MATCH($P55,$G$3:$G$22,0),$Q55)=AB$2,$S55+$O55+9,$S55+$O55)</f>
        <v>42711021</v>
      </c>
      <c r="AC55" s="1" cm="1">
        <f t="array" ref="AC55">IF(INDEX($I$3:$L$22,MATCH($P55,$G$3:$G$22,0),$Q55)=AC$2,$S55+$O55+9,$S55+$O55)</f>
        <v>42711021</v>
      </c>
      <c r="AD55" s="1" cm="1">
        <f t="array" ref="AD55">IF(INDEX($I$3:$L$22,MATCH($P55,$G$3:$G$22,0),$Q55)=AD$2,$S55+$O55+9,$S55+$O55)</f>
        <v>42711021</v>
      </c>
      <c r="AE55" s="1" cm="1">
        <f t="array" ref="AE55">IF(INDEX($I$3:$L$22,MATCH($P55,$G$3:$G$22,0),$Q55)=AE$2,$S55+$O55+9,$S55+$O55)</f>
        <v>42711021</v>
      </c>
      <c r="AF55" s="1" cm="1">
        <f t="array" ref="AF55">IF(INDEX($I$3:$L$22,MATCH($P55,$G$3:$G$22,0),$Q55)=AF$2,$S55+$O55+9,$S55+$O55)</f>
        <v>42711021</v>
      </c>
      <c r="AG55" s="1" cm="1">
        <f t="array" ref="AG55">IF(INDEX($I$3:$L$22,MATCH($P55,$G$3:$G$22,0),$Q55)=AG$2,$S55+$O55+9,$S55+$O55)</f>
        <v>42711021</v>
      </c>
      <c r="AH55" s="1" cm="1">
        <f t="array" ref="AH55">IF(INDEX($I$3:$L$22,MATCH($P55,$G$3:$G$22,0),$Q55)=AH$2,$S55+$O55+9,$S55+$O55)</f>
        <v>42711021</v>
      </c>
      <c r="AI55" s="1" cm="1">
        <f t="array" ref="AI55">IF(INDEX($I$3:$L$22,MATCH($P55,$G$3:$G$22,0),$Q55)=AI$2,$S55+$O55+9,$S55+$O55)</f>
        <v>42711021</v>
      </c>
      <c r="AJ55" s="1" cm="1">
        <f t="array" ref="AJ55">IF(INDEX($I$3:$L$22,MATCH($P55,$G$3:$G$22,0),$Q55)=AJ$2,$S55+$O55+9,$S55+$O55)</f>
        <v>42711021</v>
      </c>
      <c r="AK55" s="1" cm="1">
        <f t="array" ref="AK55">IF(INDEX($I$3:$L$22,MATCH($P55,$G$3:$G$22,0),$Q55)=AK$2,$S55+$O55+9,$S55+$O55)</f>
        <v>42711021</v>
      </c>
      <c r="AL55" s="1" cm="1">
        <f t="array" ref="AL55">IF(INDEX($I$3:$L$22,MATCH($P55,$G$3:$G$22,0),$Q55)=AL$2,$S55+$O55+9,$S55+$O55)</f>
        <v>42711021</v>
      </c>
      <c r="AM55" s="1" cm="1">
        <f t="array" ref="AM55">IF(INDEX($I$3:$L$22,MATCH($P55,$G$3:$G$22,0),$Q55)=AM$2,$S55+$O55+9,$S55+$O55)</f>
        <v>42711021</v>
      </c>
      <c r="AN55" s="1" cm="1">
        <f t="array" ref="AN55">IF(INDEX($I$3:$L$22,MATCH($P55,$G$3:$G$22,0),$Q55)=AN$2,$S55+$O55+9,$S55+$O55)</f>
        <v>42711021</v>
      </c>
      <c r="AO55" s="1" cm="1">
        <f t="array" ref="AO55">IF(INDEX($I$3:$L$22,MATCH($P55,$G$3:$G$22,0),$Q55)=AO$2,$S55+$O55+9,$S55+$O55)</f>
        <v>42711021</v>
      </c>
      <c r="AP55" s="1" cm="1">
        <f t="array" ref="AP55">IF(INDEX($I$3:$L$22,MATCH($P55,$G$3:$G$22,0),$Q55)=AP$2,$S55+$O55+9,$S55+$O55)</f>
        <v>42711021</v>
      </c>
      <c r="AQ55" s="1" cm="1">
        <f t="array" ref="AQ55">IF(INDEX($I$3:$L$22,MATCH($P55,$G$3:$G$22,0),$Q55)=AQ$2,$S55+$O55+9,$S55+$O55)</f>
        <v>42711021</v>
      </c>
      <c r="AR55" s="1" cm="1">
        <f t="array" ref="AR55">IF(INDEX($I$3:$L$22,MATCH($P55,$G$3:$G$22,0),$Q55)=AR$2,$S55+$O55+9,$S55+$O55)</f>
        <v>42711021</v>
      </c>
      <c r="AS55" s="1" cm="1">
        <f t="array" ref="AS55">IF(INDEX($I$3:$L$22,MATCH($P55,$G$3:$G$22,0),$Q55)=AS$2,$S55+$O55+9,$S55+$O55)</f>
        <v>42711021</v>
      </c>
      <c r="AT55" s="1" cm="1">
        <f t="array" ref="AT55">IF(INDEX($I$3:$L$22,MATCH($P55,$G$3:$G$22,0),$Q55)=AT$2,$S55+$O55+9,$S55+$O55)</f>
        <v>42711021</v>
      </c>
      <c r="AU55" s="1" cm="1">
        <f t="array" ref="AU55">IF(INDEX($I$3:$L$22,MATCH($P55,$G$3:$G$22,0),$Q55)=AU$2,$S55+$O55+9,$S55+$O55)</f>
        <v>42711021</v>
      </c>
      <c r="AV55" s="1" cm="1">
        <f t="array" ref="AV55">IF(INDEX($I$3:$L$22,MATCH($P55,$G$3:$G$22,0),$Q55)=AV$2,$S55+$O55+9,$S55+$O55)</f>
        <v>42711021</v>
      </c>
      <c r="AW55" s="1" cm="1">
        <f t="array" ref="AW55">IF(INDEX($I$3:$L$22,MATCH($P55,$G$3:$G$22,0),$Q55)=AW$2,$S55+$O55+9,$S55+$O55)</f>
        <v>42711021</v>
      </c>
      <c r="AX55" s="1" cm="1">
        <f t="array" ref="AX55">IF(INDEX($I$3:$L$22,MATCH($P55,$G$3:$G$22,0),$Q55)=AX$2,$S55+$O55+9,$S55+$O55)</f>
        <v>42711021</v>
      </c>
      <c r="AY55" s="1" cm="1">
        <f t="array" ref="AY55">IF(INDEX($I$3:$L$22,MATCH($P55,$G$3:$G$22,0),$Q55)=AY$2,$S55+$O55+9,$S55+$O55)</f>
        <v>42711021</v>
      </c>
      <c r="AZ55" s="1" cm="1">
        <f t="array" ref="AZ55">IF(INDEX($I$3:$L$22,MATCH($P55,$G$3:$G$22,0),$Q55)=AZ$2,$S55+$O55+9,$S55+$O55)</f>
        <v>42711021</v>
      </c>
      <c r="BA55" s="1" cm="1">
        <f t="array" ref="BA55">IF(INDEX($I$3:$L$22,MATCH($P55,$G$3:$G$22,0),$Q55)=BA$2,$S55+$O55+9,$S55+$O55)</f>
        <v>42711021</v>
      </c>
      <c r="BB55" s="1" cm="1">
        <f t="array" ref="BB55">IF(INDEX($I$3:$L$22,MATCH($P55,$G$3:$G$22,0),$Q55)=BB$2,$S55+$O55+9,$S55+$O55)</f>
        <v>42711021</v>
      </c>
      <c r="BC55" s="1" cm="1">
        <f t="array" ref="BC55">IF(INDEX($I$3:$L$22,MATCH($P55,$G$3:$G$22,0),$Q55)=BC$2,$S55+$O55+9,$S55+$O55)</f>
        <v>42711021</v>
      </c>
      <c r="BD55" s="1" cm="1">
        <f t="array" ref="BD55">IF(INDEX($I$3:$L$22,MATCH($P55,$G$3:$G$22,0),$Q55)=BD$2,$S55+$O55+9,$S55+$O55)</f>
        <v>42711021</v>
      </c>
      <c r="BE55" s="1" cm="1">
        <f t="array" ref="BE55">IF(INDEX($I$3:$L$22,MATCH($P55,$G$3:$G$22,0),$Q55)=BE$2,$S55+$O55+9,$S55+$O55)</f>
        <v>42711021</v>
      </c>
      <c r="BF55" s="1" cm="1">
        <f t="array" ref="BF55">IF(INDEX($I$3:$L$22,MATCH($P55,$G$3:$G$22,0),$Q55)=BF$2,$S55+$O55+9,$S55+$O55)</f>
        <v>42711021</v>
      </c>
      <c r="BG55" s="1" cm="1">
        <f t="array" ref="BG55">IF(INDEX($I$3:$L$22,MATCH($P55,$G$3:$G$22,0),$Q55)=BG$2,$S55+$O55+9,$S55+$O55)</f>
        <v>42711021</v>
      </c>
      <c r="BH55" s="1" cm="1">
        <f t="array" ref="BH55">IF(INDEX($I$3:$L$22,MATCH($P55,$G$3:$G$22,0),$Q55)=BH$2,$S55+$O55+9,$S55+$O55)</f>
        <v>42711021</v>
      </c>
      <c r="BI55" s="1" cm="1">
        <f t="array" ref="BI55">IF(INDEX($I$3:$L$22,MATCH($P55,$G$3:$G$22,0),$Q55)=BI$2,$S55+$O55+9,$S55+$O55)</f>
        <v>42711021</v>
      </c>
      <c r="BJ55" s="1" cm="1">
        <f t="array" ref="BJ55">IF(INDEX($I$3:$L$22,MATCH($P55,$G$3:$G$22,0),$Q55)=BJ$2,$S55+$O55+9,$S55+$O55)</f>
        <v>42711021</v>
      </c>
      <c r="BK55" s="1" cm="1">
        <f t="array" ref="BK55">IF(INDEX($I$3:$L$22,MATCH($P55,$G$3:$G$22,0),$Q55)=BK$2,$S55+$O55+9,$S55+$O55)</f>
        <v>42711021</v>
      </c>
      <c r="BL55" s="1" cm="1">
        <f t="array" ref="BL55">IF(INDEX($I$3:$L$22,MATCH($P55,$G$3:$G$22,0),$Q55)=BL$2,$S55+$O55+9,$S55+$O55)</f>
        <v>42711021</v>
      </c>
      <c r="BM55" s="1" cm="1">
        <f t="array" ref="BM55">IF(INDEX($I$3:$L$22,MATCH($P55,$G$3:$G$22,0),$Q55)=BM$2,$S55+$O55+9,$S55+$O55)</f>
        <v>42711021</v>
      </c>
      <c r="BN55" s="1" cm="1">
        <f t="array" ref="BN55">IF(INDEX($I$3:$L$22,MATCH($P55,$G$3:$G$22,0),$Q55)=BN$2,$S55+$O55+9,$S55+$O55)</f>
        <v>42711021</v>
      </c>
      <c r="BO55" s="1" cm="1">
        <f t="array" ref="BO55">IF(INDEX($I$3:$L$22,MATCH($P55,$G$3:$G$22,0),$Q55)=BO$2,$S55+$O55+9,$S55+$O55)</f>
        <v>42711021</v>
      </c>
      <c r="BP55" s="1" cm="1">
        <f t="array" ref="BP55">IF(INDEX($I$3:$L$22,MATCH($P55,$G$3:$G$22,0),$Q55)=BP$2,$S55+$O55+9,$S55+$O55)</f>
        <v>42711021</v>
      </c>
      <c r="BQ55" s="1" cm="1">
        <f t="array" ref="BQ55">IF(INDEX($I$3:$L$22,MATCH($P55,$G$3:$G$22,0),$Q55)=BQ$2,$S55+$O55+9,$S55+$O55)</f>
        <v>42711021</v>
      </c>
      <c r="BR55" s="1" cm="1">
        <f t="array" ref="BR55">IF(INDEX($I$3:$L$22,MATCH($P55,$G$3:$G$22,0),$Q55)=BR$2,$S55+$O55+9,$S55+$O55)</f>
        <v>42711021</v>
      </c>
      <c r="BS55" s="1" cm="1">
        <f t="array" ref="BS55">IF(INDEX($I$3:$L$22,MATCH($P55,$G$3:$G$22,0),$Q55)=BS$2,$S55+$O55+9,$S55+$O55)</f>
        <v>42711021</v>
      </c>
      <c r="BT55" s="1" cm="1">
        <f t="array" ref="BT55">IF(INDEX($I$3:$L$22,MATCH($P55,$G$3:$G$22,0),$Q55)=BT$2,$S55+$O55+9,$S55+$O55)</f>
        <v>42711030</v>
      </c>
    </row>
    <row r="56" spans="14:72" x14ac:dyDescent="0.15">
      <c r="N56" s="1">
        <v>50001</v>
      </c>
      <c r="O56" s="1">
        <f t="shared" si="9"/>
        <v>21</v>
      </c>
      <c r="P56" s="1">
        <f t="shared" si="10"/>
        <v>303</v>
      </c>
      <c r="Q56" s="1">
        <f t="shared" si="11"/>
        <v>2</v>
      </c>
      <c r="R56" s="1" t="s">
        <v>17</v>
      </c>
      <c r="S56" s="1">
        <v>42612000</v>
      </c>
      <c r="T56" s="1" t="str">
        <f t="shared" si="8"/>
        <v>42612021,42612021,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</v>
      </c>
      <c r="W56" s="1" cm="1">
        <f t="array" ref="W56">IF(INDEX($I$3:$L$22,MATCH($P56,$G$3:$G$22,0),$Q56)=W$2,$S56+$O56+9,$S56+$O56)</f>
        <v>42612021</v>
      </c>
      <c r="X56" s="1" cm="1">
        <f t="array" ref="X56">IF(INDEX($I$3:$L$22,MATCH($P56,$G$3:$G$22,0),$Q56)=X$2,$S56+$O56+9,$S56+$O56)</f>
        <v>42612021</v>
      </c>
      <c r="Y56" s="1" cm="1">
        <f t="array" ref="Y56">IF(INDEX($I$3:$L$22,MATCH($P56,$G$3:$G$22,0),$Q56)=Y$2,$S56+$O56+9,$S56+$O56)</f>
        <v>42612021</v>
      </c>
      <c r="Z56" s="1" cm="1">
        <f t="array" ref="Z56">IF(INDEX($I$3:$L$22,MATCH($P56,$G$3:$G$22,0),$Q56)=Z$2,$S56+$O56+9,$S56+$O56)</f>
        <v>42612021</v>
      </c>
      <c r="AA56" s="1" cm="1">
        <f t="array" ref="AA56">IF(INDEX($I$3:$L$22,MATCH($P56,$G$3:$G$22,0),$Q56)=AA$2,$S56+$O56+9,$S56+$O56)</f>
        <v>42612021</v>
      </c>
      <c r="AB56" s="1" cm="1">
        <f t="array" ref="AB56">IF(INDEX($I$3:$L$22,MATCH($P56,$G$3:$G$22,0),$Q56)=AB$2,$S56+$O56+9,$S56+$O56)</f>
        <v>42612021</v>
      </c>
      <c r="AC56" s="1" cm="1">
        <f t="array" ref="AC56">IF(INDEX($I$3:$L$22,MATCH($P56,$G$3:$G$22,0),$Q56)=AC$2,$S56+$O56+9,$S56+$O56)</f>
        <v>42612021</v>
      </c>
      <c r="AD56" s="1" cm="1">
        <f t="array" ref="AD56">IF(INDEX($I$3:$L$22,MATCH($P56,$G$3:$G$22,0),$Q56)=AD$2,$S56+$O56+9,$S56+$O56)</f>
        <v>42612021</v>
      </c>
      <c r="AE56" s="1" cm="1">
        <f t="array" ref="AE56">IF(INDEX($I$3:$L$22,MATCH($P56,$G$3:$G$22,0),$Q56)=AE$2,$S56+$O56+9,$S56+$O56)</f>
        <v>42612021</v>
      </c>
      <c r="AF56" s="1" cm="1">
        <f t="array" ref="AF56">IF(INDEX($I$3:$L$22,MATCH($P56,$G$3:$G$22,0),$Q56)=AF$2,$S56+$O56+9,$S56+$O56)</f>
        <v>42612021</v>
      </c>
      <c r="AG56" s="1" cm="1">
        <f t="array" ref="AG56">IF(INDEX($I$3:$L$22,MATCH($P56,$G$3:$G$22,0),$Q56)=AG$2,$S56+$O56+9,$S56+$O56)</f>
        <v>42612021</v>
      </c>
      <c r="AH56" s="1" cm="1">
        <f t="array" ref="AH56">IF(INDEX($I$3:$L$22,MATCH($P56,$G$3:$G$22,0),$Q56)=AH$2,$S56+$O56+9,$S56+$O56)</f>
        <v>42612021</v>
      </c>
      <c r="AI56" s="1" cm="1">
        <f t="array" ref="AI56">IF(INDEX($I$3:$L$22,MATCH($P56,$G$3:$G$22,0),$Q56)=AI$2,$S56+$O56+9,$S56+$O56)</f>
        <v>42612021</v>
      </c>
      <c r="AJ56" s="1" cm="1">
        <f t="array" ref="AJ56">IF(INDEX($I$3:$L$22,MATCH($P56,$G$3:$G$22,0),$Q56)=AJ$2,$S56+$O56+9,$S56+$O56)</f>
        <v>42612021</v>
      </c>
      <c r="AK56" s="1" cm="1">
        <f t="array" ref="AK56">IF(INDEX($I$3:$L$22,MATCH($P56,$G$3:$G$22,0),$Q56)=AK$2,$S56+$O56+9,$S56+$O56)</f>
        <v>42612021</v>
      </c>
      <c r="AL56" s="1" cm="1">
        <f t="array" ref="AL56">IF(INDEX($I$3:$L$22,MATCH($P56,$G$3:$G$22,0),$Q56)=AL$2,$S56+$O56+9,$S56+$O56)</f>
        <v>42612021</v>
      </c>
      <c r="AM56" s="1" cm="1">
        <f t="array" ref="AM56">IF(INDEX($I$3:$L$22,MATCH($P56,$G$3:$G$22,0),$Q56)=AM$2,$S56+$O56+9,$S56+$O56)</f>
        <v>42612021</v>
      </c>
      <c r="AN56" s="1" cm="1">
        <f t="array" ref="AN56">IF(INDEX($I$3:$L$22,MATCH($P56,$G$3:$G$22,0),$Q56)=AN$2,$S56+$O56+9,$S56+$O56)</f>
        <v>42612021</v>
      </c>
      <c r="AO56" s="1" cm="1">
        <f t="array" ref="AO56">IF(INDEX($I$3:$L$22,MATCH($P56,$G$3:$G$22,0),$Q56)=AO$2,$S56+$O56+9,$S56+$O56)</f>
        <v>42612021</v>
      </c>
      <c r="AP56" s="1" cm="1">
        <f t="array" ref="AP56">IF(INDEX($I$3:$L$22,MATCH($P56,$G$3:$G$22,0),$Q56)=AP$2,$S56+$O56+9,$S56+$O56)</f>
        <v>42612021</v>
      </c>
      <c r="AQ56" s="1" cm="1">
        <f t="array" ref="AQ56">IF(INDEX($I$3:$L$22,MATCH($P56,$G$3:$G$22,0),$Q56)=AQ$2,$S56+$O56+9,$S56+$O56)</f>
        <v>42612021</v>
      </c>
      <c r="AR56" s="1" cm="1">
        <f t="array" ref="AR56">IF(INDEX($I$3:$L$22,MATCH($P56,$G$3:$G$22,0),$Q56)=AR$2,$S56+$O56+9,$S56+$O56)</f>
        <v>42612021</v>
      </c>
      <c r="AS56" s="1" cm="1">
        <f t="array" ref="AS56">IF(INDEX($I$3:$L$22,MATCH($P56,$G$3:$G$22,0),$Q56)=AS$2,$S56+$O56+9,$S56+$O56)</f>
        <v>42612021</v>
      </c>
      <c r="AT56" s="1" cm="1">
        <f t="array" ref="AT56">IF(INDEX($I$3:$L$22,MATCH($P56,$G$3:$G$22,0),$Q56)=AT$2,$S56+$O56+9,$S56+$O56)</f>
        <v>42612021</v>
      </c>
      <c r="AU56" s="1" cm="1">
        <f t="array" ref="AU56">IF(INDEX($I$3:$L$22,MATCH($P56,$G$3:$G$22,0),$Q56)=AU$2,$S56+$O56+9,$S56+$O56)</f>
        <v>42612030</v>
      </c>
      <c r="AV56" s="1" cm="1">
        <f t="array" ref="AV56">IF(INDEX($I$3:$L$22,MATCH($P56,$G$3:$G$22,0),$Q56)=AV$2,$S56+$O56+9,$S56+$O56)</f>
        <v>42612021</v>
      </c>
      <c r="AW56" s="1" cm="1">
        <f t="array" ref="AW56">IF(INDEX($I$3:$L$22,MATCH($P56,$G$3:$G$22,0),$Q56)=AW$2,$S56+$O56+9,$S56+$O56)</f>
        <v>42612021</v>
      </c>
      <c r="AX56" s="1" cm="1">
        <f t="array" ref="AX56">IF(INDEX($I$3:$L$22,MATCH($P56,$G$3:$G$22,0),$Q56)=AX$2,$S56+$O56+9,$S56+$O56)</f>
        <v>42612021</v>
      </c>
      <c r="AY56" s="1" cm="1">
        <f t="array" ref="AY56">IF(INDEX($I$3:$L$22,MATCH($P56,$G$3:$G$22,0),$Q56)=AY$2,$S56+$O56+9,$S56+$O56)</f>
        <v>42612021</v>
      </c>
      <c r="AZ56" s="1" cm="1">
        <f t="array" ref="AZ56">IF(INDEX($I$3:$L$22,MATCH($P56,$G$3:$G$22,0),$Q56)=AZ$2,$S56+$O56+9,$S56+$O56)</f>
        <v>42612021</v>
      </c>
      <c r="BA56" s="1" cm="1">
        <f t="array" ref="BA56">IF(INDEX($I$3:$L$22,MATCH($P56,$G$3:$G$22,0),$Q56)=BA$2,$S56+$O56+9,$S56+$O56)</f>
        <v>42612021</v>
      </c>
      <c r="BB56" s="1" cm="1">
        <f t="array" ref="BB56">IF(INDEX($I$3:$L$22,MATCH($P56,$G$3:$G$22,0),$Q56)=BB$2,$S56+$O56+9,$S56+$O56)</f>
        <v>42612021</v>
      </c>
      <c r="BC56" s="1" cm="1">
        <f t="array" ref="BC56">IF(INDEX($I$3:$L$22,MATCH($P56,$G$3:$G$22,0),$Q56)=BC$2,$S56+$O56+9,$S56+$O56)</f>
        <v>42612021</v>
      </c>
      <c r="BD56" s="1" cm="1">
        <f t="array" ref="BD56">IF(INDEX($I$3:$L$22,MATCH($P56,$G$3:$G$22,0),$Q56)=BD$2,$S56+$O56+9,$S56+$O56)</f>
        <v>42612021</v>
      </c>
      <c r="BE56" s="1" cm="1">
        <f t="array" ref="BE56">IF(INDEX($I$3:$L$22,MATCH($P56,$G$3:$G$22,0),$Q56)=BE$2,$S56+$O56+9,$S56+$O56)</f>
        <v>42612021</v>
      </c>
      <c r="BF56" s="1" cm="1">
        <f t="array" ref="BF56">IF(INDEX($I$3:$L$22,MATCH($P56,$G$3:$G$22,0),$Q56)=BF$2,$S56+$O56+9,$S56+$O56)</f>
        <v>42612021</v>
      </c>
      <c r="BG56" s="1" cm="1">
        <f t="array" ref="BG56">IF(INDEX($I$3:$L$22,MATCH($P56,$G$3:$G$22,0),$Q56)=BG$2,$S56+$O56+9,$S56+$O56)</f>
        <v>42612021</v>
      </c>
      <c r="BH56" s="1" cm="1">
        <f t="array" ref="BH56">IF(INDEX($I$3:$L$22,MATCH($P56,$G$3:$G$22,0),$Q56)=BH$2,$S56+$O56+9,$S56+$O56)</f>
        <v>42612021</v>
      </c>
      <c r="BI56" s="1" cm="1">
        <f t="array" ref="BI56">IF(INDEX($I$3:$L$22,MATCH($P56,$G$3:$G$22,0),$Q56)=BI$2,$S56+$O56+9,$S56+$O56)</f>
        <v>42612021</v>
      </c>
      <c r="BJ56" s="1" cm="1">
        <f t="array" ref="BJ56">IF(INDEX($I$3:$L$22,MATCH($P56,$G$3:$G$22,0),$Q56)=BJ$2,$S56+$O56+9,$S56+$O56)</f>
        <v>42612021</v>
      </c>
      <c r="BK56" s="1" cm="1">
        <f t="array" ref="BK56">IF(INDEX($I$3:$L$22,MATCH($P56,$G$3:$G$22,0),$Q56)=BK$2,$S56+$O56+9,$S56+$O56)</f>
        <v>42612021</v>
      </c>
      <c r="BL56" s="1" cm="1">
        <f t="array" ref="BL56">IF(INDEX($I$3:$L$22,MATCH($P56,$G$3:$G$22,0),$Q56)=BL$2,$S56+$O56+9,$S56+$O56)</f>
        <v>42612021</v>
      </c>
      <c r="BM56" s="1" cm="1">
        <f t="array" ref="BM56">IF(INDEX($I$3:$L$22,MATCH($P56,$G$3:$G$22,0),$Q56)=BM$2,$S56+$O56+9,$S56+$O56)</f>
        <v>42612021</v>
      </c>
      <c r="BN56" s="1" cm="1">
        <f t="array" ref="BN56">IF(INDEX($I$3:$L$22,MATCH($P56,$G$3:$G$22,0),$Q56)=BN$2,$S56+$O56+9,$S56+$O56)</f>
        <v>42612021</v>
      </c>
      <c r="BO56" s="1" cm="1">
        <f t="array" ref="BO56">IF(INDEX($I$3:$L$22,MATCH($P56,$G$3:$G$22,0),$Q56)=BO$2,$S56+$O56+9,$S56+$O56)</f>
        <v>42612021</v>
      </c>
      <c r="BP56" s="1" cm="1">
        <f t="array" ref="BP56">IF(INDEX($I$3:$L$22,MATCH($P56,$G$3:$G$22,0),$Q56)=BP$2,$S56+$O56+9,$S56+$O56)</f>
        <v>42612021</v>
      </c>
      <c r="BQ56" s="1" cm="1">
        <f t="array" ref="BQ56">IF(INDEX($I$3:$L$22,MATCH($P56,$G$3:$G$22,0),$Q56)=BQ$2,$S56+$O56+9,$S56+$O56)</f>
        <v>42612021</v>
      </c>
      <c r="BR56" s="1" cm="1">
        <f t="array" ref="BR56">IF(INDEX($I$3:$L$22,MATCH($P56,$G$3:$G$22,0),$Q56)=BR$2,$S56+$O56+9,$S56+$O56)</f>
        <v>42612021</v>
      </c>
      <c r="BS56" s="1" cm="1">
        <f t="array" ref="BS56">IF(INDEX($I$3:$L$22,MATCH($P56,$G$3:$G$22,0),$Q56)=BS$2,$S56+$O56+9,$S56+$O56)</f>
        <v>42612021</v>
      </c>
      <c r="BT56" s="1" cm="1">
        <f t="array" ref="BT56">IF(INDEX($I$3:$L$22,MATCH($P56,$G$3:$G$22,0),$Q56)=BT$2,$S56+$O56+9,$S56+$O56)</f>
        <v>42612021</v>
      </c>
    </row>
    <row r="57" spans="14:72" x14ac:dyDescent="0.15">
      <c r="N57" s="1">
        <v>50001</v>
      </c>
      <c r="O57" s="1">
        <f t="shared" si="9"/>
        <v>21</v>
      </c>
      <c r="P57" s="1">
        <f t="shared" si="10"/>
        <v>303</v>
      </c>
      <c r="Q57" s="1">
        <f t="shared" si="11"/>
        <v>3</v>
      </c>
      <c r="R57" s="1" t="s">
        <v>16</v>
      </c>
      <c r="S57" s="1">
        <v>42713000</v>
      </c>
      <c r="T57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42713030,42713021,42713021,42713021,42713021,42713021,42713021,42713021,42713021,42713021,42713021,42713021,42713021,42713021,42713021,42713021,42713021,42713021,42713021,42713021,42713021,42713021,42713021,42713021,42713021,42713021</v>
      </c>
      <c r="W57" s="1" cm="1">
        <f t="array" ref="W57">IF(INDEX($I$3:$L$22,MATCH($P57,$G$3:$G$22,0),$Q57)=W$2,$S57+$O57+9,$S57+$O57)</f>
        <v>42713021</v>
      </c>
      <c r="X57" s="1" cm="1">
        <f t="array" ref="X57">IF(INDEX($I$3:$L$22,MATCH($P57,$G$3:$G$22,0),$Q57)=X$2,$S57+$O57+9,$S57+$O57)</f>
        <v>42713021</v>
      </c>
      <c r="Y57" s="1" cm="1">
        <f t="array" ref="Y57">IF(INDEX($I$3:$L$22,MATCH($P57,$G$3:$G$22,0),$Q57)=Y$2,$S57+$O57+9,$S57+$O57)</f>
        <v>42713021</v>
      </c>
      <c r="Z57" s="1" cm="1">
        <f t="array" ref="Z57">IF(INDEX($I$3:$L$22,MATCH($P57,$G$3:$G$22,0),$Q57)=Z$2,$S57+$O57+9,$S57+$O57)</f>
        <v>42713021</v>
      </c>
      <c r="AA57" s="1" cm="1">
        <f t="array" ref="AA57">IF(INDEX($I$3:$L$22,MATCH($P57,$G$3:$G$22,0),$Q57)=AA$2,$S57+$O57+9,$S57+$O57)</f>
        <v>42713021</v>
      </c>
      <c r="AB57" s="1" cm="1">
        <f t="array" ref="AB57">IF(INDEX($I$3:$L$22,MATCH($P57,$G$3:$G$22,0),$Q57)=AB$2,$S57+$O57+9,$S57+$O57)</f>
        <v>42713021</v>
      </c>
      <c r="AC57" s="1" cm="1">
        <f t="array" ref="AC57">IF(INDEX($I$3:$L$22,MATCH($P57,$G$3:$G$22,0),$Q57)=AC$2,$S57+$O57+9,$S57+$O57)</f>
        <v>42713021</v>
      </c>
      <c r="AD57" s="1" cm="1">
        <f t="array" ref="AD57">IF(INDEX($I$3:$L$22,MATCH($P57,$G$3:$G$22,0),$Q57)=AD$2,$S57+$O57+9,$S57+$O57)</f>
        <v>42713021</v>
      </c>
      <c r="AE57" s="1" cm="1">
        <f t="array" ref="AE57">IF(INDEX($I$3:$L$22,MATCH($P57,$G$3:$G$22,0),$Q57)=AE$2,$S57+$O57+9,$S57+$O57)</f>
        <v>42713021</v>
      </c>
      <c r="AF57" s="1" cm="1">
        <f t="array" ref="AF57">IF(INDEX($I$3:$L$22,MATCH($P57,$G$3:$G$22,0),$Q57)=AF$2,$S57+$O57+9,$S57+$O57)</f>
        <v>42713021</v>
      </c>
      <c r="AG57" s="1" cm="1">
        <f t="array" ref="AG57">IF(INDEX($I$3:$L$22,MATCH($P57,$G$3:$G$22,0),$Q57)=AG$2,$S57+$O57+9,$S57+$O57)</f>
        <v>42713021</v>
      </c>
      <c r="AH57" s="1" cm="1">
        <f t="array" ref="AH57">IF(INDEX($I$3:$L$22,MATCH($P57,$G$3:$G$22,0),$Q57)=AH$2,$S57+$O57+9,$S57+$O57)</f>
        <v>42713021</v>
      </c>
      <c r="AI57" s="1" cm="1">
        <f t="array" ref="AI57">IF(INDEX($I$3:$L$22,MATCH($P57,$G$3:$G$22,0),$Q57)=AI$2,$S57+$O57+9,$S57+$O57)</f>
        <v>42713021</v>
      </c>
      <c r="AJ57" s="1" cm="1">
        <f t="array" ref="AJ57">IF(INDEX($I$3:$L$22,MATCH($P57,$G$3:$G$22,0),$Q57)=AJ$2,$S57+$O57+9,$S57+$O57)</f>
        <v>42713021</v>
      </c>
      <c r="AK57" s="1" cm="1">
        <f t="array" ref="AK57">IF(INDEX($I$3:$L$22,MATCH($P57,$G$3:$G$22,0),$Q57)=AK$2,$S57+$O57+9,$S57+$O57)</f>
        <v>42713021</v>
      </c>
      <c r="AL57" s="1" cm="1">
        <f t="array" ref="AL57">IF(INDEX($I$3:$L$22,MATCH($P57,$G$3:$G$22,0),$Q57)=AL$2,$S57+$O57+9,$S57+$O57)</f>
        <v>42713021</v>
      </c>
      <c r="AM57" s="1" cm="1">
        <f t="array" ref="AM57">IF(INDEX($I$3:$L$22,MATCH($P57,$G$3:$G$22,0),$Q57)=AM$2,$S57+$O57+9,$S57+$O57)</f>
        <v>42713021</v>
      </c>
      <c r="AN57" s="1" cm="1">
        <f t="array" ref="AN57">IF(INDEX($I$3:$L$22,MATCH($P57,$G$3:$G$22,0),$Q57)=AN$2,$S57+$O57+9,$S57+$O57)</f>
        <v>42713021</v>
      </c>
      <c r="AO57" s="1" cm="1">
        <f t="array" ref="AO57">IF(INDEX($I$3:$L$22,MATCH($P57,$G$3:$G$22,0),$Q57)=AO$2,$S57+$O57+9,$S57+$O57)</f>
        <v>42713021</v>
      </c>
      <c r="AP57" s="1" cm="1">
        <f t="array" ref="AP57">IF(INDEX($I$3:$L$22,MATCH($P57,$G$3:$G$22,0),$Q57)=AP$2,$S57+$O57+9,$S57+$O57)</f>
        <v>42713021</v>
      </c>
      <c r="AQ57" s="1" cm="1">
        <f t="array" ref="AQ57">IF(INDEX($I$3:$L$22,MATCH($P57,$G$3:$G$22,0),$Q57)=AQ$2,$S57+$O57+9,$S57+$O57)</f>
        <v>42713021</v>
      </c>
      <c r="AR57" s="1" cm="1">
        <f t="array" ref="AR57">IF(INDEX($I$3:$L$22,MATCH($P57,$G$3:$G$22,0),$Q57)=AR$2,$S57+$O57+9,$S57+$O57)</f>
        <v>42713021</v>
      </c>
      <c r="AS57" s="1" cm="1">
        <f t="array" ref="AS57">IF(INDEX($I$3:$L$22,MATCH($P57,$G$3:$G$22,0),$Q57)=AS$2,$S57+$O57+9,$S57+$O57)</f>
        <v>42713021</v>
      </c>
      <c r="AT57" s="1" cm="1">
        <f t="array" ref="AT57">IF(INDEX($I$3:$L$22,MATCH($P57,$G$3:$G$22,0),$Q57)=AT$2,$S57+$O57+9,$S57+$O57)</f>
        <v>42713021</v>
      </c>
      <c r="AU57" s="1" cm="1">
        <f t="array" ref="AU57">IF(INDEX($I$3:$L$22,MATCH($P57,$G$3:$G$22,0),$Q57)=AU$2,$S57+$O57+9,$S57+$O57)</f>
        <v>42713030</v>
      </c>
      <c r="AV57" s="1" cm="1">
        <f t="array" ref="AV57">IF(INDEX($I$3:$L$22,MATCH($P57,$G$3:$G$22,0),$Q57)=AV$2,$S57+$O57+9,$S57+$O57)</f>
        <v>42713021</v>
      </c>
      <c r="AW57" s="1" cm="1">
        <f t="array" ref="AW57">IF(INDEX($I$3:$L$22,MATCH($P57,$G$3:$G$22,0),$Q57)=AW$2,$S57+$O57+9,$S57+$O57)</f>
        <v>42713021</v>
      </c>
      <c r="AX57" s="1" cm="1">
        <f t="array" ref="AX57">IF(INDEX($I$3:$L$22,MATCH($P57,$G$3:$G$22,0),$Q57)=AX$2,$S57+$O57+9,$S57+$O57)</f>
        <v>42713021</v>
      </c>
      <c r="AY57" s="1" cm="1">
        <f t="array" ref="AY57">IF(INDEX($I$3:$L$22,MATCH($P57,$G$3:$G$22,0),$Q57)=AY$2,$S57+$O57+9,$S57+$O57)</f>
        <v>42713021</v>
      </c>
      <c r="AZ57" s="1" cm="1">
        <f t="array" ref="AZ57">IF(INDEX($I$3:$L$22,MATCH($P57,$G$3:$G$22,0),$Q57)=AZ$2,$S57+$O57+9,$S57+$O57)</f>
        <v>42713021</v>
      </c>
      <c r="BA57" s="1" cm="1">
        <f t="array" ref="BA57">IF(INDEX($I$3:$L$22,MATCH($P57,$G$3:$G$22,0),$Q57)=BA$2,$S57+$O57+9,$S57+$O57)</f>
        <v>42713021</v>
      </c>
      <c r="BB57" s="1" cm="1">
        <f t="array" ref="BB57">IF(INDEX($I$3:$L$22,MATCH($P57,$G$3:$G$22,0),$Q57)=BB$2,$S57+$O57+9,$S57+$O57)</f>
        <v>42713021</v>
      </c>
      <c r="BC57" s="1" cm="1">
        <f t="array" ref="BC57">IF(INDEX($I$3:$L$22,MATCH($P57,$G$3:$G$22,0),$Q57)=BC$2,$S57+$O57+9,$S57+$O57)</f>
        <v>42713021</v>
      </c>
      <c r="BD57" s="1" cm="1">
        <f t="array" ref="BD57">IF(INDEX($I$3:$L$22,MATCH($P57,$G$3:$G$22,0),$Q57)=BD$2,$S57+$O57+9,$S57+$O57)</f>
        <v>42713021</v>
      </c>
      <c r="BE57" s="1" cm="1">
        <f t="array" ref="BE57">IF(INDEX($I$3:$L$22,MATCH($P57,$G$3:$G$22,0),$Q57)=BE$2,$S57+$O57+9,$S57+$O57)</f>
        <v>42713021</v>
      </c>
      <c r="BF57" s="1" cm="1">
        <f t="array" ref="BF57">IF(INDEX($I$3:$L$22,MATCH($P57,$G$3:$G$22,0),$Q57)=BF$2,$S57+$O57+9,$S57+$O57)</f>
        <v>42713021</v>
      </c>
      <c r="BG57" s="1" cm="1">
        <f t="array" ref="BG57">IF(INDEX($I$3:$L$22,MATCH($P57,$G$3:$G$22,0),$Q57)=BG$2,$S57+$O57+9,$S57+$O57)</f>
        <v>42713021</v>
      </c>
      <c r="BH57" s="1" cm="1">
        <f t="array" ref="BH57">IF(INDEX($I$3:$L$22,MATCH($P57,$G$3:$G$22,0),$Q57)=BH$2,$S57+$O57+9,$S57+$O57)</f>
        <v>42713021</v>
      </c>
      <c r="BI57" s="1" cm="1">
        <f t="array" ref="BI57">IF(INDEX($I$3:$L$22,MATCH($P57,$G$3:$G$22,0),$Q57)=BI$2,$S57+$O57+9,$S57+$O57)</f>
        <v>42713021</v>
      </c>
      <c r="BJ57" s="1" cm="1">
        <f t="array" ref="BJ57">IF(INDEX($I$3:$L$22,MATCH($P57,$G$3:$G$22,0),$Q57)=BJ$2,$S57+$O57+9,$S57+$O57)</f>
        <v>42713021</v>
      </c>
      <c r="BK57" s="1" cm="1">
        <f t="array" ref="BK57">IF(INDEX($I$3:$L$22,MATCH($P57,$G$3:$G$22,0),$Q57)=BK$2,$S57+$O57+9,$S57+$O57)</f>
        <v>42713021</v>
      </c>
      <c r="BL57" s="1" cm="1">
        <f t="array" ref="BL57">IF(INDEX($I$3:$L$22,MATCH($P57,$G$3:$G$22,0),$Q57)=BL$2,$S57+$O57+9,$S57+$O57)</f>
        <v>42713021</v>
      </c>
      <c r="BM57" s="1" cm="1">
        <f t="array" ref="BM57">IF(INDEX($I$3:$L$22,MATCH($P57,$G$3:$G$22,0),$Q57)=BM$2,$S57+$O57+9,$S57+$O57)</f>
        <v>42713021</v>
      </c>
      <c r="BN57" s="1" cm="1">
        <f t="array" ref="BN57">IF(INDEX($I$3:$L$22,MATCH($P57,$G$3:$G$22,0),$Q57)=BN$2,$S57+$O57+9,$S57+$O57)</f>
        <v>42713021</v>
      </c>
      <c r="BO57" s="1" cm="1">
        <f t="array" ref="BO57">IF(INDEX($I$3:$L$22,MATCH($P57,$G$3:$G$22,0),$Q57)=BO$2,$S57+$O57+9,$S57+$O57)</f>
        <v>42713021</v>
      </c>
      <c r="BP57" s="1" cm="1">
        <f t="array" ref="BP57">IF(INDEX($I$3:$L$22,MATCH($P57,$G$3:$G$22,0),$Q57)=BP$2,$S57+$O57+9,$S57+$O57)</f>
        <v>42713021</v>
      </c>
      <c r="BQ57" s="1" cm="1">
        <f t="array" ref="BQ57">IF(INDEX($I$3:$L$22,MATCH($P57,$G$3:$G$22,0),$Q57)=BQ$2,$S57+$O57+9,$S57+$O57)</f>
        <v>42713021</v>
      </c>
      <c r="BR57" s="1" cm="1">
        <f t="array" ref="BR57">IF(INDEX($I$3:$L$22,MATCH($P57,$G$3:$G$22,0),$Q57)=BR$2,$S57+$O57+9,$S57+$O57)</f>
        <v>42713021</v>
      </c>
      <c r="BS57" s="1" cm="1">
        <f t="array" ref="BS57">IF(INDEX($I$3:$L$22,MATCH($P57,$G$3:$G$22,0),$Q57)=BS$2,$S57+$O57+9,$S57+$O57)</f>
        <v>42713021</v>
      </c>
      <c r="BT57" s="1" cm="1">
        <f t="array" ref="BT57">IF(INDEX($I$3:$L$22,MATCH($P57,$G$3:$G$22,0),$Q57)=BT$2,$S57+$O57+9,$S57+$O57)</f>
        <v>42713021</v>
      </c>
    </row>
    <row r="58" spans="14:72" x14ac:dyDescent="0.15">
      <c r="N58" s="1">
        <v>50001</v>
      </c>
      <c r="O58" s="1">
        <f t="shared" si="9"/>
        <v>21</v>
      </c>
      <c r="P58" s="1">
        <f t="shared" si="10"/>
        <v>303</v>
      </c>
      <c r="Q58" s="1">
        <f t="shared" si="11"/>
        <v>4</v>
      </c>
      <c r="R58" s="1" t="s">
        <v>15</v>
      </c>
      <c r="S58" s="1">
        <v>42716000</v>
      </c>
      <c r="T58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,42716021,42716021,42716021,42716021,42716021,42716021,42716021,42716021,42716021,42716021,42716021,42716021,42716021,42716021,42716021,42716021,42716021,42716021</v>
      </c>
      <c r="W58" s="1" cm="1">
        <f t="array" ref="W58">IF(INDEX($I$3:$L$22,MATCH($P58,$G$3:$G$22,0),$Q58)=W$2,$S58+$O58+9,$S58+$O58)</f>
        <v>42716021</v>
      </c>
      <c r="X58" s="1" cm="1">
        <f t="array" ref="X58">IF(INDEX($I$3:$L$22,MATCH($P58,$G$3:$G$22,0),$Q58)=X$2,$S58+$O58+9,$S58+$O58)</f>
        <v>42716021</v>
      </c>
      <c r="Y58" s="1" cm="1">
        <f t="array" ref="Y58">IF(INDEX($I$3:$L$22,MATCH($P58,$G$3:$G$22,0),$Q58)=Y$2,$S58+$O58+9,$S58+$O58)</f>
        <v>42716021</v>
      </c>
      <c r="Z58" s="1" cm="1">
        <f t="array" ref="Z58">IF(INDEX($I$3:$L$22,MATCH($P58,$G$3:$G$22,0),$Q58)=Z$2,$S58+$O58+9,$S58+$O58)</f>
        <v>42716021</v>
      </c>
      <c r="AA58" s="1" cm="1">
        <f t="array" ref="AA58">IF(INDEX($I$3:$L$22,MATCH($P58,$G$3:$G$22,0),$Q58)=AA$2,$S58+$O58+9,$S58+$O58)</f>
        <v>42716021</v>
      </c>
      <c r="AB58" s="1" cm="1">
        <f t="array" ref="AB58">IF(INDEX($I$3:$L$22,MATCH($P58,$G$3:$G$22,0),$Q58)=AB$2,$S58+$O58+9,$S58+$O58)</f>
        <v>42716021</v>
      </c>
      <c r="AC58" s="1" cm="1">
        <f t="array" ref="AC58">IF(INDEX($I$3:$L$22,MATCH($P58,$G$3:$G$22,0),$Q58)=AC$2,$S58+$O58+9,$S58+$O58)</f>
        <v>42716021</v>
      </c>
      <c r="AD58" s="1" cm="1">
        <f t="array" ref="AD58">IF(INDEX($I$3:$L$22,MATCH($P58,$G$3:$G$22,0),$Q58)=AD$2,$S58+$O58+9,$S58+$O58)</f>
        <v>42716021</v>
      </c>
      <c r="AE58" s="1" cm="1">
        <f t="array" ref="AE58">IF(INDEX($I$3:$L$22,MATCH($P58,$G$3:$G$22,0),$Q58)=AE$2,$S58+$O58+9,$S58+$O58)</f>
        <v>42716021</v>
      </c>
      <c r="AF58" s="1" cm="1">
        <f t="array" ref="AF58">IF(INDEX($I$3:$L$22,MATCH($P58,$G$3:$G$22,0),$Q58)=AF$2,$S58+$O58+9,$S58+$O58)</f>
        <v>42716021</v>
      </c>
      <c r="AG58" s="1" cm="1">
        <f t="array" ref="AG58">IF(INDEX($I$3:$L$22,MATCH($P58,$G$3:$G$22,0),$Q58)=AG$2,$S58+$O58+9,$S58+$O58)</f>
        <v>42716021</v>
      </c>
      <c r="AH58" s="1" cm="1">
        <f t="array" ref="AH58">IF(INDEX($I$3:$L$22,MATCH($P58,$G$3:$G$22,0),$Q58)=AH$2,$S58+$O58+9,$S58+$O58)</f>
        <v>42716021</v>
      </c>
      <c r="AI58" s="1" cm="1">
        <f t="array" ref="AI58">IF(INDEX($I$3:$L$22,MATCH($P58,$G$3:$G$22,0),$Q58)=AI$2,$S58+$O58+9,$S58+$O58)</f>
        <v>42716021</v>
      </c>
      <c r="AJ58" s="1" cm="1">
        <f t="array" ref="AJ58">IF(INDEX($I$3:$L$22,MATCH($P58,$G$3:$G$22,0),$Q58)=AJ$2,$S58+$O58+9,$S58+$O58)</f>
        <v>42716021</v>
      </c>
      <c r="AK58" s="1" cm="1">
        <f t="array" ref="AK58">IF(INDEX($I$3:$L$22,MATCH($P58,$G$3:$G$22,0),$Q58)=AK$2,$S58+$O58+9,$S58+$O58)</f>
        <v>42716021</v>
      </c>
      <c r="AL58" s="1" cm="1">
        <f t="array" ref="AL58">IF(INDEX($I$3:$L$22,MATCH($P58,$G$3:$G$22,0),$Q58)=AL$2,$S58+$O58+9,$S58+$O58)</f>
        <v>42716021</v>
      </c>
      <c r="AM58" s="1" cm="1">
        <f t="array" ref="AM58">IF(INDEX($I$3:$L$22,MATCH($P58,$G$3:$G$22,0),$Q58)=AM$2,$S58+$O58+9,$S58+$O58)</f>
        <v>42716021</v>
      </c>
      <c r="AN58" s="1" cm="1">
        <f t="array" ref="AN58">IF(INDEX($I$3:$L$22,MATCH($P58,$G$3:$G$22,0),$Q58)=AN$2,$S58+$O58+9,$S58+$O58)</f>
        <v>42716021</v>
      </c>
      <c r="AO58" s="1" cm="1">
        <f t="array" ref="AO58">IF(INDEX($I$3:$L$22,MATCH($P58,$G$3:$G$22,0),$Q58)=AO$2,$S58+$O58+9,$S58+$O58)</f>
        <v>42716021</v>
      </c>
      <c r="AP58" s="1" cm="1">
        <f t="array" ref="AP58">IF(INDEX($I$3:$L$22,MATCH($P58,$G$3:$G$22,0),$Q58)=AP$2,$S58+$O58+9,$S58+$O58)</f>
        <v>42716021</v>
      </c>
      <c r="AQ58" s="1" cm="1">
        <f t="array" ref="AQ58">IF(INDEX($I$3:$L$22,MATCH($P58,$G$3:$G$22,0),$Q58)=AQ$2,$S58+$O58+9,$S58+$O58)</f>
        <v>42716021</v>
      </c>
      <c r="AR58" s="1" cm="1">
        <f t="array" ref="AR58">IF(INDEX($I$3:$L$22,MATCH($P58,$G$3:$G$22,0),$Q58)=AR$2,$S58+$O58+9,$S58+$O58)</f>
        <v>42716021</v>
      </c>
      <c r="AS58" s="1" cm="1">
        <f t="array" ref="AS58">IF(INDEX($I$3:$L$22,MATCH($P58,$G$3:$G$22,0),$Q58)=AS$2,$S58+$O58+9,$S58+$O58)</f>
        <v>42716021</v>
      </c>
      <c r="AT58" s="1" cm="1">
        <f t="array" ref="AT58">IF(INDEX($I$3:$L$22,MATCH($P58,$G$3:$G$22,0),$Q58)=AT$2,$S58+$O58+9,$S58+$O58)</f>
        <v>42716021</v>
      </c>
      <c r="AU58" s="1" cm="1">
        <f t="array" ref="AU58">IF(INDEX($I$3:$L$22,MATCH($P58,$G$3:$G$22,0),$Q58)=AU$2,$S58+$O58+9,$S58+$O58)</f>
        <v>42716021</v>
      </c>
      <c r="AV58" s="1" cm="1">
        <f t="array" ref="AV58">IF(INDEX($I$3:$L$22,MATCH($P58,$G$3:$G$22,0),$Q58)=AV$2,$S58+$O58+9,$S58+$O58)</f>
        <v>42716021</v>
      </c>
      <c r="AW58" s="1" cm="1">
        <f t="array" ref="AW58">IF(INDEX($I$3:$L$22,MATCH($P58,$G$3:$G$22,0),$Q58)=AW$2,$S58+$O58+9,$S58+$O58)</f>
        <v>42716021</v>
      </c>
      <c r="AX58" s="1" cm="1">
        <f t="array" ref="AX58">IF(INDEX($I$3:$L$22,MATCH($P58,$G$3:$G$22,0),$Q58)=AX$2,$S58+$O58+9,$S58+$O58)</f>
        <v>42716030</v>
      </c>
      <c r="AY58" s="1" cm="1">
        <f t="array" ref="AY58">IF(INDEX($I$3:$L$22,MATCH($P58,$G$3:$G$22,0),$Q58)=AY$2,$S58+$O58+9,$S58+$O58)</f>
        <v>42716021</v>
      </c>
      <c r="AZ58" s="1" cm="1">
        <f t="array" ref="AZ58">IF(INDEX($I$3:$L$22,MATCH($P58,$G$3:$G$22,0),$Q58)=AZ$2,$S58+$O58+9,$S58+$O58)</f>
        <v>42716021</v>
      </c>
      <c r="BA58" s="1" cm="1">
        <f t="array" ref="BA58">IF(INDEX($I$3:$L$22,MATCH($P58,$G$3:$G$22,0),$Q58)=BA$2,$S58+$O58+9,$S58+$O58)</f>
        <v>42716021</v>
      </c>
      <c r="BB58" s="1" cm="1">
        <f t="array" ref="BB58">IF(INDEX($I$3:$L$22,MATCH($P58,$G$3:$G$22,0),$Q58)=BB$2,$S58+$O58+9,$S58+$O58)</f>
        <v>42716021</v>
      </c>
      <c r="BC58" s="1" cm="1">
        <f t="array" ref="BC58">IF(INDEX($I$3:$L$22,MATCH($P58,$G$3:$G$22,0),$Q58)=BC$2,$S58+$O58+9,$S58+$O58)</f>
        <v>42716021</v>
      </c>
      <c r="BD58" s="1" cm="1">
        <f t="array" ref="BD58">IF(INDEX($I$3:$L$22,MATCH($P58,$G$3:$G$22,0),$Q58)=BD$2,$S58+$O58+9,$S58+$O58)</f>
        <v>42716021</v>
      </c>
      <c r="BE58" s="1" cm="1">
        <f t="array" ref="BE58">IF(INDEX($I$3:$L$22,MATCH($P58,$G$3:$G$22,0),$Q58)=BE$2,$S58+$O58+9,$S58+$O58)</f>
        <v>42716021</v>
      </c>
      <c r="BF58" s="1" cm="1">
        <f t="array" ref="BF58">IF(INDEX($I$3:$L$22,MATCH($P58,$G$3:$G$22,0),$Q58)=BF$2,$S58+$O58+9,$S58+$O58)</f>
        <v>42716021</v>
      </c>
      <c r="BG58" s="1" cm="1">
        <f t="array" ref="BG58">IF(INDEX($I$3:$L$22,MATCH($P58,$G$3:$G$22,0),$Q58)=BG$2,$S58+$O58+9,$S58+$O58)</f>
        <v>42716021</v>
      </c>
      <c r="BH58" s="1" cm="1">
        <f t="array" ref="BH58">IF(INDEX($I$3:$L$22,MATCH($P58,$G$3:$G$22,0),$Q58)=BH$2,$S58+$O58+9,$S58+$O58)</f>
        <v>42716021</v>
      </c>
      <c r="BI58" s="1" cm="1">
        <f t="array" ref="BI58">IF(INDEX($I$3:$L$22,MATCH($P58,$G$3:$G$22,0),$Q58)=BI$2,$S58+$O58+9,$S58+$O58)</f>
        <v>42716021</v>
      </c>
      <c r="BJ58" s="1" cm="1">
        <f t="array" ref="BJ58">IF(INDEX($I$3:$L$22,MATCH($P58,$G$3:$G$22,0),$Q58)=BJ$2,$S58+$O58+9,$S58+$O58)</f>
        <v>42716021</v>
      </c>
      <c r="BK58" s="1" cm="1">
        <f t="array" ref="BK58">IF(INDEX($I$3:$L$22,MATCH($P58,$G$3:$G$22,0),$Q58)=BK$2,$S58+$O58+9,$S58+$O58)</f>
        <v>42716021</v>
      </c>
      <c r="BL58" s="1" cm="1">
        <f t="array" ref="BL58">IF(INDEX($I$3:$L$22,MATCH($P58,$G$3:$G$22,0),$Q58)=BL$2,$S58+$O58+9,$S58+$O58)</f>
        <v>42716021</v>
      </c>
      <c r="BM58" s="1" cm="1">
        <f t="array" ref="BM58">IF(INDEX($I$3:$L$22,MATCH($P58,$G$3:$G$22,0),$Q58)=BM$2,$S58+$O58+9,$S58+$O58)</f>
        <v>42716021</v>
      </c>
      <c r="BN58" s="1" cm="1">
        <f t="array" ref="BN58">IF(INDEX($I$3:$L$22,MATCH($P58,$G$3:$G$22,0),$Q58)=BN$2,$S58+$O58+9,$S58+$O58)</f>
        <v>42716021</v>
      </c>
      <c r="BO58" s="1" cm="1">
        <f t="array" ref="BO58">IF(INDEX($I$3:$L$22,MATCH($P58,$G$3:$G$22,0),$Q58)=BO$2,$S58+$O58+9,$S58+$O58)</f>
        <v>42716021</v>
      </c>
      <c r="BP58" s="1" cm="1">
        <f t="array" ref="BP58">IF(INDEX($I$3:$L$22,MATCH($P58,$G$3:$G$22,0),$Q58)=BP$2,$S58+$O58+9,$S58+$O58)</f>
        <v>42716021</v>
      </c>
      <c r="BQ58" s="1" cm="1">
        <f t="array" ref="BQ58">IF(INDEX($I$3:$L$22,MATCH($P58,$G$3:$G$22,0),$Q58)=BQ$2,$S58+$O58+9,$S58+$O58)</f>
        <v>42716021</v>
      </c>
      <c r="BR58" s="1" cm="1">
        <f t="array" ref="BR58">IF(INDEX($I$3:$L$22,MATCH($P58,$G$3:$G$22,0),$Q58)=BR$2,$S58+$O58+9,$S58+$O58)</f>
        <v>42716021</v>
      </c>
      <c r="BS58" s="1" cm="1">
        <f t="array" ref="BS58">IF(INDEX($I$3:$L$22,MATCH($P58,$G$3:$G$22,0),$Q58)=BS$2,$S58+$O58+9,$S58+$O58)</f>
        <v>42716021</v>
      </c>
      <c r="BT58" s="1" cm="1">
        <f t="array" ref="BT58">IF(INDEX($I$3:$L$22,MATCH($P58,$G$3:$G$22,0),$Q58)=BT$2,$S58+$O58+9,$S58+$O58)</f>
        <v>42716021</v>
      </c>
    </row>
    <row r="59" spans="14:72" x14ac:dyDescent="0.15">
      <c r="N59" s="1">
        <v>50001</v>
      </c>
      <c r="O59" s="1">
        <f t="shared" si="9"/>
        <v>21</v>
      </c>
      <c r="P59" s="1">
        <f t="shared" si="10"/>
        <v>304</v>
      </c>
      <c r="Q59" s="1">
        <f t="shared" si="11"/>
        <v>1</v>
      </c>
      <c r="R59" s="1" t="s">
        <v>18</v>
      </c>
      <c r="S59" s="1">
        <v>42711000</v>
      </c>
      <c r="T59" s="1" t="str">
        <f t="shared" si="8"/>
        <v>42711021,42711021,42711021,42711021,42711021,42711021,42711021,42711021,42711021,42711021,42711021,42711021,42711021,42711021,42711021,42711021,42711021,42711021,42711021,42711021,42711021,42711021,42711021,42711021,42711021,42711021,42711021,42711021,42711021,42711021,42711030,42711021,42711021,42711021,42711021,42711021,42711021,42711021,42711021,42711021,42711021,42711021,42711021,42711021,42711021,42711021,42711021,42711021,42711021,42711021</v>
      </c>
      <c r="W59" s="1" cm="1">
        <f t="array" ref="W59">IF(INDEX($I$3:$L$22,MATCH($P59,$G$3:$G$22,0),$Q59)=W$2,$S59+$O59+9,$S59+$O59)</f>
        <v>42711021</v>
      </c>
      <c r="X59" s="1" cm="1">
        <f t="array" ref="X59">IF(INDEX($I$3:$L$22,MATCH($P59,$G$3:$G$22,0),$Q59)=X$2,$S59+$O59+9,$S59+$O59)</f>
        <v>42711021</v>
      </c>
      <c r="Y59" s="1" cm="1">
        <f t="array" ref="Y59">IF(INDEX($I$3:$L$22,MATCH($P59,$G$3:$G$22,0),$Q59)=Y$2,$S59+$O59+9,$S59+$O59)</f>
        <v>42711021</v>
      </c>
      <c r="Z59" s="1" cm="1">
        <f t="array" ref="Z59">IF(INDEX($I$3:$L$22,MATCH($P59,$G$3:$G$22,0),$Q59)=Z$2,$S59+$O59+9,$S59+$O59)</f>
        <v>42711021</v>
      </c>
      <c r="AA59" s="1" cm="1">
        <f t="array" ref="AA59">IF(INDEX($I$3:$L$22,MATCH($P59,$G$3:$G$22,0),$Q59)=AA$2,$S59+$O59+9,$S59+$O59)</f>
        <v>42711021</v>
      </c>
      <c r="AB59" s="1" cm="1">
        <f t="array" ref="AB59">IF(INDEX($I$3:$L$22,MATCH($P59,$G$3:$G$22,0),$Q59)=AB$2,$S59+$O59+9,$S59+$O59)</f>
        <v>42711021</v>
      </c>
      <c r="AC59" s="1" cm="1">
        <f t="array" ref="AC59">IF(INDEX($I$3:$L$22,MATCH($P59,$G$3:$G$22,0),$Q59)=AC$2,$S59+$O59+9,$S59+$O59)</f>
        <v>42711021</v>
      </c>
      <c r="AD59" s="1" cm="1">
        <f t="array" ref="AD59">IF(INDEX($I$3:$L$22,MATCH($P59,$G$3:$G$22,0),$Q59)=AD$2,$S59+$O59+9,$S59+$O59)</f>
        <v>42711021</v>
      </c>
      <c r="AE59" s="1" cm="1">
        <f t="array" ref="AE59">IF(INDEX($I$3:$L$22,MATCH($P59,$G$3:$G$22,0),$Q59)=AE$2,$S59+$O59+9,$S59+$O59)</f>
        <v>42711021</v>
      </c>
      <c r="AF59" s="1" cm="1">
        <f t="array" ref="AF59">IF(INDEX($I$3:$L$22,MATCH($P59,$G$3:$G$22,0),$Q59)=AF$2,$S59+$O59+9,$S59+$O59)</f>
        <v>42711021</v>
      </c>
      <c r="AG59" s="1" cm="1">
        <f t="array" ref="AG59">IF(INDEX($I$3:$L$22,MATCH($P59,$G$3:$G$22,0),$Q59)=AG$2,$S59+$O59+9,$S59+$O59)</f>
        <v>42711021</v>
      </c>
      <c r="AH59" s="1" cm="1">
        <f t="array" ref="AH59">IF(INDEX($I$3:$L$22,MATCH($P59,$G$3:$G$22,0),$Q59)=AH$2,$S59+$O59+9,$S59+$O59)</f>
        <v>42711021</v>
      </c>
      <c r="AI59" s="1" cm="1">
        <f t="array" ref="AI59">IF(INDEX($I$3:$L$22,MATCH($P59,$G$3:$G$22,0),$Q59)=AI$2,$S59+$O59+9,$S59+$O59)</f>
        <v>42711021</v>
      </c>
      <c r="AJ59" s="1" cm="1">
        <f t="array" ref="AJ59">IF(INDEX($I$3:$L$22,MATCH($P59,$G$3:$G$22,0),$Q59)=AJ$2,$S59+$O59+9,$S59+$O59)</f>
        <v>42711021</v>
      </c>
      <c r="AK59" s="1" cm="1">
        <f t="array" ref="AK59">IF(INDEX($I$3:$L$22,MATCH($P59,$G$3:$G$22,0),$Q59)=AK$2,$S59+$O59+9,$S59+$O59)</f>
        <v>42711021</v>
      </c>
      <c r="AL59" s="1" cm="1">
        <f t="array" ref="AL59">IF(INDEX($I$3:$L$22,MATCH($P59,$G$3:$G$22,0),$Q59)=AL$2,$S59+$O59+9,$S59+$O59)</f>
        <v>42711021</v>
      </c>
      <c r="AM59" s="1" cm="1">
        <f t="array" ref="AM59">IF(INDEX($I$3:$L$22,MATCH($P59,$G$3:$G$22,0),$Q59)=AM$2,$S59+$O59+9,$S59+$O59)</f>
        <v>42711021</v>
      </c>
      <c r="AN59" s="1" cm="1">
        <f t="array" ref="AN59">IF(INDEX($I$3:$L$22,MATCH($P59,$G$3:$G$22,0),$Q59)=AN$2,$S59+$O59+9,$S59+$O59)</f>
        <v>42711021</v>
      </c>
      <c r="AO59" s="1" cm="1">
        <f t="array" ref="AO59">IF(INDEX($I$3:$L$22,MATCH($P59,$G$3:$G$22,0),$Q59)=AO$2,$S59+$O59+9,$S59+$O59)</f>
        <v>42711021</v>
      </c>
      <c r="AP59" s="1" cm="1">
        <f t="array" ref="AP59">IF(INDEX($I$3:$L$22,MATCH($P59,$G$3:$G$22,0),$Q59)=AP$2,$S59+$O59+9,$S59+$O59)</f>
        <v>42711021</v>
      </c>
      <c r="AQ59" s="1" cm="1">
        <f t="array" ref="AQ59">IF(INDEX($I$3:$L$22,MATCH($P59,$G$3:$G$22,0),$Q59)=AQ$2,$S59+$O59+9,$S59+$O59)</f>
        <v>42711021</v>
      </c>
      <c r="AR59" s="1" cm="1">
        <f t="array" ref="AR59">IF(INDEX($I$3:$L$22,MATCH($P59,$G$3:$G$22,0),$Q59)=AR$2,$S59+$O59+9,$S59+$O59)</f>
        <v>42711021</v>
      </c>
      <c r="AS59" s="1" cm="1">
        <f t="array" ref="AS59">IF(INDEX($I$3:$L$22,MATCH($P59,$G$3:$G$22,0),$Q59)=AS$2,$S59+$O59+9,$S59+$O59)</f>
        <v>42711021</v>
      </c>
      <c r="AT59" s="1" cm="1">
        <f t="array" ref="AT59">IF(INDEX($I$3:$L$22,MATCH($P59,$G$3:$G$22,0),$Q59)=AT$2,$S59+$O59+9,$S59+$O59)</f>
        <v>42711021</v>
      </c>
      <c r="AU59" s="1" cm="1">
        <f t="array" ref="AU59">IF(INDEX($I$3:$L$22,MATCH($P59,$G$3:$G$22,0),$Q59)=AU$2,$S59+$O59+9,$S59+$O59)</f>
        <v>42711021</v>
      </c>
      <c r="AV59" s="1" cm="1">
        <f t="array" ref="AV59">IF(INDEX($I$3:$L$22,MATCH($P59,$G$3:$G$22,0),$Q59)=AV$2,$S59+$O59+9,$S59+$O59)</f>
        <v>42711021</v>
      </c>
      <c r="AW59" s="1" cm="1">
        <f t="array" ref="AW59">IF(INDEX($I$3:$L$22,MATCH($P59,$G$3:$G$22,0),$Q59)=AW$2,$S59+$O59+9,$S59+$O59)</f>
        <v>42711021</v>
      </c>
      <c r="AX59" s="1" cm="1">
        <f t="array" ref="AX59">IF(INDEX($I$3:$L$22,MATCH($P59,$G$3:$G$22,0),$Q59)=AX$2,$S59+$O59+9,$S59+$O59)</f>
        <v>42711021</v>
      </c>
      <c r="AY59" s="1" cm="1">
        <f t="array" ref="AY59">IF(INDEX($I$3:$L$22,MATCH($P59,$G$3:$G$22,0),$Q59)=AY$2,$S59+$O59+9,$S59+$O59)</f>
        <v>42711021</v>
      </c>
      <c r="AZ59" s="1" cm="1">
        <f t="array" ref="AZ59">IF(INDEX($I$3:$L$22,MATCH($P59,$G$3:$G$22,0),$Q59)=AZ$2,$S59+$O59+9,$S59+$O59)</f>
        <v>42711021</v>
      </c>
      <c r="BA59" s="1" cm="1">
        <f t="array" ref="BA59">IF(INDEX($I$3:$L$22,MATCH($P59,$G$3:$G$22,0),$Q59)=BA$2,$S59+$O59+9,$S59+$O59)</f>
        <v>42711030</v>
      </c>
      <c r="BB59" s="1" cm="1">
        <f t="array" ref="BB59">IF(INDEX($I$3:$L$22,MATCH($P59,$G$3:$G$22,0),$Q59)=BB$2,$S59+$O59+9,$S59+$O59)</f>
        <v>42711021</v>
      </c>
      <c r="BC59" s="1" cm="1">
        <f t="array" ref="BC59">IF(INDEX($I$3:$L$22,MATCH($P59,$G$3:$G$22,0),$Q59)=BC$2,$S59+$O59+9,$S59+$O59)</f>
        <v>42711021</v>
      </c>
      <c r="BD59" s="1" cm="1">
        <f t="array" ref="BD59">IF(INDEX($I$3:$L$22,MATCH($P59,$G$3:$G$22,0),$Q59)=BD$2,$S59+$O59+9,$S59+$O59)</f>
        <v>42711021</v>
      </c>
      <c r="BE59" s="1" cm="1">
        <f t="array" ref="BE59">IF(INDEX($I$3:$L$22,MATCH($P59,$G$3:$G$22,0),$Q59)=BE$2,$S59+$O59+9,$S59+$O59)</f>
        <v>42711021</v>
      </c>
      <c r="BF59" s="1" cm="1">
        <f t="array" ref="BF59">IF(INDEX($I$3:$L$22,MATCH($P59,$G$3:$G$22,0),$Q59)=BF$2,$S59+$O59+9,$S59+$O59)</f>
        <v>42711021</v>
      </c>
      <c r="BG59" s="1" cm="1">
        <f t="array" ref="BG59">IF(INDEX($I$3:$L$22,MATCH($P59,$G$3:$G$22,0),$Q59)=BG$2,$S59+$O59+9,$S59+$O59)</f>
        <v>42711021</v>
      </c>
      <c r="BH59" s="1" cm="1">
        <f t="array" ref="BH59">IF(INDEX($I$3:$L$22,MATCH($P59,$G$3:$G$22,0),$Q59)=BH$2,$S59+$O59+9,$S59+$O59)</f>
        <v>42711021</v>
      </c>
      <c r="BI59" s="1" cm="1">
        <f t="array" ref="BI59">IF(INDEX($I$3:$L$22,MATCH($P59,$G$3:$G$22,0),$Q59)=BI$2,$S59+$O59+9,$S59+$O59)</f>
        <v>42711021</v>
      </c>
      <c r="BJ59" s="1" cm="1">
        <f t="array" ref="BJ59">IF(INDEX($I$3:$L$22,MATCH($P59,$G$3:$G$22,0),$Q59)=BJ$2,$S59+$O59+9,$S59+$O59)</f>
        <v>42711021</v>
      </c>
      <c r="BK59" s="1" cm="1">
        <f t="array" ref="BK59">IF(INDEX($I$3:$L$22,MATCH($P59,$G$3:$G$22,0),$Q59)=BK$2,$S59+$O59+9,$S59+$O59)</f>
        <v>42711021</v>
      </c>
      <c r="BL59" s="1" cm="1">
        <f t="array" ref="BL59">IF(INDEX($I$3:$L$22,MATCH($P59,$G$3:$G$22,0),$Q59)=BL$2,$S59+$O59+9,$S59+$O59)</f>
        <v>42711021</v>
      </c>
      <c r="BM59" s="1" cm="1">
        <f t="array" ref="BM59">IF(INDEX($I$3:$L$22,MATCH($P59,$G$3:$G$22,0),$Q59)=BM$2,$S59+$O59+9,$S59+$O59)</f>
        <v>42711021</v>
      </c>
      <c r="BN59" s="1" cm="1">
        <f t="array" ref="BN59">IF(INDEX($I$3:$L$22,MATCH($P59,$G$3:$G$22,0),$Q59)=BN$2,$S59+$O59+9,$S59+$O59)</f>
        <v>42711021</v>
      </c>
      <c r="BO59" s="1" cm="1">
        <f t="array" ref="BO59">IF(INDEX($I$3:$L$22,MATCH($P59,$G$3:$G$22,0),$Q59)=BO$2,$S59+$O59+9,$S59+$O59)</f>
        <v>42711021</v>
      </c>
      <c r="BP59" s="1" cm="1">
        <f t="array" ref="BP59">IF(INDEX($I$3:$L$22,MATCH($P59,$G$3:$G$22,0),$Q59)=BP$2,$S59+$O59+9,$S59+$O59)</f>
        <v>42711021</v>
      </c>
      <c r="BQ59" s="1" cm="1">
        <f t="array" ref="BQ59">IF(INDEX($I$3:$L$22,MATCH($P59,$G$3:$G$22,0),$Q59)=BQ$2,$S59+$O59+9,$S59+$O59)</f>
        <v>42711021</v>
      </c>
      <c r="BR59" s="1" cm="1">
        <f t="array" ref="BR59">IF(INDEX($I$3:$L$22,MATCH($P59,$G$3:$G$22,0),$Q59)=BR$2,$S59+$O59+9,$S59+$O59)</f>
        <v>42711021</v>
      </c>
      <c r="BS59" s="1" cm="1">
        <f t="array" ref="BS59">IF(INDEX($I$3:$L$22,MATCH($P59,$G$3:$G$22,0),$Q59)=BS$2,$S59+$O59+9,$S59+$O59)</f>
        <v>42711021</v>
      </c>
      <c r="BT59" s="1" cm="1">
        <f t="array" ref="BT59">IF(INDEX($I$3:$L$22,MATCH($P59,$G$3:$G$22,0),$Q59)=BT$2,$S59+$O59+9,$S59+$O59)</f>
        <v>42711021</v>
      </c>
    </row>
    <row r="60" spans="14:72" x14ac:dyDescent="0.15">
      <c r="N60" s="1">
        <v>50001</v>
      </c>
      <c r="O60" s="1">
        <f t="shared" si="9"/>
        <v>21</v>
      </c>
      <c r="P60" s="1">
        <f t="shared" si="10"/>
        <v>304</v>
      </c>
      <c r="Q60" s="1">
        <f t="shared" si="11"/>
        <v>2</v>
      </c>
      <c r="R60" s="1" t="s">
        <v>17</v>
      </c>
      <c r="S60" s="1">
        <v>42612000</v>
      </c>
      <c r="T60" s="1" t="str">
        <f t="shared" si="8"/>
        <v>42612021,42612021,42612021,42612021,42612021,42612021,42612021,42612021,42612021,42612021,42612021,42612021,42612021,42612021,42612021,42612021,42612021,42612021,42612021,42612021,42612021,42612021,42612030,42612021,42612021,42612021,42612021,42612021,42612021,42612021,42612021,42612021,42612021,42612021,42612021,42612021,42612021,42612021,42612021,42612021,42612021,42612021,42612021,42612021,42612021,42612021,42612021,42612021,42612021,42612021</v>
      </c>
      <c r="W60" s="1" cm="1">
        <f t="array" ref="W60">IF(INDEX($I$3:$L$22,MATCH($P60,$G$3:$G$22,0),$Q60)=W$2,$S60+$O60+9,$S60+$O60)</f>
        <v>42612021</v>
      </c>
      <c r="X60" s="1" cm="1">
        <f t="array" ref="X60">IF(INDEX($I$3:$L$22,MATCH($P60,$G$3:$G$22,0),$Q60)=X$2,$S60+$O60+9,$S60+$O60)</f>
        <v>42612021</v>
      </c>
      <c r="Y60" s="1" cm="1">
        <f t="array" ref="Y60">IF(INDEX($I$3:$L$22,MATCH($P60,$G$3:$G$22,0),$Q60)=Y$2,$S60+$O60+9,$S60+$O60)</f>
        <v>42612021</v>
      </c>
      <c r="Z60" s="1" cm="1">
        <f t="array" ref="Z60">IF(INDEX($I$3:$L$22,MATCH($P60,$G$3:$G$22,0),$Q60)=Z$2,$S60+$O60+9,$S60+$O60)</f>
        <v>42612021</v>
      </c>
      <c r="AA60" s="1" cm="1">
        <f t="array" ref="AA60">IF(INDEX($I$3:$L$22,MATCH($P60,$G$3:$G$22,0),$Q60)=AA$2,$S60+$O60+9,$S60+$O60)</f>
        <v>42612021</v>
      </c>
      <c r="AB60" s="1" cm="1">
        <f t="array" ref="AB60">IF(INDEX($I$3:$L$22,MATCH($P60,$G$3:$G$22,0),$Q60)=AB$2,$S60+$O60+9,$S60+$O60)</f>
        <v>42612021</v>
      </c>
      <c r="AC60" s="1" cm="1">
        <f t="array" ref="AC60">IF(INDEX($I$3:$L$22,MATCH($P60,$G$3:$G$22,0),$Q60)=AC$2,$S60+$O60+9,$S60+$O60)</f>
        <v>42612021</v>
      </c>
      <c r="AD60" s="1" cm="1">
        <f t="array" ref="AD60">IF(INDEX($I$3:$L$22,MATCH($P60,$G$3:$G$22,0),$Q60)=AD$2,$S60+$O60+9,$S60+$O60)</f>
        <v>42612021</v>
      </c>
      <c r="AE60" s="1" cm="1">
        <f t="array" ref="AE60">IF(INDEX($I$3:$L$22,MATCH($P60,$G$3:$G$22,0),$Q60)=AE$2,$S60+$O60+9,$S60+$O60)</f>
        <v>42612021</v>
      </c>
      <c r="AF60" s="1" cm="1">
        <f t="array" ref="AF60">IF(INDEX($I$3:$L$22,MATCH($P60,$G$3:$G$22,0),$Q60)=AF$2,$S60+$O60+9,$S60+$O60)</f>
        <v>42612021</v>
      </c>
      <c r="AG60" s="1" cm="1">
        <f t="array" ref="AG60">IF(INDEX($I$3:$L$22,MATCH($P60,$G$3:$G$22,0),$Q60)=AG$2,$S60+$O60+9,$S60+$O60)</f>
        <v>42612021</v>
      </c>
      <c r="AH60" s="1" cm="1">
        <f t="array" ref="AH60">IF(INDEX($I$3:$L$22,MATCH($P60,$G$3:$G$22,0),$Q60)=AH$2,$S60+$O60+9,$S60+$O60)</f>
        <v>42612021</v>
      </c>
      <c r="AI60" s="1" cm="1">
        <f t="array" ref="AI60">IF(INDEX($I$3:$L$22,MATCH($P60,$G$3:$G$22,0),$Q60)=AI$2,$S60+$O60+9,$S60+$O60)</f>
        <v>42612021</v>
      </c>
      <c r="AJ60" s="1" cm="1">
        <f t="array" ref="AJ60">IF(INDEX($I$3:$L$22,MATCH($P60,$G$3:$G$22,0),$Q60)=AJ$2,$S60+$O60+9,$S60+$O60)</f>
        <v>42612021</v>
      </c>
      <c r="AK60" s="1" cm="1">
        <f t="array" ref="AK60">IF(INDEX($I$3:$L$22,MATCH($P60,$G$3:$G$22,0),$Q60)=AK$2,$S60+$O60+9,$S60+$O60)</f>
        <v>42612021</v>
      </c>
      <c r="AL60" s="1" cm="1">
        <f t="array" ref="AL60">IF(INDEX($I$3:$L$22,MATCH($P60,$G$3:$G$22,0),$Q60)=AL$2,$S60+$O60+9,$S60+$O60)</f>
        <v>42612021</v>
      </c>
      <c r="AM60" s="1" cm="1">
        <f t="array" ref="AM60">IF(INDEX($I$3:$L$22,MATCH($P60,$G$3:$G$22,0),$Q60)=AM$2,$S60+$O60+9,$S60+$O60)</f>
        <v>42612021</v>
      </c>
      <c r="AN60" s="1" cm="1">
        <f t="array" ref="AN60">IF(INDEX($I$3:$L$22,MATCH($P60,$G$3:$G$22,0),$Q60)=AN$2,$S60+$O60+9,$S60+$O60)</f>
        <v>42612021</v>
      </c>
      <c r="AO60" s="1" cm="1">
        <f t="array" ref="AO60">IF(INDEX($I$3:$L$22,MATCH($P60,$G$3:$G$22,0),$Q60)=AO$2,$S60+$O60+9,$S60+$O60)</f>
        <v>42612021</v>
      </c>
      <c r="AP60" s="1" cm="1">
        <f t="array" ref="AP60">IF(INDEX($I$3:$L$22,MATCH($P60,$G$3:$G$22,0),$Q60)=AP$2,$S60+$O60+9,$S60+$O60)</f>
        <v>42612021</v>
      </c>
      <c r="AQ60" s="1" cm="1">
        <f t="array" ref="AQ60">IF(INDEX($I$3:$L$22,MATCH($P60,$G$3:$G$22,0),$Q60)=AQ$2,$S60+$O60+9,$S60+$O60)</f>
        <v>42612021</v>
      </c>
      <c r="AR60" s="1" cm="1">
        <f t="array" ref="AR60">IF(INDEX($I$3:$L$22,MATCH($P60,$G$3:$G$22,0),$Q60)=AR$2,$S60+$O60+9,$S60+$O60)</f>
        <v>42612021</v>
      </c>
      <c r="AS60" s="1" cm="1">
        <f t="array" ref="AS60">IF(INDEX($I$3:$L$22,MATCH($P60,$G$3:$G$22,0),$Q60)=AS$2,$S60+$O60+9,$S60+$O60)</f>
        <v>42612030</v>
      </c>
      <c r="AT60" s="1" cm="1">
        <f t="array" ref="AT60">IF(INDEX($I$3:$L$22,MATCH($P60,$G$3:$G$22,0),$Q60)=AT$2,$S60+$O60+9,$S60+$O60)</f>
        <v>42612021</v>
      </c>
      <c r="AU60" s="1" cm="1">
        <f t="array" ref="AU60">IF(INDEX($I$3:$L$22,MATCH($P60,$G$3:$G$22,0),$Q60)=AU$2,$S60+$O60+9,$S60+$O60)</f>
        <v>42612021</v>
      </c>
      <c r="AV60" s="1" cm="1">
        <f t="array" ref="AV60">IF(INDEX($I$3:$L$22,MATCH($P60,$G$3:$G$22,0),$Q60)=AV$2,$S60+$O60+9,$S60+$O60)</f>
        <v>42612021</v>
      </c>
      <c r="AW60" s="1" cm="1">
        <f t="array" ref="AW60">IF(INDEX($I$3:$L$22,MATCH($P60,$G$3:$G$22,0),$Q60)=AW$2,$S60+$O60+9,$S60+$O60)</f>
        <v>42612021</v>
      </c>
      <c r="AX60" s="1" cm="1">
        <f t="array" ref="AX60">IF(INDEX($I$3:$L$22,MATCH($P60,$G$3:$G$22,0),$Q60)=AX$2,$S60+$O60+9,$S60+$O60)</f>
        <v>42612021</v>
      </c>
      <c r="AY60" s="1" cm="1">
        <f t="array" ref="AY60">IF(INDEX($I$3:$L$22,MATCH($P60,$G$3:$G$22,0),$Q60)=AY$2,$S60+$O60+9,$S60+$O60)</f>
        <v>42612021</v>
      </c>
      <c r="AZ60" s="1" cm="1">
        <f t="array" ref="AZ60">IF(INDEX($I$3:$L$22,MATCH($P60,$G$3:$G$22,0),$Q60)=AZ$2,$S60+$O60+9,$S60+$O60)</f>
        <v>42612021</v>
      </c>
      <c r="BA60" s="1" cm="1">
        <f t="array" ref="BA60">IF(INDEX($I$3:$L$22,MATCH($P60,$G$3:$G$22,0),$Q60)=BA$2,$S60+$O60+9,$S60+$O60)</f>
        <v>42612021</v>
      </c>
      <c r="BB60" s="1" cm="1">
        <f t="array" ref="BB60">IF(INDEX($I$3:$L$22,MATCH($P60,$G$3:$G$22,0),$Q60)=BB$2,$S60+$O60+9,$S60+$O60)</f>
        <v>42612021</v>
      </c>
      <c r="BC60" s="1" cm="1">
        <f t="array" ref="BC60">IF(INDEX($I$3:$L$22,MATCH($P60,$G$3:$G$22,0),$Q60)=BC$2,$S60+$O60+9,$S60+$O60)</f>
        <v>42612021</v>
      </c>
      <c r="BD60" s="1" cm="1">
        <f t="array" ref="BD60">IF(INDEX($I$3:$L$22,MATCH($P60,$G$3:$G$22,0),$Q60)=BD$2,$S60+$O60+9,$S60+$O60)</f>
        <v>42612021</v>
      </c>
      <c r="BE60" s="1" cm="1">
        <f t="array" ref="BE60">IF(INDEX($I$3:$L$22,MATCH($P60,$G$3:$G$22,0),$Q60)=BE$2,$S60+$O60+9,$S60+$O60)</f>
        <v>42612021</v>
      </c>
      <c r="BF60" s="1" cm="1">
        <f t="array" ref="BF60">IF(INDEX($I$3:$L$22,MATCH($P60,$G$3:$G$22,0),$Q60)=BF$2,$S60+$O60+9,$S60+$O60)</f>
        <v>42612021</v>
      </c>
      <c r="BG60" s="1" cm="1">
        <f t="array" ref="BG60">IF(INDEX($I$3:$L$22,MATCH($P60,$G$3:$G$22,0),$Q60)=BG$2,$S60+$O60+9,$S60+$O60)</f>
        <v>42612021</v>
      </c>
      <c r="BH60" s="1" cm="1">
        <f t="array" ref="BH60">IF(INDEX($I$3:$L$22,MATCH($P60,$G$3:$G$22,0),$Q60)=BH$2,$S60+$O60+9,$S60+$O60)</f>
        <v>42612021</v>
      </c>
      <c r="BI60" s="1" cm="1">
        <f t="array" ref="BI60">IF(INDEX($I$3:$L$22,MATCH($P60,$G$3:$G$22,0),$Q60)=BI$2,$S60+$O60+9,$S60+$O60)</f>
        <v>42612021</v>
      </c>
      <c r="BJ60" s="1" cm="1">
        <f t="array" ref="BJ60">IF(INDEX($I$3:$L$22,MATCH($P60,$G$3:$G$22,0),$Q60)=BJ$2,$S60+$O60+9,$S60+$O60)</f>
        <v>42612021</v>
      </c>
      <c r="BK60" s="1" cm="1">
        <f t="array" ref="BK60">IF(INDEX($I$3:$L$22,MATCH($P60,$G$3:$G$22,0),$Q60)=BK$2,$S60+$O60+9,$S60+$O60)</f>
        <v>42612021</v>
      </c>
      <c r="BL60" s="1" cm="1">
        <f t="array" ref="BL60">IF(INDEX($I$3:$L$22,MATCH($P60,$G$3:$G$22,0),$Q60)=BL$2,$S60+$O60+9,$S60+$O60)</f>
        <v>42612021</v>
      </c>
      <c r="BM60" s="1" cm="1">
        <f t="array" ref="BM60">IF(INDEX($I$3:$L$22,MATCH($P60,$G$3:$G$22,0),$Q60)=BM$2,$S60+$O60+9,$S60+$O60)</f>
        <v>42612021</v>
      </c>
      <c r="BN60" s="1" cm="1">
        <f t="array" ref="BN60">IF(INDEX($I$3:$L$22,MATCH($P60,$G$3:$G$22,0),$Q60)=BN$2,$S60+$O60+9,$S60+$O60)</f>
        <v>42612021</v>
      </c>
      <c r="BO60" s="1" cm="1">
        <f t="array" ref="BO60">IF(INDEX($I$3:$L$22,MATCH($P60,$G$3:$G$22,0),$Q60)=BO$2,$S60+$O60+9,$S60+$O60)</f>
        <v>42612021</v>
      </c>
      <c r="BP60" s="1" cm="1">
        <f t="array" ref="BP60">IF(INDEX($I$3:$L$22,MATCH($P60,$G$3:$G$22,0),$Q60)=BP$2,$S60+$O60+9,$S60+$O60)</f>
        <v>42612021</v>
      </c>
      <c r="BQ60" s="1" cm="1">
        <f t="array" ref="BQ60">IF(INDEX($I$3:$L$22,MATCH($P60,$G$3:$G$22,0),$Q60)=BQ$2,$S60+$O60+9,$S60+$O60)</f>
        <v>42612021</v>
      </c>
      <c r="BR60" s="1" cm="1">
        <f t="array" ref="BR60">IF(INDEX($I$3:$L$22,MATCH($P60,$G$3:$G$22,0),$Q60)=BR$2,$S60+$O60+9,$S60+$O60)</f>
        <v>42612021</v>
      </c>
      <c r="BS60" s="1" cm="1">
        <f t="array" ref="BS60">IF(INDEX($I$3:$L$22,MATCH($P60,$G$3:$G$22,0),$Q60)=BS$2,$S60+$O60+9,$S60+$O60)</f>
        <v>42612021</v>
      </c>
      <c r="BT60" s="1" cm="1">
        <f t="array" ref="BT60">IF(INDEX($I$3:$L$22,MATCH($P60,$G$3:$G$22,0),$Q60)=BT$2,$S60+$O60+9,$S60+$O60)</f>
        <v>42612021</v>
      </c>
    </row>
    <row r="61" spans="14:72" x14ac:dyDescent="0.15">
      <c r="N61" s="1">
        <v>50001</v>
      </c>
      <c r="O61" s="1">
        <f t="shared" si="9"/>
        <v>21</v>
      </c>
      <c r="P61" s="1">
        <f t="shared" si="10"/>
        <v>304</v>
      </c>
      <c r="Q61" s="1">
        <f t="shared" si="11"/>
        <v>3</v>
      </c>
      <c r="R61" s="1" t="s">
        <v>16</v>
      </c>
      <c r="S61" s="1">
        <v>42713000</v>
      </c>
      <c r="T61" s="1" t="str">
        <f t="shared" si="8"/>
        <v>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42713021,42713030,42713021,42713021,42713021,42713021</v>
      </c>
      <c r="W61" s="1" cm="1">
        <f t="array" ref="W61">IF(INDEX($I$3:$L$22,MATCH($P61,$G$3:$G$22,0),$Q61)=W$2,$S61+$O61+9,$S61+$O61)</f>
        <v>42713021</v>
      </c>
      <c r="X61" s="1" cm="1">
        <f t="array" ref="X61">IF(INDEX($I$3:$L$22,MATCH($P61,$G$3:$G$22,0),$Q61)=X$2,$S61+$O61+9,$S61+$O61)</f>
        <v>42713021</v>
      </c>
      <c r="Y61" s="1" cm="1">
        <f t="array" ref="Y61">IF(INDEX($I$3:$L$22,MATCH($P61,$G$3:$G$22,0),$Q61)=Y$2,$S61+$O61+9,$S61+$O61)</f>
        <v>42713021</v>
      </c>
      <c r="Z61" s="1" cm="1">
        <f t="array" ref="Z61">IF(INDEX($I$3:$L$22,MATCH($P61,$G$3:$G$22,0),$Q61)=Z$2,$S61+$O61+9,$S61+$O61)</f>
        <v>42713021</v>
      </c>
      <c r="AA61" s="1" cm="1">
        <f t="array" ref="AA61">IF(INDEX($I$3:$L$22,MATCH($P61,$G$3:$G$22,0),$Q61)=AA$2,$S61+$O61+9,$S61+$O61)</f>
        <v>42713021</v>
      </c>
      <c r="AB61" s="1" cm="1">
        <f t="array" ref="AB61">IF(INDEX($I$3:$L$22,MATCH($P61,$G$3:$G$22,0),$Q61)=AB$2,$S61+$O61+9,$S61+$O61)</f>
        <v>42713021</v>
      </c>
      <c r="AC61" s="1" cm="1">
        <f t="array" ref="AC61">IF(INDEX($I$3:$L$22,MATCH($P61,$G$3:$G$22,0),$Q61)=AC$2,$S61+$O61+9,$S61+$O61)</f>
        <v>42713021</v>
      </c>
      <c r="AD61" s="1" cm="1">
        <f t="array" ref="AD61">IF(INDEX($I$3:$L$22,MATCH($P61,$G$3:$G$22,0),$Q61)=AD$2,$S61+$O61+9,$S61+$O61)</f>
        <v>42713021</v>
      </c>
      <c r="AE61" s="1" cm="1">
        <f t="array" ref="AE61">IF(INDEX($I$3:$L$22,MATCH($P61,$G$3:$G$22,0),$Q61)=AE$2,$S61+$O61+9,$S61+$O61)</f>
        <v>42713021</v>
      </c>
      <c r="AF61" s="1" cm="1">
        <f t="array" ref="AF61">IF(INDEX($I$3:$L$22,MATCH($P61,$G$3:$G$22,0),$Q61)=AF$2,$S61+$O61+9,$S61+$O61)</f>
        <v>42713021</v>
      </c>
      <c r="AG61" s="1" cm="1">
        <f t="array" ref="AG61">IF(INDEX($I$3:$L$22,MATCH($P61,$G$3:$G$22,0),$Q61)=AG$2,$S61+$O61+9,$S61+$O61)</f>
        <v>42713021</v>
      </c>
      <c r="AH61" s="1" cm="1">
        <f t="array" ref="AH61">IF(INDEX($I$3:$L$22,MATCH($P61,$G$3:$G$22,0),$Q61)=AH$2,$S61+$O61+9,$S61+$O61)</f>
        <v>42713021</v>
      </c>
      <c r="AI61" s="1" cm="1">
        <f t="array" ref="AI61">IF(INDEX($I$3:$L$22,MATCH($P61,$G$3:$G$22,0),$Q61)=AI$2,$S61+$O61+9,$S61+$O61)</f>
        <v>42713021</v>
      </c>
      <c r="AJ61" s="1" cm="1">
        <f t="array" ref="AJ61">IF(INDEX($I$3:$L$22,MATCH($P61,$G$3:$G$22,0),$Q61)=AJ$2,$S61+$O61+9,$S61+$O61)</f>
        <v>42713021</v>
      </c>
      <c r="AK61" s="1" cm="1">
        <f t="array" ref="AK61">IF(INDEX($I$3:$L$22,MATCH($P61,$G$3:$G$22,0),$Q61)=AK$2,$S61+$O61+9,$S61+$O61)</f>
        <v>42713021</v>
      </c>
      <c r="AL61" s="1" cm="1">
        <f t="array" ref="AL61">IF(INDEX($I$3:$L$22,MATCH($P61,$G$3:$G$22,0),$Q61)=AL$2,$S61+$O61+9,$S61+$O61)</f>
        <v>42713021</v>
      </c>
      <c r="AM61" s="1" cm="1">
        <f t="array" ref="AM61">IF(INDEX($I$3:$L$22,MATCH($P61,$G$3:$G$22,0),$Q61)=AM$2,$S61+$O61+9,$S61+$O61)</f>
        <v>42713021</v>
      </c>
      <c r="AN61" s="1" cm="1">
        <f t="array" ref="AN61">IF(INDEX($I$3:$L$22,MATCH($P61,$G$3:$G$22,0),$Q61)=AN$2,$S61+$O61+9,$S61+$O61)</f>
        <v>42713021</v>
      </c>
      <c r="AO61" s="1" cm="1">
        <f t="array" ref="AO61">IF(INDEX($I$3:$L$22,MATCH($P61,$G$3:$G$22,0),$Q61)=AO$2,$S61+$O61+9,$S61+$O61)</f>
        <v>42713021</v>
      </c>
      <c r="AP61" s="1" cm="1">
        <f t="array" ref="AP61">IF(INDEX($I$3:$L$22,MATCH($P61,$G$3:$G$22,0),$Q61)=AP$2,$S61+$O61+9,$S61+$O61)</f>
        <v>42713021</v>
      </c>
      <c r="AQ61" s="1" cm="1">
        <f t="array" ref="AQ61">IF(INDEX($I$3:$L$22,MATCH($P61,$G$3:$G$22,0),$Q61)=AQ$2,$S61+$O61+9,$S61+$O61)</f>
        <v>42713021</v>
      </c>
      <c r="AR61" s="1" cm="1">
        <f t="array" ref="AR61">IF(INDEX($I$3:$L$22,MATCH($P61,$G$3:$G$22,0),$Q61)=AR$2,$S61+$O61+9,$S61+$O61)</f>
        <v>42713021</v>
      </c>
      <c r="AS61" s="1" cm="1">
        <f t="array" ref="AS61">IF(INDEX($I$3:$L$22,MATCH($P61,$G$3:$G$22,0),$Q61)=AS$2,$S61+$O61+9,$S61+$O61)</f>
        <v>42713021</v>
      </c>
      <c r="AT61" s="1" cm="1">
        <f t="array" ref="AT61">IF(INDEX($I$3:$L$22,MATCH($P61,$G$3:$G$22,0),$Q61)=AT$2,$S61+$O61+9,$S61+$O61)</f>
        <v>42713021</v>
      </c>
      <c r="AU61" s="1" cm="1">
        <f t="array" ref="AU61">IF(INDEX($I$3:$L$22,MATCH($P61,$G$3:$G$22,0),$Q61)=AU$2,$S61+$O61+9,$S61+$O61)</f>
        <v>42713021</v>
      </c>
      <c r="AV61" s="1" cm="1">
        <f t="array" ref="AV61">IF(INDEX($I$3:$L$22,MATCH($P61,$G$3:$G$22,0),$Q61)=AV$2,$S61+$O61+9,$S61+$O61)</f>
        <v>42713021</v>
      </c>
      <c r="AW61" s="1" cm="1">
        <f t="array" ref="AW61">IF(INDEX($I$3:$L$22,MATCH($P61,$G$3:$G$22,0),$Q61)=AW$2,$S61+$O61+9,$S61+$O61)</f>
        <v>42713021</v>
      </c>
      <c r="AX61" s="1" cm="1">
        <f t="array" ref="AX61">IF(INDEX($I$3:$L$22,MATCH($P61,$G$3:$G$22,0),$Q61)=AX$2,$S61+$O61+9,$S61+$O61)</f>
        <v>42713021</v>
      </c>
      <c r="AY61" s="1" cm="1">
        <f t="array" ref="AY61">IF(INDEX($I$3:$L$22,MATCH($P61,$G$3:$G$22,0),$Q61)=AY$2,$S61+$O61+9,$S61+$O61)</f>
        <v>42713021</v>
      </c>
      <c r="AZ61" s="1" cm="1">
        <f t="array" ref="AZ61">IF(INDEX($I$3:$L$22,MATCH($P61,$G$3:$G$22,0),$Q61)=AZ$2,$S61+$O61+9,$S61+$O61)</f>
        <v>42713021</v>
      </c>
      <c r="BA61" s="1" cm="1">
        <f t="array" ref="BA61">IF(INDEX($I$3:$L$22,MATCH($P61,$G$3:$G$22,0),$Q61)=BA$2,$S61+$O61+9,$S61+$O61)</f>
        <v>42713021</v>
      </c>
      <c r="BB61" s="1" cm="1">
        <f t="array" ref="BB61">IF(INDEX($I$3:$L$22,MATCH($P61,$G$3:$G$22,0),$Q61)=BB$2,$S61+$O61+9,$S61+$O61)</f>
        <v>42713021</v>
      </c>
      <c r="BC61" s="1" cm="1">
        <f t="array" ref="BC61">IF(INDEX($I$3:$L$22,MATCH($P61,$G$3:$G$22,0),$Q61)=BC$2,$S61+$O61+9,$S61+$O61)</f>
        <v>42713021</v>
      </c>
      <c r="BD61" s="1" cm="1">
        <f t="array" ref="BD61">IF(INDEX($I$3:$L$22,MATCH($P61,$G$3:$G$22,0),$Q61)=BD$2,$S61+$O61+9,$S61+$O61)</f>
        <v>42713021</v>
      </c>
      <c r="BE61" s="1" cm="1">
        <f t="array" ref="BE61">IF(INDEX($I$3:$L$22,MATCH($P61,$G$3:$G$22,0),$Q61)=BE$2,$S61+$O61+9,$S61+$O61)</f>
        <v>42713021</v>
      </c>
      <c r="BF61" s="1" cm="1">
        <f t="array" ref="BF61">IF(INDEX($I$3:$L$22,MATCH($P61,$G$3:$G$22,0),$Q61)=BF$2,$S61+$O61+9,$S61+$O61)</f>
        <v>42713021</v>
      </c>
      <c r="BG61" s="1" cm="1">
        <f t="array" ref="BG61">IF(INDEX($I$3:$L$22,MATCH($P61,$G$3:$G$22,0),$Q61)=BG$2,$S61+$O61+9,$S61+$O61)</f>
        <v>42713021</v>
      </c>
      <c r="BH61" s="1" cm="1">
        <f t="array" ref="BH61">IF(INDEX($I$3:$L$22,MATCH($P61,$G$3:$G$22,0),$Q61)=BH$2,$S61+$O61+9,$S61+$O61)</f>
        <v>42713021</v>
      </c>
      <c r="BI61" s="1" cm="1">
        <f t="array" ref="BI61">IF(INDEX($I$3:$L$22,MATCH($P61,$G$3:$G$22,0),$Q61)=BI$2,$S61+$O61+9,$S61+$O61)</f>
        <v>42713021</v>
      </c>
      <c r="BJ61" s="1" cm="1">
        <f t="array" ref="BJ61">IF(INDEX($I$3:$L$22,MATCH($P61,$G$3:$G$22,0),$Q61)=BJ$2,$S61+$O61+9,$S61+$O61)</f>
        <v>42713021</v>
      </c>
      <c r="BK61" s="1" cm="1">
        <f t="array" ref="BK61">IF(INDEX($I$3:$L$22,MATCH($P61,$G$3:$G$22,0),$Q61)=BK$2,$S61+$O61+9,$S61+$O61)</f>
        <v>42713021</v>
      </c>
      <c r="BL61" s="1" cm="1">
        <f t="array" ref="BL61">IF(INDEX($I$3:$L$22,MATCH($P61,$G$3:$G$22,0),$Q61)=BL$2,$S61+$O61+9,$S61+$O61)</f>
        <v>42713021</v>
      </c>
      <c r="BM61" s="1" cm="1">
        <f t="array" ref="BM61">IF(INDEX($I$3:$L$22,MATCH($P61,$G$3:$G$22,0),$Q61)=BM$2,$S61+$O61+9,$S61+$O61)</f>
        <v>42713021</v>
      </c>
      <c r="BN61" s="1" cm="1">
        <f t="array" ref="BN61">IF(INDEX($I$3:$L$22,MATCH($P61,$G$3:$G$22,0),$Q61)=BN$2,$S61+$O61+9,$S61+$O61)</f>
        <v>42713021</v>
      </c>
      <c r="BO61" s="1" cm="1">
        <f t="array" ref="BO61">IF(INDEX($I$3:$L$22,MATCH($P61,$G$3:$G$22,0),$Q61)=BO$2,$S61+$O61+9,$S61+$O61)</f>
        <v>42713021</v>
      </c>
      <c r="BP61" s="1" cm="1">
        <f t="array" ref="BP61">IF(INDEX($I$3:$L$22,MATCH($P61,$G$3:$G$22,0),$Q61)=BP$2,$S61+$O61+9,$S61+$O61)</f>
        <v>42713030</v>
      </c>
      <c r="BQ61" s="1" cm="1">
        <f t="array" ref="BQ61">IF(INDEX($I$3:$L$22,MATCH($P61,$G$3:$G$22,0),$Q61)=BQ$2,$S61+$O61+9,$S61+$O61)</f>
        <v>42713021</v>
      </c>
      <c r="BR61" s="1" cm="1">
        <f t="array" ref="BR61">IF(INDEX($I$3:$L$22,MATCH($P61,$G$3:$G$22,0),$Q61)=BR$2,$S61+$O61+9,$S61+$O61)</f>
        <v>42713021</v>
      </c>
      <c r="BS61" s="1" cm="1">
        <f t="array" ref="BS61">IF(INDEX($I$3:$L$22,MATCH($P61,$G$3:$G$22,0),$Q61)=BS$2,$S61+$O61+9,$S61+$O61)</f>
        <v>42713021</v>
      </c>
      <c r="BT61" s="1" cm="1">
        <f t="array" ref="BT61">IF(INDEX($I$3:$L$22,MATCH($P61,$G$3:$G$22,0),$Q61)=BT$2,$S61+$O61+9,$S61+$O61)</f>
        <v>42713021</v>
      </c>
    </row>
    <row r="62" spans="14:72" x14ac:dyDescent="0.15">
      <c r="N62" s="1">
        <v>50001</v>
      </c>
      <c r="O62" s="1">
        <f t="shared" si="9"/>
        <v>21</v>
      </c>
      <c r="P62" s="1">
        <f t="shared" si="10"/>
        <v>304</v>
      </c>
      <c r="Q62" s="1">
        <f t="shared" si="11"/>
        <v>4</v>
      </c>
      <c r="R62" s="1" t="s">
        <v>15</v>
      </c>
      <c r="S62" s="1">
        <v>42716000</v>
      </c>
      <c r="T62" s="1" t="str">
        <f t="shared" si="8"/>
        <v>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42716021,42716030,42716021,42716021,42716021,42716021</v>
      </c>
      <c r="W62" s="1" cm="1">
        <f t="array" ref="W62">IF(INDEX($I$3:$L$22,MATCH($P62,$G$3:$G$22,0),$Q62)=W$2,$S62+$O62+9,$S62+$O62)</f>
        <v>42716021</v>
      </c>
      <c r="X62" s="1" cm="1">
        <f t="array" ref="X62">IF(INDEX($I$3:$L$22,MATCH($P62,$G$3:$G$22,0),$Q62)=X$2,$S62+$O62+9,$S62+$O62)</f>
        <v>42716021</v>
      </c>
      <c r="Y62" s="1" cm="1">
        <f t="array" ref="Y62">IF(INDEX($I$3:$L$22,MATCH($P62,$G$3:$G$22,0),$Q62)=Y$2,$S62+$O62+9,$S62+$O62)</f>
        <v>42716021</v>
      </c>
      <c r="Z62" s="1" cm="1">
        <f t="array" ref="Z62">IF(INDEX($I$3:$L$22,MATCH($P62,$G$3:$G$22,0),$Q62)=Z$2,$S62+$O62+9,$S62+$O62)</f>
        <v>42716021</v>
      </c>
      <c r="AA62" s="1" cm="1">
        <f t="array" ref="AA62">IF(INDEX($I$3:$L$22,MATCH($P62,$G$3:$G$22,0),$Q62)=AA$2,$S62+$O62+9,$S62+$O62)</f>
        <v>42716021</v>
      </c>
      <c r="AB62" s="1" cm="1">
        <f t="array" ref="AB62">IF(INDEX($I$3:$L$22,MATCH($P62,$G$3:$G$22,0),$Q62)=AB$2,$S62+$O62+9,$S62+$O62)</f>
        <v>42716021</v>
      </c>
      <c r="AC62" s="1" cm="1">
        <f t="array" ref="AC62">IF(INDEX($I$3:$L$22,MATCH($P62,$G$3:$G$22,0),$Q62)=AC$2,$S62+$O62+9,$S62+$O62)</f>
        <v>42716021</v>
      </c>
      <c r="AD62" s="1" cm="1">
        <f t="array" ref="AD62">IF(INDEX($I$3:$L$22,MATCH($P62,$G$3:$G$22,0),$Q62)=AD$2,$S62+$O62+9,$S62+$O62)</f>
        <v>42716021</v>
      </c>
      <c r="AE62" s="1" cm="1">
        <f t="array" ref="AE62">IF(INDEX($I$3:$L$22,MATCH($P62,$G$3:$G$22,0),$Q62)=AE$2,$S62+$O62+9,$S62+$O62)</f>
        <v>42716021</v>
      </c>
      <c r="AF62" s="1" cm="1">
        <f t="array" ref="AF62">IF(INDEX($I$3:$L$22,MATCH($P62,$G$3:$G$22,0),$Q62)=AF$2,$S62+$O62+9,$S62+$O62)</f>
        <v>42716021</v>
      </c>
      <c r="AG62" s="1" cm="1">
        <f t="array" ref="AG62">IF(INDEX($I$3:$L$22,MATCH($P62,$G$3:$G$22,0),$Q62)=AG$2,$S62+$O62+9,$S62+$O62)</f>
        <v>42716021</v>
      </c>
      <c r="AH62" s="1" cm="1">
        <f t="array" ref="AH62">IF(INDEX($I$3:$L$22,MATCH($P62,$G$3:$G$22,0),$Q62)=AH$2,$S62+$O62+9,$S62+$O62)</f>
        <v>42716021</v>
      </c>
      <c r="AI62" s="1" cm="1">
        <f t="array" ref="AI62">IF(INDEX($I$3:$L$22,MATCH($P62,$G$3:$G$22,0),$Q62)=AI$2,$S62+$O62+9,$S62+$O62)</f>
        <v>42716021</v>
      </c>
      <c r="AJ62" s="1" cm="1">
        <f t="array" ref="AJ62">IF(INDEX($I$3:$L$22,MATCH($P62,$G$3:$G$22,0),$Q62)=AJ$2,$S62+$O62+9,$S62+$O62)</f>
        <v>42716021</v>
      </c>
      <c r="AK62" s="1" cm="1">
        <f t="array" ref="AK62">IF(INDEX($I$3:$L$22,MATCH($P62,$G$3:$G$22,0),$Q62)=AK$2,$S62+$O62+9,$S62+$O62)</f>
        <v>42716021</v>
      </c>
      <c r="AL62" s="1" cm="1">
        <f t="array" ref="AL62">IF(INDEX($I$3:$L$22,MATCH($P62,$G$3:$G$22,0),$Q62)=AL$2,$S62+$O62+9,$S62+$O62)</f>
        <v>42716021</v>
      </c>
      <c r="AM62" s="1" cm="1">
        <f t="array" ref="AM62">IF(INDEX($I$3:$L$22,MATCH($P62,$G$3:$G$22,0),$Q62)=AM$2,$S62+$O62+9,$S62+$O62)</f>
        <v>42716021</v>
      </c>
      <c r="AN62" s="1" cm="1">
        <f t="array" ref="AN62">IF(INDEX($I$3:$L$22,MATCH($P62,$G$3:$G$22,0),$Q62)=AN$2,$S62+$O62+9,$S62+$O62)</f>
        <v>42716021</v>
      </c>
      <c r="AO62" s="1" cm="1">
        <f t="array" ref="AO62">IF(INDEX($I$3:$L$22,MATCH($P62,$G$3:$G$22,0),$Q62)=AO$2,$S62+$O62+9,$S62+$O62)</f>
        <v>42716021</v>
      </c>
      <c r="AP62" s="1" cm="1">
        <f t="array" ref="AP62">IF(INDEX($I$3:$L$22,MATCH($P62,$G$3:$G$22,0),$Q62)=AP$2,$S62+$O62+9,$S62+$O62)</f>
        <v>42716021</v>
      </c>
      <c r="AQ62" s="1" cm="1">
        <f t="array" ref="AQ62">IF(INDEX($I$3:$L$22,MATCH($P62,$G$3:$G$22,0),$Q62)=AQ$2,$S62+$O62+9,$S62+$O62)</f>
        <v>42716021</v>
      </c>
      <c r="AR62" s="1" cm="1">
        <f t="array" ref="AR62">IF(INDEX($I$3:$L$22,MATCH($P62,$G$3:$G$22,0),$Q62)=AR$2,$S62+$O62+9,$S62+$O62)</f>
        <v>42716021</v>
      </c>
      <c r="AS62" s="1" cm="1">
        <f t="array" ref="AS62">IF(INDEX($I$3:$L$22,MATCH($P62,$G$3:$G$22,0),$Q62)=AS$2,$S62+$O62+9,$S62+$O62)</f>
        <v>42716021</v>
      </c>
      <c r="AT62" s="1" cm="1">
        <f t="array" ref="AT62">IF(INDEX($I$3:$L$22,MATCH($P62,$G$3:$G$22,0),$Q62)=AT$2,$S62+$O62+9,$S62+$O62)</f>
        <v>42716021</v>
      </c>
      <c r="AU62" s="1" cm="1">
        <f t="array" ref="AU62">IF(INDEX($I$3:$L$22,MATCH($P62,$G$3:$G$22,0),$Q62)=AU$2,$S62+$O62+9,$S62+$O62)</f>
        <v>42716021</v>
      </c>
      <c r="AV62" s="1" cm="1">
        <f t="array" ref="AV62">IF(INDEX($I$3:$L$22,MATCH($P62,$G$3:$G$22,0),$Q62)=AV$2,$S62+$O62+9,$S62+$O62)</f>
        <v>42716021</v>
      </c>
      <c r="AW62" s="1" cm="1">
        <f t="array" ref="AW62">IF(INDEX($I$3:$L$22,MATCH($P62,$G$3:$G$22,0),$Q62)=AW$2,$S62+$O62+9,$S62+$O62)</f>
        <v>42716021</v>
      </c>
      <c r="AX62" s="1" cm="1">
        <f t="array" ref="AX62">IF(INDEX($I$3:$L$22,MATCH($P62,$G$3:$G$22,0),$Q62)=AX$2,$S62+$O62+9,$S62+$O62)</f>
        <v>42716021</v>
      </c>
      <c r="AY62" s="1" cm="1">
        <f t="array" ref="AY62">IF(INDEX($I$3:$L$22,MATCH($P62,$G$3:$G$22,0),$Q62)=AY$2,$S62+$O62+9,$S62+$O62)</f>
        <v>42716021</v>
      </c>
      <c r="AZ62" s="1" cm="1">
        <f t="array" ref="AZ62">IF(INDEX($I$3:$L$22,MATCH($P62,$G$3:$G$22,0),$Q62)=AZ$2,$S62+$O62+9,$S62+$O62)</f>
        <v>42716021</v>
      </c>
      <c r="BA62" s="1" cm="1">
        <f t="array" ref="BA62">IF(INDEX($I$3:$L$22,MATCH($P62,$G$3:$G$22,0),$Q62)=BA$2,$S62+$O62+9,$S62+$O62)</f>
        <v>42716021</v>
      </c>
      <c r="BB62" s="1" cm="1">
        <f t="array" ref="BB62">IF(INDEX($I$3:$L$22,MATCH($P62,$G$3:$G$22,0),$Q62)=BB$2,$S62+$O62+9,$S62+$O62)</f>
        <v>42716021</v>
      </c>
      <c r="BC62" s="1" cm="1">
        <f t="array" ref="BC62">IF(INDEX($I$3:$L$22,MATCH($P62,$G$3:$G$22,0),$Q62)=BC$2,$S62+$O62+9,$S62+$O62)</f>
        <v>42716021</v>
      </c>
      <c r="BD62" s="1" cm="1">
        <f t="array" ref="BD62">IF(INDEX($I$3:$L$22,MATCH($P62,$G$3:$G$22,0),$Q62)=BD$2,$S62+$O62+9,$S62+$O62)</f>
        <v>42716021</v>
      </c>
      <c r="BE62" s="1" cm="1">
        <f t="array" ref="BE62">IF(INDEX($I$3:$L$22,MATCH($P62,$G$3:$G$22,0),$Q62)=BE$2,$S62+$O62+9,$S62+$O62)</f>
        <v>42716021</v>
      </c>
      <c r="BF62" s="1" cm="1">
        <f t="array" ref="BF62">IF(INDEX($I$3:$L$22,MATCH($P62,$G$3:$G$22,0),$Q62)=BF$2,$S62+$O62+9,$S62+$O62)</f>
        <v>42716021</v>
      </c>
      <c r="BG62" s="1" cm="1">
        <f t="array" ref="BG62">IF(INDEX($I$3:$L$22,MATCH($P62,$G$3:$G$22,0),$Q62)=BG$2,$S62+$O62+9,$S62+$O62)</f>
        <v>42716021</v>
      </c>
      <c r="BH62" s="1" cm="1">
        <f t="array" ref="BH62">IF(INDEX($I$3:$L$22,MATCH($P62,$G$3:$G$22,0),$Q62)=BH$2,$S62+$O62+9,$S62+$O62)</f>
        <v>42716021</v>
      </c>
      <c r="BI62" s="1" cm="1">
        <f t="array" ref="BI62">IF(INDEX($I$3:$L$22,MATCH($P62,$G$3:$G$22,0),$Q62)=BI$2,$S62+$O62+9,$S62+$O62)</f>
        <v>42716021</v>
      </c>
      <c r="BJ62" s="1" cm="1">
        <f t="array" ref="BJ62">IF(INDEX($I$3:$L$22,MATCH($P62,$G$3:$G$22,0),$Q62)=BJ$2,$S62+$O62+9,$S62+$O62)</f>
        <v>42716021</v>
      </c>
      <c r="BK62" s="1" cm="1">
        <f t="array" ref="BK62">IF(INDEX($I$3:$L$22,MATCH($P62,$G$3:$G$22,0),$Q62)=BK$2,$S62+$O62+9,$S62+$O62)</f>
        <v>42716021</v>
      </c>
      <c r="BL62" s="1" cm="1">
        <f t="array" ref="BL62">IF(INDEX($I$3:$L$22,MATCH($P62,$G$3:$G$22,0),$Q62)=BL$2,$S62+$O62+9,$S62+$O62)</f>
        <v>42716021</v>
      </c>
      <c r="BM62" s="1" cm="1">
        <f t="array" ref="BM62">IF(INDEX($I$3:$L$22,MATCH($P62,$G$3:$G$22,0),$Q62)=BM$2,$S62+$O62+9,$S62+$O62)</f>
        <v>42716021</v>
      </c>
      <c r="BN62" s="1" cm="1">
        <f t="array" ref="BN62">IF(INDEX($I$3:$L$22,MATCH($P62,$G$3:$G$22,0),$Q62)=BN$2,$S62+$O62+9,$S62+$O62)</f>
        <v>42716021</v>
      </c>
      <c r="BO62" s="1" cm="1">
        <f t="array" ref="BO62">IF(INDEX($I$3:$L$22,MATCH($P62,$G$3:$G$22,0),$Q62)=BO$2,$S62+$O62+9,$S62+$O62)</f>
        <v>42716021</v>
      </c>
      <c r="BP62" s="1" cm="1">
        <f t="array" ref="BP62">IF(INDEX($I$3:$L$22,MATCH($P62,$G$3:$G$22,0),$Q62)=BP$2,$S62+$O62+9,$S62+$O62)</f>
        <v>42716030</v>
      </c>
      <c r="BQ62" s="1" cm="1">
        <f t="array" ref="BQ62">IF(INDEX($I$3:$L$22,MATCH($P62,$G$3:$G$22,0),$Q62)=BQ$2,$S62+$O62+9,$S62+$O62)</f>
        <v>42716021</v>
      </c>
      <c r="BR62" s="1" cm="1">
        <f t="array" ref="BR62">IF(INDEX($I$3:$L$22,MATCH($P62,$G$3:$G$22,0),$Q62)=BR$2,$S62+$O62+9,$S62+$O62)</f>
        <v>42716021</v>
      </c>
      <c r="BS62" s="1" cm="1">
        <f t="array" ref="BS62">IF(INDEX($I$3:$L$22,MATCH($P62,$G$3:$G$22,0),$Q62)=BS$2,$S62+$O62+9,$S62+$O62)</f>
        <v>42716021</v>
      </c>
      <c r="BT62" s="1" cm="1">
        <f t="array" ref="BT62">IF(INDEX($I$3:$L$22,MATCH($P62,$G$3:$G$22,0),$Q62)=BT$2,$S62+$O62+9,$S62+$O62)</f>
        <v>42716021</v>
      </c>
    </row>
    <row r="63" spans="14:72" x14ac:dyDescent="0.15">
      <c r="N63" s="1">
        <v>50002</v>
      </c>
      <c r="O63" s="1">
        <f t="shared" si="9"/>
        <v>31</v>
      </c>
      <c r="P63" s="1">
        <f t="shared" si="10"/>
        <v>400</v>
      </c>
      <c r="Q63" s="1">
        <f t="shared" si="11"/>
        <v>1</v>
      </c>
      <c r="R63" s="1" t="s">
        <v>18</v>
      </c>
      <c r="S63" s="1">
        <v>42711000</v>
      </c>
      <c r="T63" s="1" t="str">
        <f t="shared" si="8"/>
        <v>42711031,42711031,42711031,42711031,42711031,42711031,42711031,42711031,42711031,42711031,42711031,42711031,42711031,42711031,42711031,42711031,42711040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</v>
      </c>
      <c r="W63" s="1" cm="1">
        <f t="array" ref="W63">IF(INDEX($I$3:$L$22,MATCH($P63,$G$3:$G$22,0),$Q63)=W$2,$S63+$O63+9,$S63+$O63)</f>
        <v>42711031</v>
      </c>
      <c r="X63" s="1" cm="1">
        <f t="array" ref="X63">IF(INDEX($I$3:$L$22,MATCH($P63,$G$3:$G$22,0),$Q63)=X$2,$S63+$O63+9,$S63+$O63)</f>
        <v>42711031</v>
      </c>
      <c r="Y63" s="1" cm="1">
        <f t="array" ref="Y63">IF(INDEX($I$3:$L$22,MATCH($P63,$G$3:$G$22,0),$Q63)=Y$2,$S63+$O63+9,$S63+$O63)</f>
        <v>42711031</v>
      </c>
      <c r="Z63" s="1" cm="1">
        <f t="array" ref="Z63">IF(INDEX($I$3:$L$22,MATCH($P63,$G$3:$G$22,0),$Q63)=Z$2,$S63+$O63+9,$S63+$O63)</f>
        <v>42711031</v>
      </c>
      <c r="AA63" s="1" cm="1">
        <f t="array" ref="AA63">IF(INDEX($I$3:$L$22,MATCH($P63,$G$3:$G$22,0),$Q63)=AA$2,$S63+$O63+9,$S63+$O63)</f>
        <v>42711031</v>
      </c>
      <c r="AB63" s="1" cm="1">
        <f t="array" ref="AB63">IF(INDEX($I$3:$L$22,MATCH($P63,$G$3:$G$22,0),$Q63)=AB$2,$S63+$O63+9,$S63+$O63)</f>
        <v>42711031</v>
      </c>
      <c r="AC63" s="1" cm="1">
        <f t="array" ref="AC63">IF(INDEX($I$3:$L$22,MATCH($P63,$G$3:$G$22,0),$Q63)=AC$2,$S63+$O63+9,$S63+$O63)</f>
        <v>42711031</v>
      </c>
      <c r="AD63" s="1" cm="1">
        <f t="array" ref="AD63">IF(INDEX($I$3:$L$22,MATCH($P63,$G$3:$G$22,0),$Q63)=AD$2,$S63+$O63+9,$S63+$O63)</f>
        <v>42711031</v>
      </c>
      <c r="AE63" s="1" cm="1">
        <f t="array" ref="AE63">IF(INDEX($I$3:$L$22,MATCH($P63,$G$3:$G$22,0),$Q63)=AE$2,$S63+$O63+9,$S63+$O63)</f>
        <v>42711031</v>
      </c>
      <c r="AF63" s="1" cm="1">
        <f t="array" ref="AF63">IF(INDEX($I$3:$L$22,MATCH($P63,$G$3:$G$22,0),$Q63)=AF$2,$S63+$O63+9,$S63+$O63)</f>
        <v>42711031</v>
      </c>
      <c r="AG63" s="1" cm="1">
        <f t="array" ref="AG63">IF(INDEX($I$3:$L$22,MATCH($P63,$G$3:$G$22,0),$Q63)=AG$2,$S63+$O63+9,$S63+$O63)</f>
        <v>42711031</v>
      </c>
      <c r="AH63" s="1" cm="1">
        <f t="array" ref="AH63">IF(INDEX($I$3:$L$22,MATCH($P63,$G$3:$G$22,0),$Q63)=AH$2,$S63+$O63+9,$S63+$O63)</f>
        <v>42711031</v>
      </c>
      <c r="AI63" s="1" cm="1">
        <f t="array" ref="AI63">IF(INDEX($I$3:$L$22,MATCH($P63,$G$3:$G$22,0),$Q63)=AI$2,$S63+$O63+9,$S63+$O63)</f>
        <v>42711031</v>
      </c>
      <c r="AJ63" s="1" cm="1">
        <f t="array" ref="AJ63">IF(INDEX($I$3:$L$22,MATCH($P63,$G$3:$G$22,0),$Q63)=AJ$2,$S63+$O63+9,$S63+$O63)</f>
        <v>42711031</v>
      </c>
      <c r="AK63" s="1" cm="1">
        <f t="array" ref="AK63">IF(INDEX($I$3:$L$22,MATCH($P63,$G$3:$G$22,0),$Q63)=AK$2,$S63+$O63+9,$S63+$O63)</f>
        <v>42711031</v>
      </c>
      <c r="AL63" s="1" cm="1">
        <f t="array" ref="AL63">IF(INDEX($I$3:$L$22,MATCH($P63,$G$3:$G$22,0),$Q63)=AL$2,$S63+$O63+9,$S63+$O63)</f>
        <v>42711031</v>
      </c>
      <c r="AM63" s="1" cm="1">
        <f t="array" ref="AM63">IF(INDEX($I$3:$L$22,MATCH($P63,$G$3:$G$22,0),$Q63)=AM$2,$S63+$O63+9,$S63+$O63)</f>
        <v>42711040</v>
      </c>
      <c r="AN63" s="1" cm="1">
        <f t="array" ref="AN63">IF(INDEX($I$3:$L$22,MATCH($P63,$G$3:$G$22,0),$Q63)=AN$2,$S63+$O63+9,$S63+$O63)</f>
        <v>42711031</v>
      </c>
      <c r="AO63" s="1" cm="1">
        <f t="array" ref="AO63">IF(INDEX($I$3:$L$22,MATCH($P63,$G$3:$G$22,0),$Q63)=AO$2,$S63+$O63+9,$S63+$O63)</f>
        <v>42711031</v>
      </c>
      <c r="AP63" s="1" cm="1">
        <f t="array" ref="AP63">IF(INDEX($I$3:$L$22,MATCH($P63,$G$3:$G$22,0),$Q63)=AP$2,$S63+$O63+9,$S63+$O63)</f>
        <v>42711031</v>
      </c>
      <c r="AQ63" s="1" cm="1">
        <f t="array" ref="AQ63">IF(INDEX($I$3:$L$22,MATCH($P63,$G$3:$G$22,0),$Q63)=AQ$2,$S63+$O63+9,$S63+$O63)</f>
        <v>42711031</v>
      </c>
      <c r="AR63" s="1" cm="1">
        <f t="array" ref="AR63">IF(INDEX($I$3:$L$22,MATCH($P63,$G$3:$G$22,0),$Q63)=AR$2,$S63+$O63+9,$S63+$O63)</f>
        <v>42711031</v>
      </c>
      <c r="AS63" s="1" cm="1">
        <f t="array" ref="AS63">IF(INDEX($I$3:$L$22,MATCH($P63,$G$3:$G$22,0),$Q63)=AS$2,$S63+$O63+9,$S63+$O63)</f>
        <v>42711031</v>
      </c>
      <c r="AT63" s="1" cm="1">
        <f t="array" ref="AT63">IF(INDEX($I$3:$L$22,MATCH($P63,$G$3:$G$22,0),$Q63)=AT$2,$S63+$O63+9,$S63+$O63)</f>
        <v>42711031</v>
      </c>
      <c r="AU63" s="1" cm="1">
        <f t="array" ref="AU63">IF(INDEX($I$3:$L$22,MATCH($P63,$G$3:$G$22,0),$Q63)=AU$2,$S63+$O63+9,$S63+$O63)</f>
        <v>42711031</v>
      </c>
      <c r="AV63" s="1" cm="1">
        <f t="array" ref="AV63">IF(INDEX($I$3:$L$22,MATCH($P63,$G$3:$G$22,0),$Q63)=AV$2,$S63+$O63+9,$S63+$O63)</f>
        <v>42711031</v>
      </c>
      <c r="AW63" s="1" cm="1">
        <f t="array" ref="AW63">IF(INDEX($I$3:$L$22,MATCH($P63,$G$3:$G$22,0),$Q63)=AW$2,$S63+$O63+9,$S63+$O63)</f>
        <v>42711031</v>
      </c>
      <c r="AX63" s="1" cm="1">
        <f t="array" ref="AX63">IF(INDEX($I$3:$L$22,MATCH($P63,$G$3:$G$22,0),$Q63)=AX$2,$S63+$O63+9,$S63+$O63)</f>
        <v>42711031</v>
      </c>
      <c r="AY63" s="1" cm="1">
        <f t="array" ref="AY63">IF(INDEX($I$3:$L$22,MATCH($P63,$G$3:$G$22,0),$Q63)=AY$2,$S63+$O63+9,$S63+$O63)</f>
        <v>42711031</v>
      </c>
      <c r="AZ63" s="1" cm="1">
        <f t="array" ref="AZ63">IF(INDEX($I$3:$L$22,MATCH($P63,$G$3:$G$22,0),$Q63)=AZ$2,$S63+$O63+9,$S63+$O63)</f>
        <v>42711031</v>
      </c>
      <c r="BA63" s="1" cm="1">
        <f t="array" ref="BA63">IF(INDEX($I$3:$L$22,MATCH($P63,$G$3:$G$22,0),$Q63)=BA$2,$S63+$O63+9,$S63+$O63)</f>
        <v>42711031</v>
      </c>
      <c r="BB63" s="1" cm="1">
        <f t="array" ref="BB63">IF(INDEX($I$3:$L$22,MATCH($P63,$G$3:$G$22,0),$Q63)=BB$2,$S63+$O63+9,$S63+$O63)</f>
        <v>42711031</v>
      </c>
      <c r="BC63" s="1" cm="1">
        <f t="array" ref="BC63">IF(INDEX($I$3:$L$22,MATCH($P63,$G$3:$G$22,0),$Q63)=BC$2,$S63+$O63+9,$S63+$O63)</f>
        <v>42711031</v>
      </c>
      <c r="BD63" s="1" cm="1">
        <f t="array" ref="BD63">IF(INDEX($I$3:$L$22,MATCH($P63,$G$3:$G$22,0),$Q63)=BD$2,$S63+$O63+9,$S63+$O63)</f>
        <v>42711031</v>
      </c>
      <c r="BE63" s="1" cm="1">
        <f t="array" ref="BE63">IF(INDEX($I$3:$L$22,MATCH($P63,$G$3:$G$22,0),$Q63)=BE$2,$S63+$O63+9,$S63+$O63)</f>
        <v>42711031</v>
      </c>
      <c r="BF63" s="1" cm="1">
        <f t="array" ref="BF63">IF(INDEX($I$3:$L$22,MATCH($P63,$G$3:$G$22,0),$Q63)=BF$2,$S63+$O63+9,$S63+$O63)</f>
        <v>42711031</v>
      </c>
      <c r="BG63" s="1" cm="1">
        <f t="array" ref="BG63">IF(INDEX($I$3:$L$22,MATCH($P63,$G$3:$G$22,0),$Q63)=BG$2,$S63+$O63+9,$S63+$O63)</f>
        <v>42711031</v>
      </c>
      <c r="BH63" s="1" cm="1">
        <f t="array" ref="BH63">IF(INDEX($I$3:$L$22,MATCH($P63,$G$3:$G$22,0),$Q63)=BH$2,$S63+$O63+9,$S63+$O63)</f>
        <v>42711031</v>
      </c>
      <c r="BI63" s="1" cm="1">
        <f t="array" ref="BI63">IF(INDEX($I$3:$L$22,MATCH($P63,$G$3:$G$22,0),$Q63)=BI$2,$S63+$O63+9,$S63+$O63)</f>
        <v>42711031</v>
      </c>
      <c r="BJ63" s="1" cm="1">
        <f t="array" ref="BJ63">IF(INDEX($I$3:$L$22,MATCH($P63,$G$3:$G$22,0),$Q63)=BJ$2,$S63+$O63+9,$S63+$O63)</f>
        <v>42711031</v>
      </c>
      <c r="BK63" s="1" cm="1">
        <f t="array" ref="BK63">IF(INDEX($I$3:$L$22,MATCH($P63,$G$3:$G$22,0),$Q63)=BK$2,$S63+$O63+9,$S63+$O63)</f>
        <v>42711031</v>
      </c>
      <c r="BL63" s="1" cm="1">
        <f t="array" ref="BL63">IF(INDEX($I$3:$L$22,MATCH($P63,$G$3:$G$22,0),$Q63)=BL$2,$S63+$O63+9,$S63+$O63)</f>
        <v>42711031</v>
      </c>
      <c r="BM63" s="1" cm="1">
        <f t="array" ref="BM63">IF(INDEX($I$3:$L$22,MATCH($P63,$G$3:$G$22,0),$Q63)=BM$2,$S63+$O63+9,$S63+$O63)</f>
        <v>42711031</v>
      </c>
      <c r="BN63" s="1" cm="1">
        <f t="array" ref="BN63">IF(INDEX($I$3:$L$22,MATCH($P63,$G$3:$G$22,0),$Q63)=BN$2,$S63+$O63+9,$S63+$O63)</f>
        <v>42711031</v>
      </c>
      <c r="BO63" s="1" cm="1">
        <f t="array" ref="BO63">IF(INDEX($I$3:$L$22,MATCH($P63,$G$3:$G$22,0),$Q63)=BO$2,$S63+$O63+9,$S63+$O63)</f>
        <v>42711031</v>
      </c>
      <c r="BP63" s="1" cm="1">
        <f t="array" ref="BP63">IF(INDEX($I$3:$L$22,MATCH($P63,$G$3:$G$22,0),$Q63)=BP$2,$S63+$O63+9,$S63+$O63)</f>
        <v>42711031</v>
      </c>
      <c r="BQ63" s="1" cm="1">
        <f t="array" ref="BQ63">IF(INDEX($I$3:$L$22,MATCH($P63,$G$3:$G$22,0),$Q63)=BQ$2,$S63+$O63+9,$S63+$O63)</f>
        <v>42711031</v>
      </c>
      <c r="BR63" s="1" cm="1">
        <f t="array" ref="BR63">IF(INDEX($I$3:$L$22,MATCH($P63,$G$3:$G$22,0),$Q63)=BR$2,$S63+$O63+9,$S63+$O63)</f>
        <v>42711031</v>
      </c>
      <c r="BS63" s="1" cm="1">
        <f t="array" ref="BS63">IF(INDEX($I$3:$L$22,MATCH($P63,$G$3:$G$22,0),$Q63)=BS$2,$S63+$O63+9,$S63+$O63)</f>
        <v>42711031</v>
      </c>
      <c r="BT63" s="1" cm="1">
        <f t="array" ref="BT63">IF(INDEX($I$3:$L$22,MATCH($P63,$G$3:$G$22,0),$Q63)=BT$2,$S63+$O63+9,$S63+$O63)</f>
        <v>42711031</v>
      </c>
    </row>
    <row r="64" spans="14:72" x14ac:dyDescent="0.15">
      <c r="N64" s="1">
        <v>50002</v>
      </c>
      <c r="O64" s="1">
        <f t="shared" si="9"/>
        <v>31</v>
      </c>
      <c r="P64" s="1">
        <f t="shared" si="10"/>
        <v>400</v>
      </c>
      <c r="Q64" s="1">
        <f t="shared" si="11"/>
        <v>2</v>
      </c>
      <c r="R64" s="1" t="s">
        <v>17</v>
      </c>
      <c r="S64" s="1">
        <v>42612000</v>
      </c>
      <c r="T64" s="1" t="str">
        <f t="shared" si="8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</v>
      </c>
      <c r="W64" s="1" cm="1">
        <f t="array" ref="W64">IF(INDEX($I$3:$L$22,MATCH($P64,$G$3:$G$22,0),$Q64)=W$2,$S64+$O64+9,$S64+$O64)</f>
        <v>42612031</v>
      </c>
      <c r="X64" s="1" cm="1">
        <f t="array" ref="X64">IF(INDEX($I$3:$L$22,MATCH($P64,$G$3:$G$22,0),$Q64)=X$2,$S64+$O64+9,$S64+$O64)</f>
        <v>42612031</v>
      </c>
      <c r="Y64" s="1" cm="1">
        <f t="array" ref="Y64">IF(INDEX($I$3:$L$22,MATCH($P64,$G$3:$G$22,0),$Q64)=Y$2,$S64+$O64+9,$S64+$O64)</f>
        <v>42612031</v>
      </c>
      <c r="Z64" s="1" cm="1">
        <f t="array" ref="Z64">IF(INDEX($I$3:$L$22,MATCH($P64,$G$3:$G$22,0),$Q64)=Z$2,$S64+$O64+9,$S64+$O64)</f>
        <v>42612031</v>
      </c>
      <c r="AA64" s="1" cm="1">
        <f t="array" ref="AA64">IF(INDEX($I$3:$L$22,MATCH($P64,$G$3:$G$22,0),$Q64)=AA$2,$S64+$O64+9,$S64+$O64)</f>
        <v>42612031</v>
      </c>
      <c r="AB64" s="1" cm="1">
        <f t="array" ref="AB64">IF(INDEX($I$3:$L$22,MATCH($P64,$G$3:$G$22,0),$Q64)=AB$2,$S64+$O64+9,$S64+$O64)</f>
        <v>42612031</v>
      </c>
      <c r="AC64" s="1" cm="1">
        <f t="array" ref="AC64">IF(INDEX($I$3:$L$22,MATCH($P64,$G$3:$G$22,0),$Q64)=AC$2,$S64+$O64+9,$S64+$O64)</f>
        <v>42612031</v>
      </c>
      <c r="AD64" s="1" cm="1">
        <f t="array" ref="AD64">IF(INDEX($I$3:$L$22,MATCH($P64,$G$3:$G$22,0),$Q64)=AD$2,$S64+$O64+9,$S64+$O64)</f>
        <v>42612031</v>
      </c>
      <c r="AE64" s="1" cm="1">
        <f t="array" ref="AE64">IF(INDEX($I$3:$L$22,MATCH($P64,$G$3:$G$22,0),$Q64)=AE$2,$S64+$O64+9,$S64+$O64)</f>
        <v>42612031</v>
      </c>
      <c r="AF64" s="1" cm="1">
        <f t="array" ref="AF64">IF(INDEX($I$3:$L$22,MATCH($P64,$G$3:$G$22,0),$Q64)=AF$2,$S64+$O64+9,$S64+$O64)</f>
        <v>42612031</v>
      </c>
      <c r="AG64" s="1" cm="1">
        <f t="array" ref="AG64">IF(INDEX($I$3:$L$22,MATCH($P64,$G$3:$G$22,0),$Q64)=AG$2,$S64+$O64+9,$S64+$O64)</f>
        <v>42612031</v>
      </c>
      <c r="AH64" s="1" cm="1">
        <f t="array" ref="AH64">IF(INDEX($I$3:$L$22,MATCH($P64,$G$3:$G$22,0),$Q64)=AH$2,$S64+$O64+9,$S64+$O64)</f>
        <v>42612031</v>
      </c>
      <c r="AI64" s="1" cm="1">
        <f t="array" ref="AI64">IF(INDEX($I$3:$L$22,MATCH($P64,$G$3:$G$22,0),$Q64)=AI$2,$S64+$O64+9,$S64+$O64)</f>
        <v>42612031</v>
      </c>
      <c r="AJ64" s="1" cm="1">
        <f t="array" ref="AJ64">IF(INDEX($I$3:$L$22,MATCH($P64,$G$3:$G$22,0),$Q64)=AJ$2,$S64+$O64+9,$S64+$O64)</f>
        <v>42612031</v>
      </c>
      <c r="AK64" s="1" cm="1">
        <f t="array" ref="AK64">IF(INDEX($I$3:$L$22,MATCH($P64,$G$3:$G$22,0),$Q64)=AK$2,$S64+$O64+9,$S64+$O64)</f>
        <v>42612031</v>
      </c>
      <c r="AL64" s="1" cm="1">
        <f t="array" ref="AL64">IF(INDEX($I$3:$L$22,MATCH($P64,$G$3:$G$22,0),$Q64)=AL$2,$S64+$O64+9,$S64+$O64)</f>
        <v>42612031</v>
      </c>
      <c r="AM64" s="1" cm="1">
        <f t="array" ref="AM64">IF(INDEX($I$3:$L$22,MATCH($P64,$G$3:$G$22,0),$Q64)=AM$2,$S64+$O64+9,$S64+$O64)</f>
        <v>42612031</v>
      </c>
      <c r="AN64" s="1" cm="1">
        <f t="array" ref="AN64">IF(INDEX($I$3:$L$22,MATCH($P64,$G$3:$G$22,0),$Q64)=AN$2,$S64+$O64+9,$S64+$O64)</f>
        <v>42612031</v>
      </c>
      <c r="AO64" s="1" cm="1">
        <f t="array" ref="AO64">IF(INDEX($I$3:$L$22,MATCH($P64,$G$3:$G$22,0),$Q64)=AO$2,$S64+$O64+9,$S64+$O64)</f>
        <v>42612031</v>
      </c>
      <c r="AP64" s="1" cm="1">
        <f t="array" ref="AP64">IF(INDEX($I$3:$L$22,MATCH($P64,$G$3:$G$22,0),$Q64)=AP$2,$S64+$O64+9,$S64+$O64)</f>
        <v>42612031</v>
      </c>
      <c r="AQ64" s="1" cm="1">
        <f t="array" ref="AQ64">IF(INDEX($I$3:$L$22,MATCH($P64,$G$3:$G$22,0),$Q64)=AQ$2,$S64+$O64+9,$S64+$O64)</f>
        <v>42612031</v>
      </c>
      <c r="AR64" s="1" cm="1">
        <f t="array" ref="AR64">IF(INDEX($I$3:$L$22,MATCH($P64,$G$3:$G$22,0),$Q64)=AR$2,$S64+$O64+9,$S64+$O64)</f>
        <v>42612031</v>
      </c>
      <c r="AS64" s="1" cm="1">
        <f t="array" ref="AS64">IF(INDEX($I$3:$L$22,MATCH($P64,$G$3:$G$22,0),$Q64)=AS$2,$S64+$O64+9,$S64+$O64)</f>
        <v>42612031</v>
      </c>
      <c r="AT64" s="1" cm="1">
        <f t="array" ref="AT64">IF(INDEX($I$3:$L$22,MATCH($P64,$G$3:$G$22,0),$Q64)=AT$2,$S64+$O64+9,$S64+$O64)</f>
        <v>42612031</v>
      </c>
      <c r="AU64" s="1" cm="1">
        <f t="array" ref="AU64">IF(INDEX($I$3:$L$22,MATCH($P64,$G$3:$G$22,0),$Q64)=AU$2,$S64+$O64+9,$S64+$O64)</f>
        <v>42612031</v>
      </c>
      <c r="AV64" s="1" cm="1">
        <f t="array" ref="AV64">IF(INDEX($I$3:$L$22,MATCH($P64,$G$3:$G$22,0),$Q64)=AV$2,$S64+$O64+9,$S64+$O64)</f>
        <v>42612031</v>
      </c>
      <c r="AW64" s="1" cm="1">
        <f t="array" ref="AW64">IF(INDEX($I$3:$L$22,MATCH($P64,$G$3:$G$22,0),$Q64)=AW$2,$S64+$O64+9,$S64+$O64)</f>
        <v>42612031</v>
      </c>
      <c r="AX64" s="1" cm="1">
        <f t="array" ref="AX64">IF(INDEX($I$3:$L$22,MATCH($P64,$G$3:$G$22,0),$Q64)=AX$2,$S64+$O64+9,$S64+$O64)</f>
        <v>42612031</v>
      </c>
      <c r="AY64" s="1" cm="1">
        <f t="array" ref="AY64">IF(INDEX($I$3:$L$22,MATCH($P64,$G$3:$G$22,0),$Q64)=AY$2,$S64+$O64+9,$S64+$O64)</f>
        <v>42612031</v>
      </c>
      <c r="AZ64" s="1" cm="1">
        <f t="array" ref="AZ64">IF(INDEX($I$3:$L$22,MATCH($P64,$G$3:$G$22,0),$Q64)=AZ$2,$S64+$O64+9,$S64+$O64)</f>
        <v>42612031</v>
      </c>
      <c r="BA64" s="1" cm="1">
        <f t="array" ref="BA64">IF(INDEX($I$3:$L$22,MATCH($P64,$G$3:$G$22,0),$Q64)=BA$2,$S64+$O64+9,$S64+$O64)</f>
        <v>42612031</v>
      </c>
      <c r="BB64" s="1" cm="1">
        <f t="array" ref="BB64">IF(INDEX($I$3:$L$22,MATCH($P64,$G$3:$G$22,0),$Q64)=BB$2,$S64+$O64+9,$S64+$O64)</f>
        <v>42612031</v>
      </c>
      <c r="BC64" s="1" cm="1">
        <f t="array" ref="BC64">IF(INDEX($I$3:$L$22,MATCH($P64,$G$3:$G$22,0),$Q64)=BC$2,$S64+$O64+9,$S64+$O64)</f>
        <v>42612031</v>
      </c>
      <c r="BD64" s="1" cm="1">
        <f t="array" ref="BD64">IF(INDEX($I$3:$L$22,MATCH($P64,$G$3:$G$22,0),$Q64)=BD$2,$S64+$O64+9,$S64+$O64)</f>
        <v>42612031</v>
      </c>
      <c r="BE64" s="1" cm="1">
        <f t="array" ref="BE64">IF(INDEX($I$3:$L$22,MATCH($P64,$G$3:$G$22,0),$Q64)=BE$2,$S64+$O64+9,$S64+$O64)</f>
        <v>42612031</v>
      </c>
      <c r="BF64" s="1" cm="1">
        <f t="array" ref="BF64">IF(INDEX($I$3:$L$22,MATCH($P64,$G$3:$G$22,0),$Q64)=BF$2,$S64+$O64+9,$S64+$O64)</f>
        <v>42612031</v>
      </c>
      <c r="BG64" s="1" cm="1">
        <f t="array" ref="BG64">IF(INDEX($I$3:$L$22,MATCH($P64,$G$3:$G$22,0),$Q64)=BG$2,$S64+$O64+9,$S64+$O64)</f>
        <v>42612040</v>
      </c>
      <c r="BH64" s="1" cm="1">
        <f t="array" ref="BH64">IF(INDEX($I$3:$L$22,MATCH($P64,$G$3:$G$22,0),$Q64)=BH$2,$S64+$O64+9,$S64+$O64)</f>
        <v>42612031</v>
      </c>
      <c r="BI64" s="1" cm="1">
        <f t="array" ref="BI64">IF(INDEX($I$3:$L$22,MATCH($P64,$G$3:$G$22,0),$Q64)=BI$2,$S64+$O64+9,$S64+$O64)</f>
        <v>42612031</v>
      </c>
      <c r="BJ64" s="1" cm="1">
        <f t="array" ref="BJ64">IF(INDEX($I$3:$L$22,MATCH($P64,$G$3:$G$22,0),$Q64)=BJ$2,$S64+$O64+9,$S64+$O64)</f>
        <v>42612031</v>
      </c>
      <c r="BK64" s="1" cm="1">
        <f t="array" ref="BK64">IF(INDEX($I$3:$L$22,MATCH($P64,$G$3:$G$22,0),$Q64)=BK$2,$S64+$O64+9,$S64+$O64)</f>
        <v>42612031</v>
      </c>
      <c r="BL64" s="1" cm="1">
        <f t="array" ref="BL64">IF(INDEX($I$3:$L$22,MATCH($P64,$G$3:$G$22,0),$Q64)=BL$2,$S64+$O64+9,$S64+$O64)</f>
        <v>42612031</v>
      </c>
      <c r="BM64" s="1" cm="1">
        <f t="array" ref="BM64">IF(INDEX($I$3:$L$22,MATCH($P64,$G$3:$G$22,0),$Q64)=BM$2,$S64+$O64+9,$S64+$O64)</f>
        <v>42612031</v>
      </c>
      <c r="BN64" s="1" cm="1">
        <f t="array" ref="BN64">IF(INDEX($I$3:$L$22,MATCH($P64,$G$3:$G$22,0),$Q64)=BN$2,$S64+$O64+9,$S64+$O64)</f>
        <v>42612031</v>
      </c>
      <c r="BO64" s="1" cm="1">
        <f t="array" ref="BO64">IF(INDEX($I$3:$L$22,MATCH($P64,$G$3:$G$22,0),$Q64)=BO$2,$S64+$O64+9,$S64+$O64)</f>
        <v>42612031</v>
      </c>
      <c r="BP64" s="1" cm="1">
        <f t="array" ref="BP64">IF(INDEX($I$3:$L$22,MATCH($P64,$G$3:$G$22,0),$Q64)=BP$2,$S64+$O64+9,$S64+$O64)</f>
        <v>42612031</v>
      </c>
      <c r="BQ64" s="1" cm="1">
        <f t="array" ref="BQ64">IF(INDEX($I$3:$L$22,MATCH($P64,$G$3:$G$22,0),$Q64)=BQ$2,$S64+$O64+9,$S64+$O64)</f>
        <v>42612031</v>
      </c>
      <c r="BR64" s="1" cm="1">
        <f t="array" ref="BR64">IF(INDEX($I$3:$L$22,MATCH($P64,$G$3:$G$22,0),$Q64)=BR$2,$S64+$O64+9,$S64+$O64)</f>
        <v>42612031</v>
      </c>
      <c r="BS64" s="1" cm="1">
        <f t="array" ref="BS64">IF(INDEX($I$3:$L$22,MATCH($P64,$G$3:$G$22,0),$Q64)=BS$2,$S64+$O64+9,$S64+$O64)</f>
        <v>42612031</v>
      </c>
      <c r="BT64" s="1" cm="1">
        <f t="array" ref="BT64">IF(INDEX($I$3:$L$22,MATCH($P64,$G$3:$G$22,0),$Q64)=BT$2,$S64+$O64+9,$S64+$O64)</f>
        <v>42612031</v>
      </c>
    </row>
    <row r="65" spans="14:72" x14ac:dyDescent="0.15">
      <c r="N65" s="1">
        <v>50002</v>
      </c>
      <c r="O65" s="1">
        <f t="shared" si="9"/>
        <v>31</v>
      </c>
      <c r="P65" s="1">
        <f t="shared" si="10"/>
        <v>400</v>
      </c>
      <c r="Q65" s="1">
        <f t="shared" si="11"/>
        <v>3</v>
      </c>
      <c r="R65" s="1" t="s">
        <v>16</v>
      </c>
      <c r="S65" s="1">
        <v>42713000</v>
      </c>
      <c r="T65" s="1" t="str">
        <f t="shared" si="8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</v>
      </c>
      <c r="W65" s="1" cm="1">
        <f t="array" ref="W65">IF(INDEX($I$3:$L$22,MATCH($P65,$G$3:$G$22,0),$Q65)=W$2,$S65+$O65+9,$S65+$O65)</f>
        <v>42713031</v>
      </c>
      <c r="X65" s="1" cm="1">
        <f t="array" ref="X65">IF(INDEX($I$3:$L$22,MATCH($P65,$G$3:$G$22,0),$Q65)=X$2,$S65+$O65+9,$S65+$O65)</f>
        <v>42713031</v>
      </c>
      <c r="Y65" s="1" cm="1">
        <f t="array" ref="Y65">IF(INDEX($I$3:$L$22,MATCH($P65,$G$3:$G$22,0),$Q65)=Y$2,$S65+$O65+9,$S65+$O65)</f>
        <v>42713031</v>
      </c>
      <c r="Z65" s="1" cm="1">
        <f t="array" ref="Z65">IF(INDEX($I$3:$L$22,MATCH($P65,$G$3:$G$22,0),$Q65)=Z$2,$S65+$O65+9,$S65+$O65)</f>
        <v>42713031</v>
      </c>
      <c r="AA65" s="1" cm="1">
        <f t="array" ref="AA65">IF(INDEX($I$3:$L$22,MATCH($P65,$G$3:$G$22,0),$Q65)=AA$2,$S65+$O65+9,$S65+$O65)</f>
        <v>42713031</v>
      </c>
      <c r="AB65" s="1" cm="1">
        <f t="array" ref="AB65">IF(INDEX($I$3:$L$22,MATCH($P65,$G$3:$G$22,0),$Q65)=AB$2,$S65+$O65+9,$S65+$O65)</f>
        <v>42713031</v>
      </c>
      <c r="AC65" s="1" cm="1">
        <f t="array" ref="AC65">IF(INDEX($I$3:$L$22,MATCH($P65,$G$3:$G$22,0),$Q65)=AC$2,$S65+$O65+9,$S65+$O65)</f>
        <v>42713031</v>
      </c>
      <c r="AD65" s="1" cm="1">
        <f t="array" ref="AD65">IF(INDEX($I$3:$L$22,MATCH($P65,$G$3:$G$22,0),$Q65)=AD$2,$S65+$O65+9,$S65+$O65)</f>
        <v>42713031</v>
      </c>
      <c r="AE65" s="1" cm="1">
        <f t="array" ref="AE65">IF(INDEX($I$3:$L$22,MATCH($P65,$G$3:$G$22,0),$Q65)=AE$2,$S65+$O65+9,$S65+$O65)</f>
        <v>42713031</v>
      </c>
      <c r="AF65" s="1" cm="1">
        <f t="array" ref="AF65">IF(INDEX($I$3:$L$22,MATCH($P65,$G$3:$G$22,0),$Q65)=AF$2,$S65+$O65+9,$S65+$O65)</f>
        <v>42713031</v>
      </c>
      <c r="AG65" s="1" cm="1">
        <f t="array" ref="AG65">IF(INDEX($I$3:$L$22,MATCH($P65,$G$3:$G$22,0),$Q65)=AG$2,$S65+$O65+9,$S65+$O65)</f>
        <v>42713031</v>
      </c>
      <c r="AH65" s="1" cm="1">
        <f t="array" ref="AH65">IF(INDEX($I$3:$L$22,MATCH($P65,$G$3:$G$22,0),$Q65)=AH$2,$S65+$O65+9,$S65+$O65)</f>
        <v>42713031</v>
      </c>
      <c r="AI65" s="1" cm="1">
        <f t="array" ref="AI65">IF(INDEX($I$3:$L$22,MATCH($P65,$G$3:$G$22,0),$Q65)=AI$2,$S65+$O65+9,$S65+$O65)</f>
        <v>42713031</v>
      </c>
      <c r="AJ65" s="1" cm="1">
        <f t="array" ref="AJ65">IF(INDEX($I$3:$L$22,MATCH($P65,$G$3:$G$22,0),$Q65)=AJ$2,$S65+$O65+9,$S65+$O65)</f>
        <v>42713031</v>
      </c>
      <c r="AK65" s="1" cm="1">
        <f t="array" ref="AK65">IF(INDEX($I$3:$L$22,MATCH($P65,$G$3:$G$22,0),$Q65)=AK$2,$S65+$O65+9,$S65+$O65)</f>
        <v>42713031</v>
      </c>
      <c r="AL65" s="1" cm="1">
        <f t="array" ref="AL65">IF(INDEX($I$3:$L$22,MATCH($P65,$G$3:$G$22,0),$Q65)=AL$2,$S65+$O65+9,$S65+$O65)</f>
        <v>42713031</v>
      </c>
      <c r="AM65" s="1" cm="1">
        <f t="array" ref="AM65">IF(INDEX($I$3:$L$22,MATCH($P65,$G$3:$G$22,0),$Q65)=AM$2,$S65+$O65+9,$S65+$O65)</f>
        <v>42713031</v>
      </c>
      <c r="AN65" s="1" cm="1">
        <f t="array" ref="AN65">IF(INDEX($I$3:$L$22,MATCH($P65,$G$3:$G$22,0),$Q65)=AN$2,$S65+$O65+9,$S65+$O65)</f>
        <v>42713031</v>
      </c>
      <c r="AO65" s="1" cm="1">
        <f t="array" ref="AO65">IF(INDEX($I$3:$L$22,MATCH($P65,$G$3:$G$22,0),$Q65)=AO$2,$S65+$O65+9,$S65+$O65)</f>
        <v>42713031</v>
      </c>
      <c r="AP65" s="1" cm="1">
        <f t="array" ref="AP65">IF(INDEX($I$3:$L$22,MATCH($P65,$G$3:$G$22,0),$Q65)=AP$2,$S65+$O65+9,$S65+$O65)</f>
        <v>42713031</v>
      </c>
      <c r="AQ65" s="1" cm="1">
        <f t="array" ref="AQ65">IF(INDEX($I$3:$L$22,MATCH($P65,$G$3:$G$22,0),$Q65)=AQ$2,$S65+$O65+9,$S65+$O65)</f>
        <v>42713031</v>
      </c>
      <c r="AR65" s="1" cm="1">
        <f t="array" ref="AR65">IF(INDEX($I$3:$L$22,MATCH($P65,$G$3:$G$22,0),$Q65)=AR$2,$S65+$O65+9,$S65+$O65)</f>
        <v>42713031</v>
      </c>
      <c r="AS65" s="1" cm="1">
        <f t="array" ref="AS65">IF(INDEX($I$3:$L$22,MATCH($P65,$G$3:$G$22,0),$Q65)=AS$2,$S65+$O65+9,$S65+$O65)</f>
        <v>42713031</v>
      </c>
      <c r="AT65" s="1" cm="1">
        <f t="array" ref="AT65">IF(INDEX($I$3:$L$22,MATCH($P65,$G$3:$G$22,0),$Q65)=AT$2,$S65+$O65+9,$S65+$O65)</f>
        <v>42713031</v>
      </c>
      <c r="AU65" s="1" cm="1">
        <f t="array" ref="AU65">IF(INDEX($I$3:$L$22,MATCH($P65,$G$3:$G$22,0),$Q65)=AU$2,$S65+$O65+9,$S65+$O65)</f>
        <v>42713031</v>
      </c>
      <c r="AV65" s="1" cm="1">
        <f t="array" ref="AV65">IF(INDEX($I$3:$L$22,MATCH($P65,$G$3:$G$22,0),$Q65)=AV$2,$S65+$O65+9,$S65+$O65)</f>
        <v>42713031</v>
      </c>
      <c r="AW65" s="1" cm="1">
        <f t="array" ref="AW65">IF(INDEX($I$3:$L$22,MATCH($P65,$G$3:$G$22,0),$Q65)=AW$2,$S65+$O65+9,$S65+$O65)</f>
        <v>42713031</v>
      </c>
      <c r="AX65" s="1" cm="1">
        <f t="array" ref="AX65">IF(INDEX($I$3:$L$22,MATCH($P65,$G$3:$G$22,0),$Q65)=AX$2,$S65+$O65+9,$S65+$O65)</f>
        <v>42713031</v>
      </c>
      <c r="AY65" s="1" cm="1">
        <f t="array" ref="AY65">IF(INDEX($I$3:$L$22,MATCH($P65,$G$3:$G$22,0),$Q65)=AY$2,$S65+$O65+9,$S65+$O65)</f>
        <v>42713031</v>
      </c>
      <c r="AZ65" s="1" cm="1">
        <f t="array" ref="AZ65">IF(INDEX($I$3:$L$22,MATCH($P65,$G$3:$G$22,0),$Q65)=AZ$2,$S65+$O65+9,$S65+$O65)</f>
        <v>42713031</v>
      </c>
      <c r="BA65" s="1" cm="1">
        <f t="array" ref="BA65">IF(INDEX($I$3:$L$22,MATCH($P65,$G$3:$G$22,0),$Q65)=BA$2,$S65+$O65+9,$S65+$O65)</f>
        <v>42713031</v>
      </c>
      <c r="BB65" s="1" cm="1">
        <f t="array" ref="BB65">IF(INDEX($I$3:$L$22,MATCH($P65,$G$3:$G$22,0),$Q65)=BB$2,$S65+$O65+9,$S65+$O65)</f>
        <v>42713031</v>
      </c>
      <c r="BC65" s="1" cm="1">
        <f t="array" ref="BC65">IF(INDEX($I$3:$L$22,MATCH($P65,$G$3:$G$22,0),$Q65)=BC$2,$S65+$O65+9,$S65+$O65)</f>
        <v>42713031</v>
      </c>
      <c r="BD65" s="1" cm="1">
        <f t="array" ref="BD65">IF(INDEX($I$3:$L$22,MATCH($P65,$G$3:$G$22,0),$Q65)=BD$2,$S65+$O65+9,$S65+$O65)</f>
        <v>42713031</v>
      </c>
      <c r="BE65" s="1" cm="1">
        <f t="array" ref="BE65">IF(INDEX($I$3:$L$22,MATCH($P65,$G$3:$G$22,0),$Q65)=BE$2,$S65+$O65+9,$S65+$O65)</f>
        <v>42713031</v>
      </c>
      <c r="BF65" s="1" cm="1">
        <f t="array" ref="BF65">IF(INDEX($I$3:$L$22,MATCH($P65,$G$3:$G$22,0),$Q65)=BF$2,$S65+$O65+9,$S65+$O65)</f>
        <v>42713031</v>
      </c>
      <c r="BG65" s="1" cm="1">
        <f t="array" ref="BG65">IF(INDEX($I$3:$L$22,MATCH($P65,$G$3:$G$22,0),$Q65)=BG$2,$S65+$O65+9,$S65+$O65)</f>
        <v>42713031</v>
      </c>
      <c r="BH65" s="1" cm="1">
        <f t="array" ref="BH65">IF(INDEX($I$3:$L$22,MATCH($P65,$G$3:$G$22,0),$Q65)=BH$2,$S65+$O65+9,$S65+$O65)</f>
        <v>42713031</v>
      </c>
      <c r="BI65" s="1" cm="1">
        <f t="array" ref="BI65">IF(INDEX($I$3:$L$22,MATCH($P65,$G$3:$G$22,0),$Q65)=BI$2,$S65+$O65+9,$S65+$O65)</f>
        <v>42713031</v>
      </c>
      <c r="BJ65" s="1" cm="1">
        <f t="array" ref="BJ65">IF(INDEX($I$3:$L$22,MATCH($P65,$G$3:$G$22,0),$Q65)=BJ$2,$S65+$O65+9,$S65+$O65)</f>
        <v>42713031</v>
      </c>
      <c r="BK65" s="1" cm="1">
        <f t="array" ref="BK65">IF(INDEX($I$3:$L$22,MATCH($P65,$G$3:$G$22,0),$Q65)=BK$2,$S65+$O65+9,$S65+$O65)</f>
        <v>42713031</v>
      </c>
      <c r="BL65" s="1" cm="1">
        <f t="array" ref="BL65">IF(INDEX($I$3:$L$22,MATCH($P65,$G$3:$G$22,0),$Q65)=BL$2,$S65+$O65+9,$S65+$O65)</f>
        <v>42713031</v>
      </c>
      <c r="BM65" s="1" cm="1">
        <f t="array" ref="BM65">IF(INDEX($I$3:$L$22,MATCH($P65,$G$3:$G$22,0),$Q65)=BM$2,$S65+$O65+9,$S65+$O65)</f>
        <v>42713031</v>
      </c>
      <c r="BN65" s="1" cm="1">
        <f t="array" ref="BN65">IF(INDEX($I$3:$L$22,MATCH($P65,$G$3:$G$22,0),$Q65)=BN$2,$S65+$O65+9,$S65+$O65)</f>
        <v>42713031</v>
      </c>
      <c r="BO65" s="1" cm="1">
        <f t="array" ref="BO65">IF(INDEX($I$3:$L$22,MATCH($P65,$G$3:$G$22,0),$Q65)=BO$2,$S65+$O65+9,$S65+$O65)</f>
        <v>42713031</v>
      </c>
      <c r="BP65" s="1" cm="1">
        <f t="array" ref="BP65">IF(INDEX($I$3:$L$22,MATCH($P65,$G$3:$G$22,0),$Q65)=BP$2,$S65+$O65+9,$S65+$O65)</f>
        <v>42713040</v>
      </c>
      <c r="BQ65" s="1" cm="1">
        <f t="array" ref="BQ65">IF(INDEX($I$3:$L$22,MATCH($P65,$G$3:$G$22,0),$Q65)=BQ$2,$S65+$O65+9,$S65+$O65)</f>
        <v>42713031</v>
      </c>
      <c r="BR65" s="1" cm="1">
        <f t="array" ref="BR65">IF(INDEX($I$3:$L$22,MATCH($P65,$G$3:$G$22,0),$Q65)=BR$2,$S65+$O65+9,$S65+$O65)</f>
        <v>42713031</v>
      </c>
      <c r="BS65" s="1" cm="1">
        <f t="array" ref="BS65">IF(INDEX($I$3:$L$22,MATCH($P65,$G$3:$G$22,0),$Q65)=BS$2,$S65+$O65+9,$S65+$O65)</f>
        <v>42713031</v>
      </c>
      <c r="BT65" s="1" cm="1">
        <f t="array" ref="BT65">IF(INDEX($I$3:$L$22,MATCH($P65,$G$3:$G$22,0),$Q65)=BT$2,$S65+$O65+9,$S65+$O65)</f>
        <v>42713031</v>
      </c>
    </row>
    <row r="66" spans="14:72" x14ac:dyDescent="0.15">
      <c r="N66" s="1">
        <v>50002</v>
      </c>
      <c r="O66" s="1">
        <f t="shared" si="9"/>
        <v>31</v>
      </c>
      <c r="P66" s="1">
        <f t="shared" si="10"/>
        <v>400</v>
      </c>
      <c r="Q66" s="1">
        <f t="shared" si="11"/>
        <v>4</v>
      </c>
      <c r="R66" s="1" t="s">
        <v>15</v>
      </c>
      <c r="S66" s="1">
        <v>42716000</v>
      </c>
      <c r="T66" s="1" t="str">
        <f t="shared" si="8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</v>
      </c>
      <c r="W66" s="1" cm="1">
        <f t="array" ref="W66">IF(INDEX($I$3:$L$22,MATCH($P66,$G$3:$G$22,0),$Q66)=W$2,$S66+$O66+9,$S66+$O66)</f>
        <v>42716031</v>
      </c>
      <c r="X66" s="1" cm="1">
        <f t="array" ref="X66">IF(INDEX($I$3:$L$22,MATCH($P66,$G$3:$G$22,0),$Q66)=X$2,$S66+$O66+9,$S66+$O66)</f>
        <v>42716031</v>
      </c>
      <c r="Y66" s="1" cm="1">
        <f t="array" ref="Y66">IF(INDEX($I$3:$L$22,MATCH($P66,$G$3:$G$22,0),$Q66)=Y$2,$S66+$O66+9,$S66+$O66)</f>
        <v>42716031</v>
      </c>
      <c r="Z66" s="1" cm="1">
        <f t="array" ref="Z66">IF(INDEX($I$3:$L$22,MATCH($P66,$G$3:$G$22,0),$Q66)=Z$2,$S66+$O66+9,$S66+$O66)</f>
        <v>42716031</v>
      </c>
      <c r="AA66" s="1" cm="1">
        <f t="array" ref="AA66">IF(INDEX($I$3:$L$22,MATCH($P66,$G$3:$G$22,0),$Q66)=AA$2,$S66+$O66+9,$S66+$O66)</f>
        <v>42716031</v>
      </c>
      <c r="AB66" s="1" cm="1">
        <f t="array" ref="AB66">IF(INDEX($I$3:$L$22,MATCH($P66,$G$3:$G$22,0),$Q66)=AB$2,$S66+$O66+9,$S66+$O66)</f>
        <v>42716031</v>
      </c>
      <c r="AC66" s="1" cm="1">
        <f t="array" ref="AC66">IF(INDEX($I$3:$L$22,MATCH($P66,$G$3:$G$22,0),$Q66)=AC$2,$S66+$O66+9,$S66+$O66)</f>
        <v>42716031</v>
      </c>
      <c r="AD66" s="1" cm="1">
        <f t="array" ref="AD66">IF(INDEX($I$3:$L$22,MATCH($P66,$G$3:$G$22,0),$Q66)=AD$2,$S66+$O66+9,$S66+$O66)</f>
        <v>42716031</v>
      </c>
      <c r="AE66" s="1" cm="1">
        <f t="array" ref="AE66">IF(INDEX($I$3:$L$22,MATCH($P66,$G$3:$G$22,0),$Q66)=AE$2,$S66+$O66+9,$S66+$O66)</f>
        <v>42716031</v>
      </c>
      <c r="AF66" s="1" cm="1">
        <f t="array" ref="AF66">IF(INDEX($I$3:$L$22,MATCH($P66,$G$3:$G$22,0),$Q66)=AF$2,$S66+$O66+9,$S66+$O66)</f>
        <v>42716031</v>
      </c>
      <c r="AG66" s="1" cm="1">
        <f t="array" ref="AG66">IF(INDEX($I$3:$L$22,MATCH($P66,$G$3:$G$22,0),$Q66)=AG$2,$S66+$O66+9,$S66+$O66)</f>
        <v>42716031</v>
      </c>
      <c r="AH66" s="1" cm="1">
        <f t="array" ref="AH66">IF(INDEX($I$3:$L$22,MATCH($P66,$G$3:$G$22,0),$Q66)=AH$2,$S66+$O66+9,$S66+$O66)</f>
        <v>42716031</v>
      </c>
      <c r="AI66" s="1" cm="1">
        <f t="array" ref="AI66">IF(INDEX($I$3:$L$22,MATCH($P66,$G$3:$G$22,0),$Q66)=AI$2,$S66+$O66+9,$S66+$O66)</f>
        <v>42716031</v>
      </c>
      <c r="AJ66" s="1" cm="1">
        <f t="array" ref="AJ66">IF(INDEX($I$3:$L$22,MATCH($P66,$G$3:$G$22,0),$Q66)=AJ$2,$S66+$O66+9,$S66+$O66)</f>
        <v>42716031</v>
      </c>
      <c r="AK66" s="1" cm="1">
        <f t="array" ref="AK66">IF(INDEX($I$3:$L$22,MATCH($P66,$G$3:$G$22,0),$Q66)=AK$2,$S66+$O66+9,$S66+$O66)</f>
        <v>42716031</v>
      </c>
      <c r="AL66" s="1" cm="1">
        <f t="array" ref="AL66">IF(INDEX($I$3:$L$22,MATCH($P66,$G$3:$G$22,0),$Q66)=AL$2,$S66+$O66+9,$S66+$O66)</f>
        <v>42716031</v>
      </c>
      <c r="AM66" s="1" cm="1">
        <f t="array" ref="AM66">IF(INDEX($I$3:$L$22,MATCH($P66,$G$3:$G$22,0),$Q66)=AM$2,$S66+$O66+9,$S66+$O66)</f>
        <v>42716031</v>
      </c>
      <c r="AN66" s="1" cm="1">
        <f t="array" ref="AN66">IF(INDEX($I$3:$L$22,MATCH($P66,$G$3:$G$22,0),$Q66)=AN$2,$S66+$O66+9,$S66+$O66)</f>
        <v>42716031</v>
      </c>
      <c r="AO66" s="1" cm="1">
        <f t="array" ref="AO66">IF(INDEX($I$3:$L$22,MATCH($P66,$G$3:$G$22,0),$Q66)=AO$2,$S66+$O66+9,$S66+$O66)</f>
        <v>42716031</v>
      </c>
      <c r="AP66" s="1" cm="1">
        <f t="array" ref="AP66">IF(INDEX($I$3:$L$22,MATCH($P66,$G$3:$G$22,0),$Q66)=AP$2,$S66+$O66+9,$S66+$O66)</f>
        <v>42716031</v>
      </c>
      <c r="AQ66" s="1" cm="1">
        <f t="array" ref="AQ66">IF(INDEX($I$3:$L$22,MATCH($P66,$G$3:$G$22,0),$Q66)=AQ$2,$S66+$O66+9,$S66+$O66)</f>
        <v>42716031</v>
      </c>
      <c r="AR66" s="1" cm="1">
        <f t="array" ref="AR66">IF(INDEX($I$3:$L$22,MATCH($P66,$G$3:$G$22,0),$Q66)=AR$2,$S66+$O66+9,$S66+$O66)</f>
        <v>42716031</v>
      </c>
      <c r="AS66" s="1" cm="1">
        <f t="array" ref="AS66">IF(INDEX($I$3:$L$22,MATCH($P66,$G$3:$G$22,0),$Q66)=AS$2,$S66+$O66+9,$S66+$O66)</f>
        <v>42716031</v>
      </c>
      <c r="AT66" s="1" cm="1">
        <f t="array" ref="AT66">IF(INDEX($I$3:$L$22,MATCH($P66,$G$3:$G$22,0),$Q66)=AT$2,$S66+$O66+9,$S66+$O66)</f>
        <v>42716031</v>
      </c>
      <c r="AU66" s="1" cm="1">
        <f t="array" ref="AU66">IF(INDEX($I$3:$L$22,MATCH($P66,$G$3:$G$22,0),$Q66)=AU$2,$S66+$O66+9,$S66+$O66)</f>
        <v>42716031</v>
      </c>
      <c r="AV66" s="1" cm="1">
        <f t="array" ref="AV66">IF(INDEX($I$3:$L$22,MATCH($P66,$G$3:$G$22,0),$Q66)=AV$2,$S66+$O66+9,$S66+$O66)</f>
        <v>42716031</v>
      </c>
      <c r="AW66" s="1" cm="1">
        <f t="array" ref="AW66">IF(INDEX($I$3:$L$22,MATCH($P66,$G$3:$G$22,0),$Q66)=AW$2,$S66+$O66+9,$S66+$O66)</f>
        <v>42716031</v>
      </c>
      <c r="AX66" s="1" cm="1">
        <f t="array" ref="AX66">IF(INDEX($I$3:$L$22,MATCH($P66,$G$3:$G$22,0),$Q66)=AX$2,$S66+$O66+9,$S66+$O66)</f>
        <v>42716031</v>
      </c>
      <c r="AY66" s="1" cm="1">
        <f t="array" ref="AY66">IF(INDEX($I$3:$L$22,MATCH($P66,$G$3:$G$22,0),$Q66)=AY$2,$S66+$O66+9,$S66+$O66)</f>
        <v>42716031</v>
      </c>
      <c r="AZ66" s="1" cm="1">
        <f t="array" ref="AZ66">IF(INDEX($I$3:$L$22,MATCH($P66,$G$3:$G$22,0),$Q66)=AZ$2,$S66+$O66+9,$S66+$O66)</f>
        <v>42716031</v>
      </c>
      <c r="BA66" s="1" cm="1">
        <f t="array" ref="BA66">IF(INDEX($I$3:$L$22,MATCH($P66,$G$3:$G$22,0),$Q66)=BA$2,$S66+$O66+9,$S66+$O66)</f>
        <v>42716031</v>
      </c>
      <c r="BB66" s="1" cm="1">
        <f t="array" ref="BB66">IF(INDEX($I$3:$L$22,MATCH($P66,$G$3:$G$22,0),$Q66)=BB$2,$S66+$O66+9,$S66+$O66)</f>
        <v>42716031</v>
      </c>
      <c r="BC66" s="1" cm="1">
        <f t="array" ref="BC66">IF(INDEX($I$3:$L$22,MATCH($P66,$G$3:$G$22,0),$Q66)=BC$2,$S66+$O66+9,$S66+$O66)</f>
        <v>42716031</v>
      </c>
      <c r="BD66" s="1" cm="1">
        <f t="array" ref="BD66">IF(INDEX($I$3:$L$22,MATCH($P66,$G$3:$G$22,0),$Q66)=BD$2,$S66+$O66+9,$S66+$O66)</f>
        <v>42716031</v>
      </c>
      <c r="BE66" s="1" cm="1">
        <f t="array" ref="BE66">IF(INDEX($I$3:$L$22,MATCH($P66,$G$3:$G$22,0),$Q66)=BE$2,$S66+$O66+9,$S66+$O66)</f>
        <v>42716031</v>
      </c>
      <c r="BF66" s="1" cm="1">
        <f t="array" ref="BF66">IF(INDEX($I$3:$L$22,MATCH($P66,$G$3:$G$22,0),$Q66)=BF$2,$S66+$O66+9,$S66+$O66)</f>
        <v>42716031</v>
      </c>
      <c r="BG66" s="1" cm="1">
        <f t="array" ref="BG66">IF(INDEX($I$3:$L$22,MATCH($P66,$G$3:$G$22,0),$Q66)=BG$2,$S66+$O66+9,$S66+$O66)</f>
        <v>42716031</v>
      </c>
      <c r="BH66" s="1" cm="1">
        <f t="array" ref="BH66">IF(INDEX($I$3:$L$22,MATCH($P66,$G$3:$G$22,0),$Q66)=BH$2,$S66+$O66+9,$S66+$O66)</f>
        <v>42716031</v>
      </c>
      <c r="BI66" s="1" cm="1">
        <f t="array" ref="BI66">IF(INDEX($I$3:$L$22,MATCH($P66,$G$3:$G$22,0),$Q66)=BI$2,$S66+$O66+9,$S66+$O66)</f>
        <v>42716031</v>
      </c>
      <c r="BJ66" s="1" cm="1">
        <f t="array" ref="BJ66">IF(INDEX($I$3:$L$22,MATCH($P66,$G$3:$G$22,0),$Q66)=BJ$2,$S66+$O66+9,$S66+$O66)</f>
        <v>42716031</v>
      </c>
      <c r="BK66" s="1" cm="1">
        <f t="array" ref="BK66">IF(INDEX($I$3:$L$22,MATCH($P66,$G$3:$G$22,0),$Q66)=BK$2,$S66+$O66+9,$S66+$O66)</f>
        <v>42716031</v>
      </c>
      <c r="BL66" s="1" cm="1">
        <f t="array" ref="BL66">IF(INDEX($I$3:$L$22,MATCH($P66,$G$3:$G$22,0),$Q66)=BL$2,$S66+$O66+9,$S66+$O66)</f>
        <v>42716031</v>
      </c>
      <c r="BM66" s="1" cm="1">
        <f t="array" ref="BM66">IF(INDEX($I$3:$L$22,MATCH($P66,$G$3:$G$22,0),$Q66)=BM$2,$S66+$O66+9,$S66+$O66)</f>
        <v>42716031</v>
      </c>
      <c r="BN66" s="1" cm="1">
        <f t="array" ref="BN66">IF(INDEX($I$3:$L$22,MATCH($P66,$G$3:$G$22,0),$Q66)=BN$2,$S66+$O66+9,$S66+$O66)</f>
        <v>42716031</v>
      </c>
      <c r="BO66" s="1" cm="1">
        <f t="array" ref="BO66">IF(INDEX($I$3:$L$22,MATCH($P66,$G$3:$G$22,0),$Q66)=BO$2,$S66+$O66+9,$S66+$O66)</f>
        <v>42716031</v>
      </c>
      <c r="BP66" s="1" cm="1">
        <f t="array" ref="BP66">IF(INDEX($I$3:$L$22,MATCH($P66,$G$3:$G$22,0),$Q66)=BP$2,$S66+$O66+9,$S66+$O66)</f>
        <v>42716031</v>
      </c>
      <c r="BQ66" s="1" cm="1">
        <f t="array" ref="BQ66">IF(INDEX($I$3:$L$22,MATCH($P66,$G$3:$G$22,0),$Q66)=BQ$2,$S66+$O66+9,$S66+$O66)</f>
        <v>42716040</v>
      </c>
      <c r="BR66" s="1" cm="1">
        <f t="array" ref="BR66">IF(INDEX($I$3:$L$22,MATCH($P66,$G$3:$G$22,0),$Q66)=BR$2,$S66+$O66+9,$S66+$O66)</f>
        <v>42716031</v>
      </c>
      <c r="BS66" s="1" cm="1">
        <f t="array" ref="BS66">IF(INDEX($I$3:$L$22,MATCH($P66,$G$3:$G$22,0),$Q66)=BS$2,$S66+$O66+9,$S66+$O66)</f>
        <v>42716031</v>
      </c>
      <c r="BT66" s="1" cm="1">
        <f t="array" ref="BT66">IF(INDEX($I$3:$L$22,MATCH($P66,$G$3:$G$22,0),$Q66)=BT$2,$S66+$O66+9,$S66+$O66)</f>
        <v>42716031</v>
      </c>
    </row>
    <row r="67" spans="14:72" x14ac:dyDescent="0.15">
      <c r="N67" s="1">
        <v>50002</v>
      </c>
      <c r="O67" s="1">
        <f t="shared" si="9"/>
        <v>31</v>
      </c>
      <c r="P67" s="1">
        <f t="shared" si="10"/>
        <v>401</v>
      </c>
      <c r="Q67" s="1">
        <f t="shared" si="11"/>
        <v>1</v>
      </c>
      <c r="R67" s="1" t="s">
        <v>18</v>
      </c>
      <c r="S67" s="1">
        <v>42711000</v>
      </c>
      <c r="T67" s="1" t="str">
        <f t="shared" ref="T67:T82" si="12">_xlfn.TEXTJOIN(",",TRUE,W67:BT67)</f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,42711031,42711031,42711031,42711031,42711031,42711031,42711031</v>
      </c>
      <c r="W67" s="1" cm="1">
        <f t="array" ref="W67">IF(INDEX($I$3:$L$22,MATCH($P67,$G$3:$G$22,0),$Q67)=W$2,$S67+$O67+9,$S67+$O67)</f>
        <v>42711031</v>
      </c>
      <c r="X67" s="1" cm="1">
        <f t="array" ref="X67">IF(INDEX($I$3:$L$22,MATCH($P67,$G$3:$G$22,0),$Q67)=X$2,$S67+$O67+9,$S67+$O67)</f>
        <v>42711031</v>
      </c>
      <c r="Y67" s="1" cm="1">
        <f t="array" ref="Y67">IF(INDEX($I$3:$L$22,MATCH($P67,$G$3:$G$22,0),$Q67)=Y$2,$S67+$O67+9,$S67+$O67)</f>
        <v>42711031</v>
      </c>
      <c r="Z67" s="1" cm="1">
        <f t="array" ref="Z67">IF(INDEX($I$3:$L$22,MATCH($P67,$G$3:$G$22,0),$Q67)=Z$2,$S67+$O67+9,$S67+$O67)</f>
        <v>42711031</v>
      </c>
      <c r="AA67" s="1" cm="1">
        <f t="array" ref="AA67">IF(INDEX($I$3:$L$22,MATCH($P67,$G$3:$G$22,0),$Q67)=AA$2,$S67+$O67+9,$S67+$O67)</f>
        <v>42711031</v>
      </c>
      <c r="AB67" s="1" cm="1">
        <f t="array" ref="AB67">IF(INDEX($I$3:$L$22,MATCH($P67,$G$3:$G$22,0),$Q67)=AB$2,$S67+$O67+9,$S67+$O67)</f>
        <v>42711031</v>
      </c>
      <c r="AC67" s="1" cm="1">
        <f t="array" ref="AC67">IF(INDEX($I$3:$L$22,MATCH($P67,$G$3:$G$22,0),$Q67)=AC$2,$S67+$O67+9,$S67+$O67)</f>
        <v>42711031</v>
      </c>
      <c r="AD67" s="1" cm="1">
        <f t="array" ref="AD67">IF(INDEX($I$3:$L$22,MATCH($P67,$G$3:$G$22,0),$Q67)=AD$2,$S67+$O67+9,$S67+$O67)</f>
        <v>42711031</v>
      </c>
      <c r="AE67" s="1" cm="1">
        <f t="array" ref="AE67">IF(INDEX($I$3:$L$22,MATCH($P67,$G$3:$G$22,0),$Q67)=AE$2,$S67+$O67+9,$S67+$O67)</f>
        <v>42711031</v>
      </c>
      <c r="AF67" s="1" cm="1">
        <f t="array" ref="AF67">IF(INDEX($I$3:$L$22,MATCH($P67,$G$3:$G$22,0),$Q67)=AF$2,$S67+$O67+9,$S67+$O67)</f>
        <v>42711031</v>
      </c>
      <c r="AG67" s="1" cm="1">
        <f t="array" ref="AG67">IF(INDEX($I$3:$L$22,MATCH($P67,$G$3:$G$22,0),$Q67)=AG$2,$S67+$O67+9,$S67+$O67)</f>
        <v>42711031</v>
      </c>
      <c r="AH67" s="1" cm="1">
        <f t="array" ref="AH67">IF(INDEX($I$3:$L$22,MATCH($P67,$G$3:$G$22,0),$Q67)=AH$2,$S67+$O67+9,$S67+$O67)</f>
        <v>42711031</v>
      </c>
      <c r="AI67" s="1" cm="1">
        <f t="array" ref="AI67">IF(INDEX($I$3:$L$22,MATCH($P67,$G$3:$G$22,0),$Q67)=AI$2,$S67+$O67+9,$S67+$O67)</f>
        <v>42711031</v>
      </c>
      <c r="AJ67" s="1" cm="1">
        <f t="array" ref="AJ67">IF(INDEX($I$3:$L$22,MATCH($P67,$G$3:$G$22,0),$Q67)=AJ$2,$S67+$O67+9,$S67+$O67)</f>
        <v>42711031</v>
      </c>
      <c r="AK67" s="1" cm="1">
        <f t="array" ref="AK67">IF(INDEX($I$3:$L$22,MATCH($P67,$G$3:$G$22,0),$Q67)=AK$2,$S67+$O67+9,$S67+$O67)</f>
        <v>42711031</v>
      </c>
      <c r="AL67" s="1" cm="1">
        <f t="array" ref="AL67">IF(INDEX($I$3:$L$22,MATCH($P67,$G$3:$G$22,0),$Q67)=AL$2,$S67+$O67+9,$S67+$O67)</f>
        <v>42711031</v>
      </c>
      <c r="AM67" s="1" cm="1">
        <f t="array" ref="AM67">IF(INDEX($I$3:$L$22,MATCH($P67,$G$3:$G$22,0),$Q67)=AM$2,$S67+$O67+9,$S67+$O67)</f>
        <v>42711031</v>
      </c>
      <c r="AN67" s="1" cm="1">
        <f t="array" ref="AN67">IF(INDEX($I$3:$L$22,MATCH($P67,$G$3:$G$22,0),$Q67)=AN$2,$S67+$O67+9,$S67+$O67)</f>
        <v>42711031</v>
      </c>
      <c r="AO67" s="1" cm="1">
        <f t="array" ref="AO67">IF(INDEX($I$3:$L$22,MATCH($P67,$G$3:$G$22,0),$Q67)=AO$2,$S67+$O67+9,$S67+$O67)</f>
        <v>42711031</v>
      </c>
      <c r="AP67" s="1" cm="1">
        <f t="array" ref="AP67">IF(INDEX($I$3:$L$22,MATCH($P67,$G$3:$G$22,0),$Q67)=AP$2,$S67+$O67+9,$S67+$O67)</f>
        <v>42711031</v>
      </c>
      <c r="AQ67" s="1" cm="1">
        <f t="array" ref="AQ67">IF(INDEX($I$3:$L$22,MATCH($P67,$G$3:$G$22,0),$Q67)=AQ$2,$S67+$O67+9,$S67+$O67)</f>
        <v>42711031</v>
      </c>
      <c r="AR67" s="1" cm="1">
        <f t="array" ref="AR67">IF(INDEX($I$3:$L$22,MATCH($P67,$G$3:$G$22,0),$Q67)=AR$2,$S67+$O67+9,$S67+$O67)</f>
        <v>42711031</v>
      </c>
      <c r="AS67" s="1" cm="1">
        <f t="array" ref="AS67">IF(INDEX($I$3:$L$22,MATCH($P67,$G$3:$G$22,0),$Q67)=AS$2,$S67+$O67+9,$S67+$O67)</f>
        <v>42711031</v>
      </c>
      <c r="AT67" s="1" cm="1">
        <f t="array" ref="AT67">IF(INDEX($I$3:$L$22,MATCH($P67,$G$3:$G$22,0),$Q67)=AT$2,$S67+$O67+9,$S67+$O67)</f>
        <v>42711031</v>
      </c>
      <c r="AU67" s="1" cm="1">
        <f t="array" ref="AU67">IF(INDEX($I$3:$L$22,MATCH($P67,$G$3:$G$22,0),$Q67)=AU$2,$S67+$O67+9,$S67+$O67)</f>
        <v>42711031</v>
      </c>
      <c r="AV67" s="1" cm="1">
        <f t="array" ref="AV67">IF(INDEX($I$3:$L$22,MATCH($P67,$G$3:$G$22,0),$Q67)=AV$2,$S67+$O67+9,$S67+$O67)</f>
        <v>42711031</v>
      </c>
      <c r="AW67" s="1" cm="1">
        <f t="array" ref="AW67">IF(INDEX($I$3:$L$22,MATCH($P67,$G$3:$G$22,0),$Q67)=AW$2,$S67+$O67+9,$S67+$O67)</f>
        <v>42711031</v>
      </c>
      <c r="AX67" s="1" cm="1">
        <f t="array" ref="AX67">IF(INDEX($I$3:$L$22,MATCH($P67,$G$3:$G$22,0),$Q67)=AX$2,$S67+$O67+9,$S67+$O67)</f>
        <v>42711031</v>
      </c>
      <c r="AY67" s="1" cm="1">
        <f t="array" ref="AY67">IF(INDEX($I$3:$L$22,MATCH($P67,$G$3:$G$22,0),$Q67)=AY$2,$S67+$O67+9,$S67+$O67)</f>
        <v>42711031</v>
      </c>
      <c r="AZ67" s="1" cm="1">
        <f t="array" ref="AZ67">IF(INDEX($I$3:$L$22,MATCH($P67,$G$3:$G$22,0),$Q67)=AZ$2,$S67+$O67+9,$S67+$O67)</f>
        <v>42711031</v>
      </c>
      <c r="BA67" s="1" cm="1">
        <f t="array" ref="BA67">IF(INDEX($I$3:$L$22,MATCH($P67,$G$3:$G$22,0),$Q67)=BA$2,$S67+$O67+9,$S67+$O67)</f>
        <v>42711031</v>
      </c>
      <c r="BB67" s="1" cm="1">
        <f t="array" ref="BB67">IF(INDEX($I$3:$L$22,MATCH($P67,$G$3:$G$22,0),$Q67)=BB$2,$S67+$O67+9,$S67+$O67)</f>
        <v>42711031</v>
      </c>
      <c r="BC67" s="1" cm="1">
        <f t="array" ref="BC67">IF(INDEX($I$3:$L$22,MATCH($P67,$G$3:$G$22,0),$Q67)=BC$2,$S67+$O67+9,$S67+$O67)</f>
        <v>42711031</v>
      </c>
      <c r="BD67" s="1" cm="1">
        <f t="array" ref="BD67">IF(INDEX($I$3:$L$22,MATCH($P67,$G$3:$G$22,0),$Q67)=BD$2,$S67+$O67+9,$S67+$O67)</f>
        <v>42711031</v>
      </c>
      <c r="BE67" s="1" cm="1">
        <f t="array" ref="BE67">IF(INDEX($I$3:$L$22,MATCH($P67,$G$3:$G$22,0),$Q67)=BE$2,$S67+$O67+9,$S67+$O67)</f>
        <v>42711031</v>
      </c>
      <c r="BF67" s="1" cm="1">
        <f t="array" ref="BF67">IF(INDEX($I$3:$L$22,MATCH($P67,$G$3:$G$22,0),$Q67)=BF$2,$S67+$O67+9,$S67+$O67)</f>
        <v>42711031</v>
      </c>
      <c r="BG67" s="1" cm="1">
        <f t="array" ref="BG67">IF(INDEX($I$3:$L$22,MATCH($P67,$G$3:$G$22,0),$Q67)=BG$2,$S67+$O67+9,$S67+$O67)</f>
        <v>42711031</v>
      </c>
      <c r="BH67" s="1" cm="1">
        <f t="array" ref="BH67">IF(INDEX($I$3:$L$22,MATCH($P67,$G$3:$G$22,0),$Q67)=BH$2,$S67+$O67+9,$S67+$O67)</f>
        <v>42711031</v>
      </c>
      <c r="BI67" s="1" cm="1">
        <f t="array" ref="BI67">IF(INDEX($I$3:$L$22,MATCH($P67,$G$3:$G$22,0),$Q67)=BI$2,$S67+$O67+9,$S67+$O67)</f>
        <v>42711031</v>
      </c>
      <c r="BJ67" s="1" cm="1">
        <f t="array" ref="BJ67">IF(INDEX($I$3:$L$22,MATCH($P67,$G$3:$G$22,0),$Q67)=BJ$2,$S67+$O67+9,$S67+$O67)</f>
        <v>42711031</v>
      </c>
      <c r="BK67" s="1" cm="1">
        <f t="array" ref="BK67">IF(INDEX($I$3:$L$22,MATCH($P67,$G$3:$G$22,0),$Q67)=BK$2,$S67+$O67+9,$S67+$O67)</f>
        <v>42711031</v>
      </c>
      <c r="BL67" s="1" cm="1">
        <f t="array" ref="BL67">IF(INDEX($I$3:$L$22,MATCH($P67,$G$3:$G$22,0),$Q67)=BL$2,$S67+$O67+9,$S67+$O67)</f>
        <v>42711040</v>
      </c>
      <c r="BM67" s="1" cm="1">
        <f t="array" ref="BM67">IF(INDEX($I$3:$L$22,MATCH($P67,$G$3:$G$22,0),$Q67)=BM$2,$S67+$O67+9,$S67+$O67)</f>
        <v>42711031</v>
      </c>
      <c r="BN67" s="1" cm="1">
        <f t="array" ref="BN67">IF(INDEX($I$3:$L$22,MATCH($P67,$G$3:$G$22,0),$Q67)=BN$2,$S67+$O67+9,$S67+$O67)</f>
        <v>42711031</v>
      </c>
      <c r="BO67" s="1" cm="1">
        <f t="array" ref="BO67">IF(INDEX($I$3:$L$22,MATCH($P67,$G$3:$G$22,0),$Q67)=BO$2,$S67+$O67+9,$S67+$O67)</f>
        <v>42711031</v>
      </c>
      <c r="BP67" s="1" cm="1">
        <f t="array" ref="BP67">IF(INDEX($I$3:$L$22,MATCH($P67,$G$3:$G$22,0),$Q67)=BP$2,$S67+$O67+9,$S67+$O67)</f>
        <v>42711031</v>
      </c>
      <c r="BQ67" s="1" cm="1">
        <f t="array" ref="BQ67">IF(INDEX($I$3:$L$22,MATCH($P67,$G$3:$G$22,0),$Q67)=BQ$2,$S67+$O67+9,$S67+$O67)</f>
        <v>42711031</v>
      </c>
      <c r="BR67" s="1" cm="1">
        <f t="array" ref="BR67">IF(INDEX($I$3:$L$22,MATCH($P67,$G$3:$G$22,0),$Q67)=BR$2,$S67+$O67+9,$S67+$O67)</f>
        <v>42711031</v>
      </c>
      <c r="BS67" s="1" cm="1">
        <f t="array" ref="BS67">IF(INDEX($I$3:$L$22,MATCH($P67,$G$3:$G$22,0),$Q67)=BS$2,$S67+$O67+9,$S67+$O67)</f>
        <v>42711031</v>
      </c>
      <c r="BT67" s="1" cm="1">
        <f t="array" ref="BT67">IF(INDEX($I$3:$L$22,MATCH($P67,$G$3:$G$22,0),$Q67)=BT$2,$S67+$O67+9,$S67+$O67)</f>
        <v>42711031</v>
      </c>
    </row>
    <row r="68" spans="14:72" x14ac:dyDescent="0.15">
      <c r="N68" s="1">
        <v>50002</v>
      </c>
      <c r="O68" s="1">
        <f t="shared" si="9"/>
        <v>31</v>
      </c>
      <c r="P68" s="1">
        <f t="shared" si="10"/>
        <v>401</v>
      </c>
      <c r="Q68" s="1">
        <f t="shared" si="11"/>
        <v>2</v>
      </c>
      <c r="R68" s="1" t="s">
        <v>17</v>
      </c>
      <c r="S68" s="1">
        <v>42612000</v>
      </c>
      <c r="T68" s="1" t="str">
        <f t="shared" si="12"/>
        <v>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</v>
      </c>
      <c r="W68" s="1" cm="1">
        <f t="array" ref="W68">IF(INDEX($I$3:$L$22,MATCH($P68,$G$3:$G$22,0),$Q68)=W$2,$S68+$O68+9,$S68+$O68)</f>
        <v>42612031</v>
      </c>
      <c r="X68" s="1" cm="1">
        <f t="array" ref="X68">IF(INDEX($I$3:$L$22,MATCH($P68,$G$3:$G$22,0),$Q68)=X$2,$S68+$O68+9,$S68+$O68)</f>
        <v>42612031</v>
      </c>
      <c r="Y68" s="1" cm="1">
        <f t="array" ref="Y68">IF(INDEX($I$3:$L$22,MATCH($P68,$G$3:$G$22,0),$Q68)=Y$2,$S68+$O68+9,$S68+$O68)</f>
        <v>42612031</v>
      </c>
      <c r="Z68" s="1" cm="1">
        <f t="array" ref="Z68">IF(INDEX($I$3:$L$22,MATCH($P68,$G$3:$G$22,0),$Q68)=Z$2,$S68+$O68+9,$S68+$O68)</f>
        <v>42612031</v>
      </c>
      <c r="AA68" s="1" cm="1">
        <f t="array" ref="AA68">IF(INDEX($I$3:$L$22,MATCH($P68,$G$3:$G$22,0),$Q68)=AA$2,$S68+$O68+9,$S68+$O68)</f>
        <v>42612031</v>
      </c>
      <c r="AB68" s="1" cm="1">
        <f t="array" ref="AB68">IF(INDEX($I$3:$L$22,MATCH($P68,$G$3:$G$22,0),$Q68)=AB$2,$S68+$O68+9,$S68+$O68)</f>
        <v>42612031</v>
      </c>
      <c r="AC68" s="1" cm="1">
        <f t="array" ref="AC68">IF(INDEX($I$3:$L$22,MATCH($P68,$G$3:$G$22,0),$Q68)=AC$2,$S68+$O68+9,$S68+$O68)</f>
        <v>42612031</v>
      </c>
      <c r="AD68" s="1" cm="1">
        <f t="array" ref="AD68">IF(INDEX($I$3:$L$22,MATCH($P68,$G$3:$G$22,0),$Q68)=AD$2,$S68+$O68+9,$S68+$O68)</f>
        <v>42612031</v>
      </c>
      <c r="AE68" s="1" cm="1">
        <f t="array" ref="AE68">IF(INDEX($I$3:$L$22,MATCH($P68,$G$3:$G$22,0),$Q68)=AE$2,$S68+$O68+9,$S68+$O68)</f>
        <v>42612031</v>
      </c>
      <c r="AF68" s="1" cm="1">
        <f t="array" ref="AF68">IF(INDEX($I$3:$L$22,MATCH($P68,$G$3:$G$22,0),$Q68)=AF$2,$S68+$O68+9,$S68+$O68)</f>
        <v>42612031</v>
      </c>
      <c r="AG68" s="1" cm="1">
        <f t="array" ref="AG68">IF(INDEX($I$3:$L$22,MATCH($P68,$G$3:$G$22,0),$Q68)=AG$2,$S68+$O68+9,$S68+$O68)</f>
        <v>42612031</v>
      </c>
      <c r="AH68" s="1" cm="1">
        <f t="array" ref="AH68">IF(INDEX($I$3:$L$22,MATCH($P68,$G$3:$G$22,0),$Q68)=AH$2,$S68+$O68+9,$S68+$O68)</f>
        <v>42612031</v>
      </c>
      <c r="AI68" s="1" cm="1">
        <f t="array" ref="AI68">IF(INDEX($I$3:$L$22,MATCH($P68,$G$3:$G$22,0),$Q68)=AI$2,$S68+$O68+9,$S68+$O68)</f>
        <v>42612031</v>
      </c>
      <c r="AJ68" s="1" cm="1">
        <f t="array" ref="AJ68">IF(INDEX($I$3:$L$22,MATCH($P68,$G$3:$G$22,0),$Q68)=AJ$2,$S68+$O68+9,$S68+$O68)</f>
        <v>42612031</v>
      </c>
      <c r="AK68" s="1" cm="1">
        <f t="array" ref="AK68">IF(INDEX($I$3:$L$22,MATCH($P68,$G$3:$G$22,0),$Q68)=AK$2,$S68+$O68+9,$S68+$O68)</f>
        <v>42612031</v>
      </c>
      <c r="AL68" s="1" cm="1">
        <f t="array" ref="AL68">IF(INDEX($I$3:$L$22,MATCH($P68,$G$3:$G$22,0),$Q68)=AL$2,$S68+$O68+9,$S68+$O68)</f>
        <v>42612040</v>
      </c>
      <c r="AM68" s="1" cm="1">
        <f t="array" ref="AM68">IF(INDEX($I$3:$L$22,MATCH($P68,$G$3:$G$22,0),$Q68)=AM$2,$S68+$O68+9,$S68+$O68)</f>
        <v>42612031</v>
      </c>
      <c r="AN68" s="1" cm="1">
        <f t="array" ref="AN68">IF(INDEX($I$3:$L$22,MATCH($P68,$G$3:$G$22,0),$Q68)=AN$2,$S68+$O68+9,$S68+$O68)</f>
        <v>42612031</v>
      </c>
      <c r="AO68" s="1" cm="1">
        <f t="array" ref="AO68">IF(INDEX($I$3:$L$22,MATCH($P68,$G$3:$G$22,0),$Q68)=AO$2,$S68+$O68+9,$S68+$O68)</f>
        <v>42612031</v>
      </c>
      <c r="AP68" s="1" cm="1">
        <f t="array" ref="AP68">IF(INDEX($I$3:$L$22,MATCH($P68,$G$3:$G$22,0),$Q68)=AP$2,$S68+$O68+9,$S68+$O68)</f>
        <v>42612031</v>
      </c>
      <c r="AQ68" s="1" cm="1">
        <f t="array" ref="AQ68">IF(INDEX($I$3:$L$22,MATCH($P68,$G$3:$G$22,0),$Q68)=AQ$2,$S68+$O68+9,$S68+$O68)</f>
        <v>42612031</v>
      </c>
      <c r="AR68" s="1" cm="1">
        <f t="array" ref="AR68">IF(INDEX($I$3:$L$22,MATCH($P68,$G$3:$G$22,0),$Q68)=AR$2,$S68+$O68+9,$S68+$O68)</f>
        <v>42612031</v>
      </c>
      <c r="AS68" s="1" cm="1">
        <f t="array" ref="AS68">IF(INDEX($I$3:$L$22,MATCH($P68,$G$3:$G$22,0),$Q68)=AS$2,$S68+$O68+9,$S68+$O68)</f>
        <v>42612031</v>
      </c>
      <c r="AT68" s="1" cm="1">
        <f t="array" ref="AT68">IF(INDEX($I$3:$L$22,MATCH($P68,$G$3:$G$22,0),$Q68)=AT$2,$S68+$O68+9,$S68+$O68)</f>
        <v>42612031</v>
      </c>
      <c r="AU68" s="1" cm="1">
        <f t="array" ref="AU68">IF(INDEX($I$3:$L$22,MATCH($P68,$G$3:$G$22,0),$Q68)=AU$2,$S68+$O68+9,$S68+$O68)</f>
        <v>42612031</v>
      </c>
      <c r="AV68" s="1" cm="1">
        <f t="array" ref="AV68">IF(INDEX($I$3:$L$22,MATCH($P68,$G$3:$G$22,0),$Q68)=AV$2,$S68+$O68+9,$S68+$O68)</f>
        <v>42612031</v>
      </c>
      <c r="AW68" s="1" cm="1">
        <f t="array" ref="AW68">IF(INDEX($I$3:$L$22,MATCH($P68,$G$3:$G$22,0),$Q68)=AW$2,$S68+$O68+9,$S68+$O68)</f>
        <v>42612031</v>
      </c>
      <c r="AX68" s="1" cm="1">
        <f t="array" ref="AX68">IF(INDEX($I$3:$L$22,MATCH($P68,$G$3:$G$22,0),$Q68)=AX$2,$S68+$O68+9,$S68+$O68)</f>
        <v>42612031</v>
      </c>
      <c r="AY68" s="1" cm="1">
        <f t="array" ref="AY68">IF(INDEX($I$3:$L$22,MATCH($P68,$G$3:$G$22,0),$Q68)=AY$2,$S68+$O68+9,$S68+$O68)</f>
        <v>42612031</v>
      </c>
      <c r="AZ68" s="1" cm="1">
        <f t="array" ref="AZ68">IF(INDEX($I$3:$L$22,MATCH($P68,$G$3:$G$22,0),$Q68)=AZ$2,$S68+$O68+9,$S68+$O68)</f>
        <v>42612031</v>
      </c>
      <c r="BA68" s="1" cm="1">
        <f t="array" ref="BA68">IF(INDEX($I$3:$L$22,MATCH($P68,$G$3:$G$22,0),$Q68)=BA$2,$S68+$O68+9,$S68+$O68)</f>
        <v>42612031</v>
      </c>
      <c r="BB68" s="1" cm="1">
        <f t="array" ref="BB68">IF(INDEX($I$3:$L$22,MATCH($P68,$G$3:$G$22,0),$Q68)=BB$2,$S68+$O68+9,$S68+$O68)</f>
        <v>42612031</v>
      </c>
      <c r="BC68" s="1" cm="1">
        <f t="array" ref="BC68">IF(INDEX($I$3:$L$22,MATCH($P68,$G$3:$G$22,0),$Q68)=BC$2,$S68+$O68+9,$S68+$O68)</f>
        <v>42612031</v>
      </c>
      <c r="BD68" s="1" cm="1">
        <f t="array" ref="BD68">IF(INDEX($I$3:$L$22,MATCH($P68,$G$3:$G$22,0),$Q68)=BD$2,$S68+$O68+9,$S68+$O68)</f>
        <v>42612031</v>
      </c>
      <c r="BE68" s="1" cm="1">
        <f t="array" ref="BE68">IF(INDEX($I$3:$L$22,MATCH($P68,$G$3:$G$22,0),$Q68)=BE$2,$S68+$O68+9,$S68+$O68)</f>
        <v>42612031</v>
      </c>
      <c r="BF68" s="1" cm="1">
        <f t="array" ref="BF68">IF(INDEX($I$3:$L$22,MATCH($P68,$G$3:$G$22,0),$Q68)=BF$2,$S68+$O68+9,$S68+$O68)</f>
        <v>42612031</v>
      </c>
      <c r="BG68" s="1" cm="1">
        <f t="array" ref="BG68">IF(INDEX($I$3:$L$22,MATCH($P68,$G$3:$G$22,0),$Q68)=BG$2,$S68+$O68+9,$S68+$O68)</f>
        <v>42612031</v>
      </c>
      <c r="BH68" s="1" cm="1">
        <f t="array" ref="BH68">IF(INDEX($I$3:$L$22,MATCH($P68,$G$3:$G$22,0),$Q68)=BH$2,$S68+$O68+9,$S68+$O68)</f>
        <v>42612031</v>
      </c>
      <c r="BI68" s="1" cm="1">
        <f t="array" ref="BI68">IF(INDEX($I$3:$L$22,MATCH($P68,$G$3:$G$22,0),$Q68)=BI$2,$S68+$O68+9,$S68+$O68)</f>
        <v>42612031</v>
      </c>
      <c r="BJ68" s="1" cm="1">
        <f t="array" ref="BJ68">IF(INDEX($I$3:$L$22,MATCH($P68,$G$3:$G$22,0),$Q68)=BJ$2,$S68+$O68+9,$S68+$O68)</f>
        <v>42612031</v>
      </c>
      <c r="BK68" s="1" cm="1">
        <f t="array" ref="BK68">IF(INDEX($I$3:$L$22,MATCH($P68,$G$3:$G$22,0),$Q68)=BK$2,$S68+$O68+9,$S68+$O68)</f>
        <v>42612031</v>
      </c>
      <c r="BL68" s="1" cm="1">
        <f t="array" ref="BL68">IF(INDEX($I$3:$L$22,MATCH($P68,$G$3:$G$22,0),$Q68)=BL$2,$S68+$O68+9,$S68+$O68)</f>
        <v>42612031</v>
      </c>
      <c r="BM68" s="1" cm="1">
        <f t="array" ref="BM68">IF(INDEX($I$3:$L$22,MATCH($P68,$G$3:$G$22,0),$Q68)=BM$2,$S68+$O68+9,$S68+$O68)</f>
        <v>42612031</v>
      </c>
      <c r="BN68" s="1" cm="1">
        <f t="array" ref="BN68">IF(INDEX($I$3:$L$22,MATCH($P68,$G$3:$G$22,0),$Q68)=BN$2,$S68+$O68+9,$S68+$O68)</f>
        <v>42612031</v>
      </c>
      <c r="BO68" s="1" cm="1">
        <f t="array" ref="BO68">IF(INDEX($I$3:$L$22,MATCH($P68,$G$3:$G$22,0),$Q68)=BO$2,$S68+$O68+9,$S68+$O68)</f>
        <v>42612031</v>
      </c>
      <c r="BP68" s="1" cm="1">
        <f t="array" ref="BP68">IF(INDEX($I$3:$L$22,MATCH($P68,$G$3:$G$22,0),$Q68)=BP$2,$S68+$O68+9,$S68+$O68)</f>
        <v>42612031</v>
      </c>
      <c r="BQ68" s="1" cm="1">
        <f t="array" ref="BQ68">IF(INDEX($I$3:$L$22,MATCH($P68,$G$3:$G$22,0),$Q68)=BQ$2,$S68+$O68+9,$S68+$O68)</f>
        <v>42612031</v>
      </c>
      <c r="BR68" s="1" cm="1">
        <f t="array" ref="BR68">IF(INDEX($I$3:$L$22,MATCH($P68,$G$3:$G$22,0),$Q68)=BR$2,$S68+$O68+9,$S68+$O68)</f>
        <v>42612031</v>
      </c>
      <c r="BS68" s="1" cm="1">
        <f t="array" ref="BS68">IF(INDEX($I$3:$L$22,MATCH($P68,$G$3:$G$22,0),$Q68)=BS$2,$S68+$O68+9,$S68+$O68)</f>
        <v>42612031</v>
      </c>
      <c r="BT68" s="1" cm="1">
        <f t="array" ref="BT68">IF(INDEX($I$3:$L$22,MATCH($P68,$G$3:$G$22,0),$Q68)=BT$2,$S68+$O68+9,$S68+$O68)</f>
        <v>42612031</v>
      </c>
    </row>
    <row r="69" spans="14:72" x14ac:dyDescent="0.15">
      <c r="N69" s="1">
        <v>50002</v>
      </c>
      <c r="O69" s="1">
        <f t="shared" si="9"/>
        <v>31</v>
      </c>
      <c r="P69" s="1">
        <f t="shared" si="10"/>
        <v>401</v>
      </c>
      <c r="Q69" s="1">
        <f t="shared" si="11"/>
        <v>3</v>
      </c>
      <c r="R69" s="1" t="s">
        <v>16</v>
      </c>
      <c r="S69" s="1">
        <v>42713000</v>
      </c>
      <c r="T69" s="1" t="str">
        <f t="shared" si="12"/>
        <v>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42713040,42713031,42713031,42713031,42713031,42713031,42713031,42713031,42713031</v>
      </c>
      <c r="W69" s="1" cm="1">
        <f t="array" ref="W69">IF(INDEX($I$3:$L$22,MATCH($P69,$G$3:$G$22,0),$Q69)=W$2,$S69+$O69+9,$S69+$O69)</f>
        <v>42713031</v>
      </c>
      <c r="X69" s="1" cm="1">
        <f t="array" ref="X69">IF(INDEX($I$3:$L$22,MATCH($P69,$G$3:$G$22,0),$Q69)=X$2,$S69+$O69+9,$S69+$O69)</f>
        <v>42713031</v>
      </c>
      <c r="Y69" s="1" cm="1">
        <f t="array" ref="Y69">IF(INDEX($I$3:$L$22,MATCH($P69,$G$3:$G$22,0),$Q69)=Y$2,$S69+$O69+9,$S69+$O69)</f>
        <v>42713031</v>
      </c>
      <c r="Z69" s="1" cm="1">
        <f t="array" ref="Z69">IF(INDEX($I$3:$L$22,MATCH($P69,$G$3:$G$22,0),$Q69)=Z$2,$S69+$O69+9,$S69+$O69)</f>
        <v>42713031</v>
      </c>
      <c r="AA69" s="1" cm="1">
        <f t="array" ref="AA69">IF(INDEX($I$3:$L$22,MATCH($P69,$G$3:$G$22,0),$Q69)=AA$2,$S69+$O69+9,$S69+$O69)</f>
        <v>42713031</v>
      </c>
      <c r="AB69" s="1" cm="1">
        <f t="array" ref="AB69">IF(INDEX($I$3:$L$22,MATCH($P69,$G$3:$G$22,0),$Q69)=AB$2,$S69+$O69+9,$S69+$O69)</f>
        <v>42713031</v>
      </c>
      <c r="AC69" s="1" cm="1">
        <f t="array" ref="AC69">IF(INDEX($I$3:$L$22,MATCH($P69,$G$3:$G$22,0),$Q69)=AC$2,$S69+$O69+9,$S69+$O69)</f>
        <v>42713031</v>
      </c>
      <c r="AD69" s="1" cm="1">
        <f t="array" ref="AD69">IF(INDEX($I$3:$L$22,MATCH($P69,$G$3:$G$22,0),$Q69)=AD$2,$S69+$O69+9,$S69+$O69)</f>
        <v>42713031</v>
      </c>
      <c r="AE69" s="1" cm="1">
        <f t="array" ref="AE69">IF(INDEX($I$3:$L$22,MATCH($P69,$G$3:$G$22,0),$Q69)=AE$2,$S69+$O69+9,$S69+$O69)</f>
        <v>42713031</v>
      </c>
      <c r="AF69" s="1" cm="1">
        <f t="array" ref="AF69">IF(INDEX($I$3:$L$22,MATCH($P69,$G$3:$G$22,0),$Q69)=AF$2,$S69+$O69+9,$S69+$O69)</f>
        <v>42713031</v>
      </c>
      <c r="AG69" s="1" cm="1">
        <f t="array" ref="AG69">IF(INDEX($I$3:$L$22,MATCH($P69,$G$3:$G$22,0),$Q69)=AG$2,$S69+$O69+9,$S69+$O69)</f>
        <v>42713031</v>
      </c>
      <c r="AH69" s="1" cm="1">
        <f t="array" ref="AH69">IF(INDEX($I$3:$L$22,MATCH($P69,$G$3:$G$22,0),$Q69)=AH$2,$S69+$O69+9,$S69+$O69)</f>
        <v>42713031</v>
      </c>
      <c r="AI69" s="1" cm="1">
        <f t="array" ref="AI69">IF(INDEX($I$3:$L$22,MATCH($P69,$G$3:$G$22,0),$Q69)=AI$2,$S69+$O69+9,$S69+$O69)</f>
        <v>42713031</v>
      </c>
      <c r="AJ69" s="1" cm="1">
        <f t="array" ref="AJ69">IF(INDEX($I$3:$L$22,MATCH($P69,$G$3:$G$22,0),$Q69)=AJ$2,$S69+$O69+9,$S69+$O69)</f>
        <v>42713031</v>
      </c>
      <c r="AK69" s="1" cm="1">
        <f t="array" ref="AK69">IF(INDEX($I$3:$L$22,MATCH($P69,$G$3:$G$22,0),$Q69)=AK$2,$S69+$O69+9,$S69+$O69)</f>
        <v>42713031</v>
      </c>
      <c r="AL69" s="1" cm="1">
        <f t="array" ref="AL69">IF(INDEX($I$3:$L$22,MATCH($P69,$G$3:$G$22,0),$Q69)=AL$2,$S69+$O69+9,$S69+$O69)</f>
        <v>42713031</v>
      </c>
      <c r="AM69" s="1" cm="1">
        <f t="array" ref="AM69">IF(INDEX($I$3:$L$22,MATCH($P69,$G$3:$G$22,0),$Q69)=AM$2,$S69+$O69+9,$S69+$O69)</f>
        <v>42713031</v>
      </c>
      <c r="AN69" s="1" cm="1">
        <f t="array" ref="AN69">IF(INDEX($I$3:$L$22,MATCH($P69,$G$3:$G$22,0),$Q69)=AN$2,$S69+$O69+9,$S69+$O69)</f>
        <v>42713031</v>
      </c>
      <c r="AO69" s="1" cm="1">
        <f t="array" ref="AO69">IF(INDEX($I$3:$L$22,MATCH($P69,$G$3:$G$22,0),$Q69)=AO$2,$S69+$O69+9,$S69+$O69)</f>
        <v>42713031</v>
      </c>
      <c r="AP69" s="1" cm="1">
        <f t="array" ref="AP69">IF(INDEX($I$3:$L$22,MATCH($P69,$G$3:$G$22,0),$Q69)=AP$2,$S69+$O69+9,$S69+$O69)</f>
        <v>42713031</v>
      </c>
      <c r="AQ69" s="1" cm="1">
        <f t="array" ref="AQ69">IF(INDEX($I$3:$L$22,MATCH($P69,$G$3:$G$22,0),$Q69)=AQ$2,$S69+$O69+9,$S69+$O69)</f>
        <v>42713031</v>
      </c>
      <c r="AR69" s="1" cm="1">
        <f t="array" ref="AR69">IF(INDEX($I$3:$L$22,MATCH($P69,$G$3:$G$22,0),$Q69)=AR$2,$S69+$O69+9,$S69+$O69)</f>
        <v>42713031</v>
      </c>
      <c r="AS69" s="1" cm="1">
        <f t="array" ref="AS69">IF(INDEX($I$3:$L$22,MATCH($P69,$G$3:$G$22,0),$Q69)=AS$2,$S69+$O69+9,$S69+$O69)</f>
        <v>42713031</v>
      </c>
      <c r="AT69" s="1" cm="1">
        <f t="array" ref="AT69">IF(INDEX($I$3:$L$22,MATCH($P69,$G$3:$G$22,0),$Q69)=AT$2,$S69+$O69+9,$S69+$O69)</f>
        <v>42713031</v>
      </c>
      <c r="AU69" s="1" cm="1">
        <f t="array" ref="AU69">IF(INDEX($I$3:$L$22,MATCH($P69,$G$3:$G$22,0),$Q69)=AU$2,$S69+$O69+9,$S69+$O69)</f>
        <v>42713031</v>
      </c>
      <c r="AV69" s="1" cm="1">
        <f t="array" ref="AV69">IF(INDEX($I$3:$L$22,MATCH($P69,$G$3:$G$22,0),$Q69)=AV$2,$S69+$O69+9,$S69+$O69)</f>
        <v>42713031</v>
      </c>
      <c r="AW69" s="1" cm="1">
        <f t="array" ref="AW69">IF(INDEX($I$3:$L$22,MATCH($P69,$G$3:$G$22,0),$Q69)=AW$2,$S69+$O69+9,$S69+$O69)</f>
        <v>42713031</v>
      </c>
      <c r="AX69" s="1" cm="1">
        <f t="array" ref="AX69">IF(INDEX($I$3:$L$22,MATCH($P69,$G$3:$G$22,0),$Q69)=AX$2,$S69+$O69+9,$S69+$O69)</f>
        <v>42713031</v>
      </c>
      <c r="AY69" s="1" cm="1">
        <f t="array" ref="AY69">IF(INDEX($I$3:$L$22,MATCH($P69,$G$3:$G$22,0),$Q69)=AY$2,$S69+$O69+9,$S69+$O69)</f>
        <v>42713031</v>
      </c>
      <c r="AZ69" s="1" cm="1">
        <f t="array" ref="AZ69">IF(INDEX($I$3:$L$22,MATCH($P69,$G$3:$G$22,0),$Q69)=AZ$2,$S69+$O69+9,$S69+$O69)</f>
        <v>42713031</v>
      </c>
      <c r="BA69" s="1" cm="1">
        <f t="array" ref="BA69">IF(INDEX($I$3:$L$22,MATCH($P69,$G$3:$G$22,0),$Q69)=BA$2,$S69+$O69+9,$S69+$O69)</f>
        <v>42713031</v>
      </c>
      <c r="BB69" s="1" cm="1">
        <f t="array" ref="BB69">IF(INDEX($I$3:$L$22,MATCH($P69,$G$3:$G$22,0),$Q69)=BB$2,$S69+$O69+9,$S69+$O69)</f>
        <v>42713031</v>
      </c>
      <c r="BC69" s="1" cm="1">
        <f t="array" ref="BC69">IF(INDEX($I$3:$L$22,MATCH($P69,$G$3:$G$22,0),$Q69)=BC$2,$S69+$O69+9,$S69+$O69)</f>
        <v>42713031</v>
      </c>
      <c r="BD69" s="1" cm="1">
        <f t="array" ref="BD69">IF(INDEX($I$3:$L$22,MATCH($P69,$G$3:$G$22,0),$Q69)=BD$2,$S69+$O69+9,$S69+$O69)</f>
        <v>42713031</v>
      </c>
      <c r="BE69" s="1" cm="1">
        <f t="array" ref="BE69">IF(INDEX($I$3:$L$22,MATCH($P69,$G$3:$G$22,0),$Q69)=BE$2,$S69+$O69+9,$S69+$O69)</f>
        <v>42713031</v>
      </c>
      <c r="BF69" s="1" cm="1">
        <f t="array" ref="BF69">IF(INDEX($I$3:$L$22,MATCH($P69,$G$3:$G$22,0),$Q69)=BF$2,$S69+$O69+9,$S69+$O69)</f>
        <v>42713031</v>
      </c>
      <c r="BG69" s="1" cm="1">
        <f t="array" ref="BG69">IF(INDEX($I$3:$L$22,MATCH($P69,$G$3:$G$22,0),$Q69)=BG$2,$S69+$O69+9,$S69+$O69)</f>
        <v>42713031</v>
      </c>
      <c r="BH69" s="1" cm="1">
        <f t="array" ref="BH69">IF(INDEX($I$3:$L$22,MATCH($P69,$G$3:$G$22,0),$Q69)=BH$2,$S69+$O69+9,$S69+$O69)</f>
        <v>42713031</v>
      </c>
      <c r="BI69" s="1" cm="1">
        <f t="array" ref="BI69">IF(INDEX($I$3:$L$22,MATCH($P69,$G$3:$G$22,0),$Q69)=BI$2,$S69+$O69+9,$S69+$O69)</f>
        <v>42713031</v>
      </c>
      <c r="BJ69" s="1" cm="1">
        <f t="array" ref="BJ69">IF(INDEX($I$3:$L$22,MATCH($P69,$G$3:$G$22,0),$Q69)=BJ$2,$S69+$O69+9,$S69+$O69)</f>
        <v>42713031</v>
      </c>
      <c r="BK69" s="1" cm="1">
        <f t="array" ref="BK69">IF(INDEX($I$3:$L$22,MATCH($P69,$G$3:$G$22,0),$Q69)=BK$2,$S69+$O69+9,$S69+$O69)</f>
        <v>42713031</v>
      </c>
      <c r="BL69" s="1" cm="1">
        <f t="array" ref="BL69">IF(INDEX($I$3:$L$22,MATCH($P69,$G$3:$G$22,0),$Q69)=BL$2,$S69+$O69+9,$S69+$O69)</f>
        <v>42713040</v>
      </c>
      <c r="BM69" s="1" cm="1">
        <f t="array" ref="BM69">IF(INDEX($I$3:$L$22,MATCH($P69,$G$3:$G$22,0),$Q69)=BM$2,$S69+$O69+9,$S69+$O69)</f>
        <v>42713031</v>
      </c>
      <c r="BN69" s="1" cm="1">
        <f t="array" ref="BN69">IF(INDEX($I$3:$L$22,MATCH($P69,$G$3:$G$22,0),$Q69)=BN$2,$S69+$O69+9,$S69+$O69)</f>
        <v>42713031</v>
      </c>
      <c r="BO69" s="1" cm="1">
        <f t="array" ref="BO69">IF(INDEX($I$3:$L$22,MATCH($P69,$G$3:$G$22,0),$Q69)=BO$2,$S69+$O69+9,$S69+$O69)</f>
        <v>42713031</v>
      </c>
      <c r="BP69" s="1" cm="1">
        <f t="array" ref="BP69">IF(INDEX($I$3:$L$22,MATCH($P69,$G$3:$G$22,0),$Q69)=BP$2,$S69+$O69+9,$S69+$O69)</f>
        <v>42713031</v>
      </c>
      <c r="BQ69" s="1" cm="1">
        <f t="array" ref="BQ69">IF(INDEX($I$3:$L$22,MATCH($P69,$G$3:$G$22,0),$Q69)=BQ$2,$S69+$O69+9,$S69+$O69)</f>
        <v>42713031</v>
      </c>
      <c r="BR69" s="1" cm="1">
        <f t="array" ref="BR69">IF(INDEX($I$3:$L$22,MATCH($P69,$G$3:$G$22,0),$Q69)=BR$2,$S69+$O69+9,$S69+$O69)</f>
        <v>42713031</v>
      </c>
      <c r="BS69" s="1" cm="1">
        <f t="array" ref="BS69">IF(INDEX($I$3:$L$22,MATCH($P69,$G$3:$G$22,0),$Q69)=BS$2,$S69+$O69+9,$S69+$O69)</f>
        <v>42713031</v>
      </c>
      <c r="BT69" s="1" cm="1">
        <f t="array" ref="BT69">IF(INDEX($I$3:$L$22,MATCH($P69,$G$3:$G$22,0),$Q69)=BT$2,$S69+$O69+9,$S69+$O69)</f>
        <v>42713031</v>
      </c>
    </row>
    <row r="70" spans="14:72" x14ac:dyDescent="0.15">
      <c r="N70" s="1">
        <v>50002</v>
      </c>
      <c r="O70" s="1">
        <f t="shared" si="9"/>
        <v>31</v>
      </c>
      <c r="P70" s="1">
        <f t="shared" si="10"/>
        <v>401</v>
      </c>
      <c r="Q70" s="1">
        <f t="shared" si="11"/>
        <v>4</v>
      </c>
      <c r="R70" s="1" t="s">
        <v>15</v>
      </c>
      <c r="S70" s="1">
        <v>42716000</v>
      </c>
      <c r="T70" s="1" t="str">
        <f t="shared" si="12"/>
        <v>42716031,42716031,42716031,42716031,42716031,42716031,42716031,42716031,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0" s="1" cm="1">
        <f t="array" ref="W70">IF(INDEX($I$3:$L$22,MATCH($P70,$G$3:$G$22,0),$Q70)=W$2,$S70+$O70+9,$S70+$O70)</f>
        <v>42716031</v>
      </c>
      <c r="X70" s="1" cm="1">
        <f t="array" ref="X70">IF(INDEX($I$3:$L$22,MATCH($P70,$G$3:$G$22,0),$Q70)=X$2,$S70+$O70+9,$S70+$O70)</f>
        <v>42716031</v>
      </c>
      <c r="Y70" s="1" cm="1">
        <f t="array" ref="Y70">IF(INDEX($I$3:$L$22,MATCH($P70,$G$3:$G$22,0),$Q70)=Y$2,$S70+$O70+9,$S70+$O70)</f>
        <v>42716031</v>
      </c>
      <c r="Z70" s="1" cm="1">
        <f t="array" ref="Z70">IF(INDEX($I$3:$L$22,MATCH($P70,$G$3:$G$22,0),$Q70)=Z$2,$S70+$O70+9,$S70+$O70)</f>
        <v>42716031</v>
      </c>
      <c r="AA70" s="1" cm="1">
        <f t="array" ref="AA70">IF(INDEX($I$3:$L$22,MATCH($P70,$G$3:$G$22,0),$Q70)=AA$2,$S70+$O70+9,$S70+$O70)</f>
        <v>42716031</v>
      </c>
      <c r="AB70" s="1" cm="1">
        <f t="array" ref="AB70">IF(INDEX($I$3:$L$22,MATCH($P70,$G$3:$G$22,0),$Q70)=AB$2,$S70+$O70+9,$S70+$O70)</f>
        <v>42716031</v>
      </c>
      <c r="AC70" s="1" cm="1">
        <f t="array" ref="AC70">IF(INDEX($I$3:$L$22,MATCH($P70,$G$3:$G$22,0),$Q70)=AC$2,$S70+$O70+9,$S70+$O70)</f>
        <v>42716031</v>
      </c>
      <c r="AD70" s="1" cm="1">
        <f t="array" ref="AD70">IF(INDEX($I$3:$L$22,MATCH($P70,$G$3:$G$22,0),$Q70)=AD$2,$S70+$O70+9,$S70+$O70)</f>
        <v>42716031</v>
      </c>
      <c r="AE70" s="1" cm="1">
        <f t="array" ref="AE70">IF(INDEX($I$3:$L$22,MATCH($P70,$G$3:$G$22,0),$Q70)=AE$2,$S70+$O70+9,$S70+$O70)</f>
        <v>42716031</v>
      </c>
      <c r="AF70" s="1" cm="1">
        <f t="array" ref="AF70">IF(INDEX($I$3:$L$22,MATCH($P70,$G$3:$G$22,0),$Q70)=AF$2,$S70+$O70+9,$S70+$O70)</f>
        <v>42716031</v>
      </c>
      <c r="AG70" s="1" cm="1">
        <f t="array" ref="AG70">IF(INDEX($I$3:$L$22,MATCH($P70,$G$3:$G$22,0),$Q70)=AG$2,$S70+$O70+9,$S70+$O70)</f>
        <v>42716031</v>
      </c>
      <c r="AH70" s="1" cm="1">
        <f t="array" ref="AH70">IF(INDEX($I$3:$L$22,MATCH($P70,$G$3:$G$22,0),$Q70)=AH$2,$S70+$O70+9,$S70+$O70)</f>
        <v>42716031</v>
      </c>
      <c r="AI70" s="1" cm="1">
        <f t="array" ref="AI70">IF(INDEX($I$3:$L$22,MATCH($P70,$G$3:$G$22,0),$Q70)=AI$2,$S70+$O70+9,$S70+$O70)</f>
        <v>42716031</v>
      </c>
      <c r="AJ70" s="1" cm="1">
        <f t="array" ref="AJ70">IF(INDEX($I$3:$L$22,MATCH($P70,$G$3:$G$22,0),$Q70)=AJ$2,$S70+$O70+9,$S70+$O70)</f>
        <v>42716040</v>
      </c>
      <c r="AK70" s="1" cm="1">
        <f t="array" ref="AK70">IF(INDEX($I$3:$L$22,MATCH($P70,$G$3:$G$22,0),$Q70)=AK$2,$S70+$O70+9,$S70+$O70)</f>
        <v>42716031</v>
      </c>
      <c r="AL70" s="1" cm="1">
        <f t="array" ref="AL70">IF(INDEX($I$3:$L$22,MATCH($P70,$G$3:$G$22,0),$Q70)=AL$2,$S70+$O70+9,$S70+$O70)</f>
        <v>42716031</v>
      </c>
      <c r="AM70" s="1" cm="1">
        <f t="array" ref="AM70">IF(INDEX($I$3:$L$22,MATCH($P70,$G$3:$G$22,0),$Q70)=AM$2,$S70+$O70+9,$S70+$O70)</f>
        <v>42716031</v>
      </c>
      <c r="AN70" s="1" cm="1">
        <f t="array" ref="AN70">IF(INDEX($I$3:$L$22,MATCH($P70,$G$3:$G$22,0),$Q70)=AN$2,$S70+$O70+9,$S70+$O70)</f>
        <v>42716031</v>
      </c>
      <c r="AO70" s="1" cm="1">
        <f t="array" ref="AO70">IF(INDEX($I$3:$L$22,MATCH($P70,$G$3:$G$22,0),$Q70)=AO$2,$S70+$O70+9,$S70+$O70)</f>
        <v>42716031</v>
      </c>
      <c r="AP70" s="1" cm="1">
        <f t="array" ref="AP70">IF(INDEX($I$3:$L$22,MATCH($P70,$G$3:$G$22,0),$Q70)=AP$2,$S70+$O70+9,$S70+$O70)</f>
        <v>42716031</v>
      </c>
      <c r="AQ70" s="1" cm="1">
        <f t="array" ref="AQ70">IF(INDEX($I$3:$L$22,MATCH($P70,$G$3:$G$22,0),$Q70)=AQ$2,$S70+$O70+9,$S70+$O70)</f>
        <v>42716031</v>
      </c>
      <c r="AR70" s="1" cm="1">
        <f t="array" ref="AR70">IF(INDEX($I$3:$L$22,MATCH($P70,$G$3:$G$22,0),$Q70)=AR$2,$S70+$O70+9,$S70+$O70)</f>
        <v>42716031</v>
      </c>
      <c r="AS70" s="1" cm="1">
        <f t="array" ref="AS70">IF(INDEX($I$3:$L$22,MATCH($P70,$G$3:$G$22,0),$Q70)=AS$2,$S70+$O70+9,$S70+$O70)</f>
        <v>42716031</v>
      </c>
      <c r="AT70" s="1" cm="1">
        <f t="array" ref="AT70">IF(INDEX($I$3:$L$22,MATCH($P70,$G$3:$G$22,0),$Q70)=AT$2,$S70+$O70+9,$S70+$O70)</f>
        <v>42716031</v>
      </c>
      <c r="AU70" s="1" cm="1">
        <f t="array" ref="AU70">IF(INDEX($I$3:$L$22,MATCH($P70,$G$3:$G$22,0),$Q70)=AU$2,$S70+$O70+9,$S70+$O70)</f>
        <v>42716031</v>
      </c>
      <c r="AV70" s="1" cm="1">
        <f t="array" ref="AV70">IF(INDEX($I$3:$L$22,MATCH($P70,$G$3:$G$22,0),$Q70)=AV$2,$S70+$O70+9,$S70+$O70)</f>
        <v>42716031</v>
      </c>
      <c r="AW70" s="1" cm="1">
        <f t="array" ref="AW70">IF(INDEX($I$3:$L$22,MATCH($P70,$G$3:$G$22,0),$Q70)=AW$2,$S70+$O70+9,$S70+$O70)</f>
        <v>42716031</v>
      </c>
      <c r="AX70" s="1" cm="1">
        <f t="array" ref="AX70">IF(INDEX($I$3:$L$22,MATCH($P70,$G$3:$G$22,0),$Q70)=AX$2,$S70+$O70+9,$S70+$O70)</f>
        <v>42716031</v>
      </c>
      <c r="AY70" s="1" cm="1">
        <f t="array" ref="AY70">IF(INDEX($I$3:$L$22,MATCH($P70,$G$3:$G$22,0),$Q70)=AY$2,$S70+$O70+9,$S70+$O70)</f>
        <v>42716031</v>
      </c>
      <c r="AZ70" s="1" cm="1">
        <f t="array" ref="AZ70">IF(INDEX($I$3:$L$22,MATCH($P70,$G$3:$G$22,0),$Q70)=AZ$2,$S70+$O70+9,$S70+$O70)</f>
        <v>42716031</v>
      </c>
      <c r="BA70" s="1" cm="1">
        <f t="array" ref="BA70">IF(INDEX($I$3:$L$22,MATCH($P70,$G$3:$G$22,0),$Q70)=BA$2,$S70+$O70+9,$S70+$O70)</f>
        <v>42716031</v>
      </c>
      <c r="BB70" s="1" cm="1">
        <f t="array" ref="BB70">IF(INDEX($I$3:$L$22,MATCH($P70,$G$3:$G$22,0),$Q70)=BB$2,$S70+$O70+9,$S70+$O70)</f>
        <v>42716031</v>
      </c>
      <c r="BC70" s="1" cm="1">
        <f t="array" ref="BC70">IF(INDEX($I$3:$L$22,MATCH($P70,$G$3:$G$22,0),$Q70)=BC$2,$S70+$O70+9,$S70+$O70)</f>
        <v>42716031</v>
      </c>
      <c r="BD70" s="1" cm="1">
        <f t="array" ref="BD70">IF(INDEX($I$3:$L$22,MATCH($P70,$G$3:$G$22,0),$Q70)=BD$2,$S70+$O70+9,$S70+$O70)</f>
        <v>42716031</v>
      </c>
      <c r="BE70" s="1" cm="1">
        <f t="array" ref="BE70">IF(INDEX($I$3:$L$22,MATCH($P70,$G$3:$G$22,0),$Q70)=BE$2,$S70+$O70+9,$S70+$O70)</f>
        <v>42716031</v>
      </c>
      <c r="BF70" s="1" cm="1">
        <f t="array" ref="BF70">IF(INDEX($I$3:$L$22,MATCH($P70,$G$3:$G$22,0),$Q70)=BF$2,$S70+$O70+9,$S70+$O70)</f>
        <v>42716031</v>
      </c>
      <c r="BG70" s="1" cm="1">
        <f t="array" ref="BG70">IF(INDEX($I$3:$L$22,MATCH($P70,$G$3:$G$22,0),$Q70)=BG$2,$S70+$O70+9,$S70+$O70)</f>
        <v>42716031</v>
      </c>
      <c r="BH70" s="1" cm="1">
        <f t="array" ref="BH70">IF(INDEX($I$3:$L$22,MATCH($P70,$G$3:$G$22,0),$Q70)=BH$2,$S70+$O70+9,$S70+$O70)</f>
        <v>42716031</v>
      </c>
      <c r="BI70" s="1" cm="1">
        <f t="array" ref="BI70">IF(INDEX($I$3:$L$22,MATCH($P70,$G$3:$G$22,0),$Q70)=BI$2,$S70+$O70+9,$S70+$O70)</f>
        <v>42716031</v>
      </c>
      <c r="BJ70" s="1" cm="1">
        <f t="array" ref="BJ70">IF(INDEX($I$3:$L$22,MATCH($P70,$G$3:$G$22,0),$Q70)=BJ$2,$S70+$O70+9,$S70+$O70)</f>
        <v>42716031</v>
      </c>
      <c r="BK70" s="1" cm="1">
        <f t="array" ref="BK70">IF(INDEX($I$3:$L$22,MATCH($P70,$G$3:$G$22,0),$Q70)=BK$2,$S70+$O70+9,$S70+$O70)</f>
        <v>42716031</v>
      </c>
      <c r="BL70" s="1" cm="1">
        <f t="array" ref="BL70">IF(INDEX($I$3:$L$22,MATCH($P70,$G$3:$G$22,0),$Q70)=BL$2,$S70+$O70+9,$S70+$O70)</f>
        <v>42716031</v>
      </c>
      <c r="BM70" s="1" cm="1">
        <f t="array" ref="BM70">IF(INDEX($I$3:$L$22,MATCH($P70,$G$3:$G$22,0),$Q70)=BM$2,$S70+$O70+9,$S70+$O70)</f>
        <v>42716031</v>
      </c>
      <c r="BN70" s="1" cm="1">
        <f t="array" ref="BN70">IF(INDEX($I$3:$L$22,MATCH($P70,$G$3:$G$22,0),$Q70)=BN$2,$S70+$O70+9,$S70+$O70)</f>
        <v>42716031</v>
      </c>
      <c r="BO70" s="1" cm="1">
        <f t="array" ref="BO70">IF(INDEX($I$3:$L$22,MATCH($P70,$G$3:$G$22,0),$Q70)=BO$2,$S70+$O70+9,$S70+$O70)</f>
        <v>42716031</v>
      </c>
      <c r="BP70" s="1" cm="1">
        <f t="array" ref="BP70">IF(INDEX($I$3:$L$22,MATCH($P70,$G$3:$G$22,0),$Q70)=BP$2,$S70+$O70+9,$S70+$O70)</f>
        <v>42716031</v>
      </c>
      <c r="BQ70" s="1" cm="1">
        <f t="array" ref="BQ70">IF(INDEX($I$3:$L$22,MATCH($P70,$G$3:$G$22,0),$Q70)=BQ$2,$S70+$O70+9,$S70+$O70)</f>
        <v>42716031</v>
      </c>
      <c r="BR70" s="1" cm="1">
        <f t="array" ref="BR70">IF(INDEX($I$3:$L$22,MATCH($P70,$G$3:$G$22,0),$Q70)=BR$2,$S70+$O70+9,$S70+$O70)</f>
        <v>42716031</v>
      </c>
      <c r="BS70" s="1" cm="1">
        <f t="array" ref="BS70">IF(INDEX($I$3:$L$22,MATCH($P70,$G$3:$G$22,0),$Q70)=BS$2,$S70+$O70+9,$S70+$O70)</f>
        <v>42716031</v>
      </c>
      <c r="BT70" s="1" cm="1">
        <f t="array" ref="BT70">IF(INDEX($I$3:$L$22,MATCH($P70,$G$3:$G$22,0),$Q70)=BT$2,$S70+$O70+9,$S70+$O70)</f>
        <v>42716031</v>
      </c>
    </row>
    <row r="71" spans="14:72" x14ac:dyDescent="0.15">
      <c r="N71" s="1">
        <v>50002</v>
      </c>
      <c r="O71" s="1">
        <f t="shared" si="9"/>
        <v>31</v>
      </c>
      <c r="P71" s="1">
        <f t="shared" si="10"/>
        <v>402</v>
      </c>
      <c r="Q71" s="1">
        <f t="shared" si="11"/>
        <v>1</v>
      </c>
      <c r="R71" s="1" t="s">
        <v>18</v>
      </c>
      <c r="S71" s="1">
        <v>42711000</v>
      </c>
      <c r="T71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1" s="1" cm="1">
        <f t="array" ref="W71">IF(INDEX($I$3:$L$22,MATCH($P71,$G$3:$G$22,0),$Q71)=W$2,$S71+$O71+9,$S71+$O71)</f>
        <v>42711031</v>
      </c>
      <c r="X71" s="1" cm="1">
        <f t="array" ref="X71">IF(INDEX($I$3:$L$22,MATCH($P71,$G$3:$G$22,0),$Q71)=X$2,$S71+$O71+9,$S71+$O71)</f>
        <v>42711031</v>
      </c>
      <c r="Y71" s="1" cm="1">
        <f t="array" ref="Y71">IF(INDEX($I$3:$L$22,MATCH($P71,$G$3:$G$22,0),$Q71)=Y$2,$S71+$O71+9,$S71+$O71)</f>
        <v>42711031</v>
      </c>
      <c r="Z71" s="1" cm="1">
        <f t="array" ref="Z71">IF(INDEX($I$3:$L$22,MATCH($P71,$G$3:$G$22,0),$Q71)=Z$2,$S71+$O71+9,$S71+$O71)</f>
        <v>42711031</v>
      </c>
      <c r="AA71" s="1" cm="1">
        <f t="array" ref="AA71">IF(INDEX($I$3:$L$22,MATCH($P71,$G$3:$G$22,0),$Q71)=AA$2,$S71+$O71+9,$S71+$O71)</f>
        <v>42711031</v>
      </c>
      <c r="AB71" s="1" cm="1">
        <f t="array" ref="AB71">IF(INDEX($I$3:$L$22,MATCH($P71,$G$3:$G$22,0),$Q71)=AB$2,$S71+$O71+9,$S71+$O71)</f>
        <v>42711031</v>
      </c>
      <c r="AC71" s="1" cm="1">
        <f t="array" ref="AC71">IF(INDEX($I$3:$L$22,MATCH($P71,$G$3:$G$22,0),$Q71)=AC$2,$S71+$O71+9,$S71+$O71)</f>
        <v>42711031</v>
      </c>
      <c r="AD71" s="1" cm="1">
        <f t="array" ref="AD71">IF(INDEX($I$3:$L$22,MATCH($P71,$G$3:$G$22,0),$Q71)=AD$2,$S71+$O71+9,$S71+$O71)</f>
        <v>42711031</v>
      </c>
      <c r="AE71" s="1" cm="1">
        <f t="array" ref="AE71">IF(INDEX($I$3:$L$22,MATCH($P71,$G$3:$G$22,0),$Q71)=AE$2,$S71+$O71+9,$S71+$O71)</f>
        <v>42711031</v>
      </c>
      <c r="AF71" s="1" cm="1">
        <f t="array" ref="AF71">IF(INDEX($I$3:$L$22,MATCH($P71,$G$3:$G$22,0),$Q71)=AF$2,$S71+$O71+9,$S71+$O71)</f>
        <v>42711031</v>
      </c>
      <c r="AG71" s="1" cm="1">
        <f t="array" ref="AG71">IF(INDEX($I$3:$L$22,MATCH($P71,$G$3:$G$22,0),$Q71)=AG$2,$S71+$O71+9,$S71+$O71)</f>
        <v>42711031</v>
      </c>
      <c r="AH71" s="1" cm="1">
        <f t="array" ref="AH71">IF(INDEX($I$3:$L$22,MATCH($P71,$G$3:$G$22,0),$Q71)=AH$2,$S71+$O71+9,$S71+$O71)</f>
        <v>42711031</v>
      </c>
      <c r="AI71" s="1" cm="1">
        <f t="array" ref="AI71">IF(INDEX($I$3:$L$22,MATCH($P71,$G$3:$G$22,0),$Q71)=AI$2,$S71+$O71+9,$S71+$O71)</f>
        <v>42711031</v>
      </c>
      <c r="AJ71" s="1" cm="1">
        <f t="array" ref="AJ71">IF(INDEX($I$3:$L$22,MATCH($P71,$G$3:$G$22,0),$Q71)=AJ$2,$S71+$O71+9,$S71+$O71)</f>
        <v>42711031</v>
      </c>
      <c r="AK71" s="1" cm="1">
        <f t="array" ref="AK71">IF(INDEX($I$3:$L$22,MATCH($P71,$G$3:$G$22,0),$Q71)=AK$2,$S71+$O71+9,$S71+$O71)</f>
        <v>42711031</v>
      </c>
      <c r="AL71" s="1" cm="1">
        <f t="array" ref="AL71">IF(INDEX($I$3:$L$22,MATCH($P71,$G$3:$G$22,0),$Q71)=AL$2,$S71+$O71+9,$S71+$O71)</f>
        <v>42711031</v>
      </c>
      <c r="AM71" s="1" cm="1">
        <f t="array" ref="AM71">IF(INDEX($I$3:$L$22,MATCH($P71,$G$3:$G$22,0),$Q71)=AM$2,$S71+$O71+9,$S71+$O71)</f>
        <v>42711031</v>
      </c>
      <c r="AN71" s="1" cm="1">
        <f t="array" ref="AN71">IF(INDEX($I$3:$L$22,MATCH($P71,$G$3:$G$22,0),$Q71)=AN$2,$S71+$O71+9,$S71+$O71)</f>
        <v>42711031</v>
      </c>
      <c r="AO71" s="1" cm="1">
        <f t="array" ref="AO71">IF(INDEX($I$3:$L$22,MATCH($P71,$G$3:$G$22,0),$Q71)=AO$2,$S71+$O71+9,$S71+$O71)</f>
        <v>42711031</v>
      </c>
      <c r="AP71" s="1" cm="1">
        <f t="array" ref="AP71">IF(INDEX($I$3:$L$22,MATCH($P71,$G$3:$G$22,0),$Q71)=AP$2,$S71+$O71+9,$S71+$O71)</f>
        <v>42711031</v>
      </c>
      <c r="AQ71" s="1" cm="1">
        <f t="array" ref="AQ71">IF(INDEX($I$3:$L$22,MATCH($P71,$G$3:$G$22,0),$Q71)=AQ$2,$S71+$O71+9,$S71+$O71)</f>
        <v>42711031</v>
      </c>
      <c r="AR71" s="1" cm="1">
        <f t="array" ref="AR71">IF(INDEX($I$3:$L$22,MATCH($P71,$G$3:$G$22,0),$Q71)=AR$2,$S71+$O71+9,$S71+$O71)</f>
        <v>42711031</v>
      </c>
      <c r="AS71" s="1" cm="1">
        <f t="array" ref="AS71">IF(INDEX($I$3:$L$22,MATCH($P71,$G$3:$G$22,0),$Q71)=AS$2,$S71+$O71+9,$S71+$O71)</f>
        <v>42711031</v>
      </c>
      <c r="AT71" s="1" cm="1">
        <f t="array" ref="AT71">IF(INDEX($I$3:$L$22,MATCH($P71,$G$3:$G$22,0),$Q71)=AT$2,$S71+$O71+9,$S71+$O71)</f>
        <v>42711031</v>
      </c>
      <c r="AU71" s="1" cm="1">
        <f t="array" ref="AU71">IF(INDEX($I$3:$L$22,MATCH($P71,$G$3:$G$22,0),$Q71)=AU$2,$S71+$O71+9,$S71+$O71)</f>
        <v>42711031</v>
      </c>
      <c r="AV71" s="1" cm="1">
        <f t="array" ref="AV71">IF(INDEX($I$3:$L$22,MATCH($P71,$G$3:$G$22,0),$Q71)=AV$2,$S71+$O71+9,$S71+$O71)</f>
        <v>42711031</v>
      </c>
      <c r="AW71" s="1" cm="1">
        <f t="array" ref="AW71">IF(INDEX($I$3:$L$22,MATCH($P71,$G$3:$G$22,0),$Q71)=AW$2,$S71+$O71+9,$S71+$O71)</f>
        <v>42711031</v>
      </c>
      <c r="AX71" s="1" cm="1">
        <f t="array" ref="AX71">IF(INDEX($I$3:$L$22,MATCH($P71,$G$3:$G$22,0),$Q71)=AX$2,$S71+$O71+9,$S71+$O71)</f>
        <v>42711031</v>
      </c>
      <c r="AY71" s="1" cm="1">
        <f t="array" ref="AY71">IF(INDEX($I$3:$L$22,MATCH($P71,$G$3:$G$22,0),$Q71)=AY$2,$S71+$O71+9,$S71+$O71)</f>
        <v>42711031</v>
      </c>
      <c r="AZ71" s="1" cm="1">
        <f t="array" ref="AZ71">IF(INDEX($I$3:$L$22,MATCH($P71,$G$3:$G$22,0),$Q71)=AZ$2,$S71+$O71+9,$S71+$O71)</f>
        <v>42711031</v>
      </c>
      <c r="BA71" s="1" cm="1">
        <f t="array" ref="BA71">IF(INDEX($I$3:$L$22,MATCH($P71,$G$3:$G$22,0),$Q71)=BA$2,$S71+$O71+9,$S71+$O71)</f>
        <v>42711031</v>
      </c>
      <c r="BB71" s="1" cm="1">
        <f t="array" ref="BB71">IF(INDEX($I$3:$L$22,MATCH($P71,$G$3:$G$22,0),$Q71)=BB$2,$S71+$O71+9,$S71+$O71)</f>
        <v>42711031</v>
      </c>
      <c r="BC71" s="1" cm="1">
        <f t="array" ref="BC71">IF(INDEX($I$3:$L$22,MATCH($P71,$G$3:$G$22,0),$Q71)=BC$2,$S71+$O71+9,$S71+$O71)</f>
        <v>42711031</v>
      </c>
      <c r="BD71" s="1" cm="1">
        <f t="array" ref="BD71">IF(INDEX($I$3:$L$22,MATCH($P71,$G$3:$G$22,0),$Q71)=BD$2,$S71+$O71+9,$S71+$O71)</f>
        <v>42711031</v>
      </c>
      <c r="BE71" s="1" cm="1">
        <f t="array" ref="BE71">IF(INDEX($I$3:$L$22,MATCH($P71,$G$3:$G$22,0),$Q71)=BE$2,$S71+$O71+9,$S71+$O71)</f>
        <v>42711031</v>
      </c>
      <c r="BF71" s="1" cm="1">
        <f t="array" ref="BF71">IF(INDEX($I$3:$L$22,MATCH($P71,$G$3:$G$22,0),$Q71)=BF$2,$S71+$O71+9,$S71+$O71)</f>
        <v>42711031</v>
      </c>
      <c r="BG71" s="1" cm="1">
        <f t="array" ref="BG71">IF(INDEX($I$3:$L$22,MATCH($P71,$G$3:$G$22,0),$Q71)=BG$2,$S71+$O71+9,$S71+$O71)</f>
        <v>42711031</v>
      </c>
      <c r="BH71" s="1" cm="1">
        <f t="array" ref="BH71">IF(INDEX($I$3:$L$22,MATCH($P71,$G$3:$G$22,0),$Q71)=BH$2,$S71+$O71+9,$S71+$O71)</f>
        <v>42711031</v>
      </c>
      <c r="BI71" s="1" cm="1">
        <f t="array" ref="BI71">IF(INDEX($I$3:$L$22,MATCH($P71,$G$3:$G$22,0),$Q71)=BI$2,$S71+$O71+9,$S71+$O71)</f>
        <v>42711031</v>
      </c>
      <c r="BJ71" s="1" cm="1">
        <f t="array" ref="BJ71">IF(INDEX($I$3:$L$22,MATCH($P71,$G$3:$G$22,0),$Q71)=BJ$2,$S71+$O71+9,$S71+$O71)</f>
        <v>42711031</v>
      </c>
      <c r="BK71" s="1" cm="1">
        <f t="array" ref="BK71">IF(INDEX($I$3:$L$22,MATCH($P71,$G$3:$G$22,0),$Q71)=BK$2,$S71+$O71+9,$S71+$O71)</f>
        <v>42711031</v>
      </c>
      <c r="BL71" s="1" cm="1">
        <f t="array" ref="BL71">IF(INDEX($I$3:$L$22,MATCH($P71,$G$3:$G$22,0),$Q71)=BL$2,$S71+$O71+9,$S71+$O71)</f>
        <v>42711031</v>
      </c>
      <c r="BM71" s="1" cm="1">
        <f t="array" ref="BM71">IF(INDEX($I$3:$L$22,MATCH($P71,$G$3:$G$22,0),$Q71)=BM$2,$S71+$O71+9,$S71+$O71)</f>
        <v>42711031</v>
      </c>
      <c r="BN71" s="1" cm="1">
        <f t="array" ref="BN71">IF(INDEX($I$3:$L$22,MATCH($P71,$G$3:$G$22,0),$Q71)=BN$2,$S71+$O71+9,$S71+$O71)</f>
        <v>42711031</v>
      </c>
      <c r="BO71" s="1" cm="1">
        <f t="array" ref="BO71">IF(INDEX($I$3:$L$22,MATCH($P71,$G$3:$G$22,0),$Q71)=BO$2,$S71+$O71+9,$S71+$O71)</f>
        <v>42711031</v>
      </c>
      <c r="BP71" s="1" cm="1">
        <f t="array" ref="BP71">IF(INDEX($I$3:$L$22,MATCH($P71,$G$3:$G$22,0),$Q71)=BP$2,$S71+$O71+9,$S71+$O71)</f>
        <v>42711031</v>
      </c>
      <c r="BQ71" s="1" cm="1">
        <f t="array" ref="BQ71">IF(INDEX($I$3:$L$22,MATCH($P71,$G$3:$G$22,0),$Q71)=BQ$2,$S71+$O71+9,$S71+$O71)</f>
        <v>42711031</v>
      </c>
      <c r="BR71" s="1" cm="1">
        <f t="array" ref="BR71">IF(INDEX($I$3:$L$22,MATCH($P71,$G$3:$G$22,0),$Q71)=BR$2,$S71+$O71+9,$S71+$O71)</f>
        <v>42711031</v>
      </c>
      <c r="BS71" s="1" cm="1">
        <f t="array" ref="BS71">IF(INDEX($I$3:$L$22,MATCH($P71,$G$3:$G$22,0),$Q71)=BS$2,$S71+$O71+9,$S71+$O71)</f>
        <v>42711031</v>
      </c>
      <c r="BT71" s="1" cm="1">
        <f t="array" ref="BT71">IF(INDEX($I$3:$L$22,MATCH($P71,$G$3:$G$22,0),$Q71)=BT$2,$S71+$O71+9,$S71+$O71)</f>
        <v>42711040</v>
      </c>
    </row>
    <row r="72" spans="14:72" x14ac:dyDescent="0.15">
      <c r="N72" s="1">
        <v>50002</v>
      </c>
      <c r="O72" s="1">
        <f t="shared" si="9"/>
        <v>31</v>
      </c>
      <c r="P72" s="1">
        <f t="shared" si="10"/>
        <v>402</v>
      </c>
      <c r="Q72" s="1">
        <f t="shared" si="11"/>
        <v>2</v>
      </c>
      <c r="R72" s="1" t="s">
        <v>17</v>
      </c>
      <c r="S72" s="1">
        <v>42612000</v>
      </c>
      <c r="T72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</v>
      </c>
      <c r="W72" s="1" cm="1">
        <f t="array" ref="W72">IF(INDEX($I$3:$L$22,MATCH($P72,$G$3:$G$22,0),$Q72)=W$2,$S72+$O72+9,$S72+$O72)</f>
        <v>42612031</v>
      </c>
      <c r="X72" s="1" cm="1">
        <f t="array" ref="X72">IF(INDEX($I$3:$L$22,MATCH($P72,$G$3:$G$22,0),$Q72)=X$2,$S72+$O72+9,$S72+$O72)</f>
        <v>42612031</v>
      </c>
      <c r="Y72" s="1" cm="1">
        <f t="array" ref="Y72">IF(INDEX($I$3:$L$22,MATCH($P72,$G$3:$G$22,0),$Q72)=Y$2,$S72+$O72+9,$S72+$O72)</f>
        <v>42612031</v>
      </c>
      <c r="Z72" s="1" cm="1">
        <f t="array" ref="Z72">IF(INDEX($I$3:$L$22,MATCH($P72,$G$3:$G$22,0),$Q72)=Z$2,$S72+$O72+9,$S72+$O72)</f>
        <v>42612031</v>
      </c>
      <c r="AA72" s="1" cm="1">
        <f t="array" ref="AA72">IF(INDEX($I$3:$L$22,MATCH($P72,$G$3:$G$22,0),$Q72)=AA$2,$S72+$O72+9,$S72+$O72)</f>
        <v>42612031</v>
      </c>
      <c r="AB72" s="1" cm="1">
        <f t="array" ref="AB72">IF(INDEX($I$3:$L$22,MATCH($P72,$G$3:$G$22,0),$Q72)=AB$2,$S72+$O72+9,$S72+$O72)</f>
        <v>42612031</v>
      </c>
      <c r="AC72" s="1" cm="1">
        <f t="array" ref="AC72">IF(INDEX($I$3:$L$22,MATCH($P72,$G$3:$G$22,0),$Q72)=AC$2,$S72+$O72+9,$S72+$O72)</f>
        <v>42612031</v>
      </c>
      <c r="AD72" s="1" cm="1">
        <f t="array" ref="AD72">IF(INDEX($I$3:$L$22,MATCH($P72,$G$3:$G$22,0),$Q72)=AD$2,$S72+$O72+9,$S72+$O72)</f>
        <v>42612031</v>
      </c>
      <c r="AE72" s="1" cm="1">
        <f t="array" ref="AE72">IF(INDEX($I$3:$L$22,MATCH($P72,$G$3:$G$22,0),$Q72)=AE$2,$S72+$O72+9,$S72+$O72)</f>
        <v>42612031</v>
      </c>
      <c r="AF72" s="1" cm="1">
        <f t="array" ref="AF72">IF(INDEX($I$3:$L$22,MATCH($P72,$G$3:$G$22,0),$Q72)=AF$2,$S72+$O72+9,$S72+$O72)</f>
        <v>42612031</v>
      </c>
      <c r="AG72" s="1" cm="1">
        <f t="array" ref="AG72">IF(INDEX($I$3:$L$22,MATCH($P72,$G$3:$G$22,0),$Q72)=AG$2,$S72+$O72+9,$S72+$O72)</f>
        <v>42612031</v>
      </c>
      <c r="AH72" s="1" cm="1">
        <f t="array" ref="AH72">IF(INDEX($I$3:$L$22,MATCH($P72,$G$3:$G$22,0),$Q72)=AH$2,$S72+$O72+9,$S72+$O72)</f>
        <v>42612031</v>
      </c>
      <c r="AI72" s="1" cm="1">
        <f t="array" ref="AI72">IF(INDEX($I$3:$L$22,MATCH($P72,$G$3:$G$22,0),$Q72)=AI$2,$S72+$O72+9,$S72+$O72)</f>
        <v>42612031</v>
      </c>
      <c r="AJ72" s="1" cm="1">
        <f t="array" ref="AJ72">IF(INDEX($I$3:$L$22,MATCH($P72,$G$3:$G$22,0),$Q72)=AJ$2,$S72+$O72+9,$S72+$O72)</f>
        <v>42612031</v>
      </c>
      <c r="AK72" s="1" cm="1">
        <f t="array" ref="AK72">IF(INDEX($I$3:$L$22,MATCH($P72,$G$3:$G$22,0),$Q72)=AK$2,$S72+$O72+9,$S72+$O72)</f>
        <v>42612031</v>
      </c>
      <c r="AL72" s="1" cm="1">
        <f t="array" ref="AL72">IF(INDEX($I$3:$L$22,MATCH($P72,$G$3:$G$22,0),$Q72)=AL$2,$S72+$O72+9,$S72+$O72)</f>
        <v>42612031</v>
      </c>
      <c r="AM72" s="1" cm="1">
        <f t="array" ref="AM72">IF(INDEX($I$3:$L$22,MATCH($P72,$G$3:$G$22,0),$Q72)=AM$2,$S72+$O72+9,$S72+$O72)</f>
        <v>42612031</v>
      </c>
      <c r="AN72" s="1" cm="1">
        <f t="array" ref="AN72">IF(INDEX($I$3:$L$22,MATCH($P72,$G$3:$G$22,0),$Q72)=AN$2,$S72+$O72+9,$S72+$O72)</f>
        <v>42612031</v>
      </c>
      <c r="AO72" s="1" cm="1">
        <f t="array" ref="AO72">IF(INDEX($I$3:$L$22,MATCH($P72,$G$3:$G$22,0),$Q72)=AO$2,$S72+$O72+9,$S72+$O72)</f>
        <v>42612031</v>
      </c>
      <c r="AP72" s="1" cm="1">
        <f t="array" ref="AP72">IF(INDEX($I$3:$L$22,MATCH($P72,$G$3:$G$22,0),$Q72)=AP$2,$S72+$O72+9,$S72+$O72)</f>
        <v>42612031</v>
      </c>
      <c r="AQ72" s="1" cm="1">
        <f t="array" ref="AQ72">IF(INDEX($I$3:$L$22,MATCH($P72,$G$3:$G$22,0),$Q72)=AQ$2,$S72+$O72+9,$S72+$O72)</f>
        <v>42612031</v>
      </c>
      <c r="AR72" s="1" cm="1">
        <f t="array" ref="AR72">IF(INDEX($I$3:$L$22,MATCH($P72,$G$3:$G$22,0),$Q72)=AR$2,$S72+$O72+9,$S72+$O72)</f>
        <v>42612031</v>
      </c>
      <c r="AS72" s="1" cm="1">
        <f t="array" ref="AS72">IF(INDEX($I$3:$L$22,MATCH($P72,$G$3:$G$22,0),$Q72)=AS$2,$S72+$O72+9,$S72+$O72)</f>
        <v>42612031</v>
      </c>
      <c r="AT72" s="1" cm="1">
        <f t="array" ref="AT72">IF(INDEX($I$3:$L$22,MATCH($P72,$G$3:$G$22,0),$Q72)=AT$2,$S72+$O72+9,$S72+$O72)</f>
        <v>42612031</v>
      </c>
      <c r="AU72" s="1" cm="1">
        <f t="array" ref="AU72">IF(INDEX($I$3:$L$22,MATCH($P72,$G$3:$G$22,0),$Q72)=AU$2,$S72+$O72+9,$S72+$O72)</f>
        <v>42612031</v>
      </c>
      <c r="AV72" s="1" cm="1">
        <f t="array" ref="AV72">IF(INDEX($I$3:$L$22,MATCH($P72,$G$3:$G$22,0),$Q72)=AV$2,$S72+$O72+9,$S72+$O72)</f>
        <v>42612031</v>
      </c>
      <c r="AW72" s="1" cm="1">
        <f t="array" ref="AW72">IF(INDEX($I$3:$L$22,MATCH($P72,$G$3:$G$22,0),$Q72)=AW$2,$S72+$O72+9,$S72+$O72)</f>
        <v>42612031</v>
      </c>
      <c r="AX72" s="1" cm="1">
        <f t="array" ref="AX72">IF(INDEX($I$3:$L$22,MATCH($P72,$G$3:$G$22,0),$Q72)=AX$2,$S72+$O72+9,$S72+$O72)</f>
        <v>42612031</v>
      </c>
      <c r="AY72" s="1" cm="1">
        <f t="array" ref="AY72">IF(INDEX($I$3:$L$22,MATCH($P72,$G$3:$G$22,0),$Q72)=AY$2,$S72+$O72+9,$S72+$O72)</f>
        <v>42612031</v>
      </c>
      <c r="AZ72" s="1" cm="1">
        <f t="array" ref="AZ72">IF(INDEX($I$3:$L$22,MATCH($P72,$G$3:$G$22,0),$Q72)=AZ$2,$S72+$O72+9,$S72+$O72)</f>
        <v>42612031</v>
      </c>
      <c r="BA72" s="1" cm="1">
        <f t="array" ref="BA72">IF(INDEX($I$3:$L$22,MATCH($P72,$G$3:$G$22,0),$Q72)=BA$2,$S72+$O72+9,$S72+$O72)</f>
        <v>42612031</v>
      </c>
      <c r="BB72" s="1" cm="1">
        <f t="array" ref="BB72">IF(INDEX($I$3:$L$22,MATCH($P72,$G$3:$G$22,0),$Q72)=BB$2,$S72+$O72+9,$S72+$O72)</f>
        <v>42612031</v>
      </c>
      <c r="BC72" s="1" cm="1">
        <f t="array" ref="BC72">IF(INDEX($I$3:$L$22,MATCH($P72,$G$3:$G$22,0),$Q72)=BC$2,$S72+$O72+9,$S72+$O72)</f>
        <v>42612031</v>
      </c>
      <c r="BD72" s="1" cm="1">
        <f t="array" ref="BD72">IF(INDEX($I$3:$L$22,MATCH($P72,$G$3:$G$22,0),$Q72)=BD$2,$S72+$O72+9,$S72+$O72)</f>
        <v>42612031</v>
      </c>
      <c r="BE72" s="1" cm="1">
        <f t="array" ref="BE72">IF(INDEX($I$3:$L$22,MATCH($P72,$G$3:$G$22,0),$Q72)=BE$2,$S72+$O72+9,$S72+$O72)</f>
        <v>42612031</v>
      </c>
      <c r="BF72" s="1" cm="1">
        <f t="array" ref="BF72">IF(INDEX($I$3:$L$22,MATCH($P72,$G$3:$G$22,0),$Q72)=BF$2,$S72+$O72+9,$S72+$O72)</f>
        <v>42612031</v>
      </c>
      <c r="BG72" s="1" cm="1">
        <f t="array" ref="BG72">IF(INDEX($I$3:$L$22,MATCH($P72,$G$3:$G$22,0),$Q72)=BG$2,$S72+$O72+9,$S72+$O72)</f>
        <v>42612031</v>
      </c>
      <c r="BH72" s="1" cm="1">
        <f t="array" ref="BH72">IF(INDEX($I$3:$L$22,MATCH($P72,$G$3:$G$22,0),$Q72)=BH$2,$S72+$O72+9,$S72+$O72)</f>
        <v>42612031</v>
      </c>
      <c r="BI72" s="1" cm="1">
        <f t="array" ref="BI72">IF(INDEX($I$3:$L$22,MATCH($P72,$G$3:$G$22,0),$Q72)=BI$2,$S72+$O72+9,$S72+$O72)</f>
        <v>42612031</v>
      </c>
      <c r="BJ72" s="1" cm="1">
        <f t="array" ref="BJ72">IF(INDEX($I$3:$L$22,MATCH($P72,$G$3:$G$22,0),$Q72)=BJ$2,$S72+$O72+9,$S72+$O72)</f>
        <v>42612031</v>
      </c>
      <c r="BK72" s="1" cm="1">
        <f t="array" ref="BK72">IF(INDEX($I$3:$L$22,MATCH($P72,$G$3:$G$22,0),$Q72)=BK$2,$S72+$O72+9,$S72+$O72)</f>
        <v>42612031</v>
      </c>
      <c r="BL72" s="1" cm="1">
        <f t="array" ref="BL72">IF(INDEX($I$3:$L$22,MATCH($P72,$G$3:$G$22,0),$Q72)=BL$2,$S72+$O72+9,$S72+$O72)</f>
        <v>42612031</v>
      </c>
      <c r="BM72" s="1" cm="1">
        <f t="array" ref="BM72">IF(INDEX($I$3:$L$22,MATCH($P72,$G$3:$G$22,0),$Q72)=BM$2,$S72+$O72+9,$S72+$O72)</f>
        <v>42612040</v>
      </c>
      <c r="BN72" s="1" cm="1">
        <f t="array" ref="BN72">IF(INDEX($I$3:$L$22,MATCH($P72,$G$3:$G$22,0),$Q72)=BN$2,$S72+$O72+9,$S72+$O72)</f>
        <v>42612031</v>
      </c>
      <c r="BO72" s="1" cm="1">
        <f t="array" ref="BO72">IF(INDEX($I$3:$L$22,MATCH($P72,$G$3:$G$22,0),$Q72)=BO$2,$S72+$O72+9,$S72+$O72)</f>
        <v>42612031</v>
      </c>
      <c r="BP72" s="1" cm="1">
        <f t="array" ref="BP72">IF(INDEX($I$3:$L$22,MATCH($P72,$G$3:$G$22,0),$Q72)=BP$2,$S72+$O72+9,$S72+$O72)</f>
        <v>42612031</v>
      </c>
      <c r="BQ72" s="1" cm="1">
        <f t="array" ref="BQ72">IF(INDEX($I$3:$L$22,MATCH($P72,$G$3:$G$22,0),$Q72)=BQ$2,$S72+$O72+9,$S72+$O72)</f>
        <v>42612031</v>
      </c>
      <c r="BR72" s="1" cm="1">
        <f t="array" ref="BR72">IF(INDEX($I$3:$L$22,MATCH($P72,$G$3:$G$22,0),$Q72)=BR$2,$S72+$O72+9,$S72+$O72)</f>
        <v>42612031</v>
      </c>
      <c r="BS72" s="1" cm="1">
        <f t="array" ref="BS72">IF(INDEX($I$3:$L$22,MATCH($P72,$G$3:$G$22,0),$Q72)=BS$2,$S72+$O72+9,$S72+$O72)</f>
        <v>42612031</v>
      </c>
      <c r="BT72" s="1" cm="1">
        <f t="array" ref="BT72">IF(INDEX($I$3:$L$22,MATCH($P72,$G$3:$G$22,0),$Q72)=BT$2,$S72+$O72+9,$S72+$O72)</f>
        <v>42612031</v>
      </c>
    </row>
    <row r="73" spans="14:72" x14ac:dyDescent="0.15">
      <c r="N73" s="1">
        <v>50002</v>
      </c>
      <c r="O73" s="1">
        <f t="shared" si="9"/>
        <v>31</v>
      </c>
      <c r="P73" s="1">
        <f t="shared" si="10"/>
        <v>402</v>
      </c>
      <c r="Q73" s="1">
        <f t="shared" si="11"/>
        <v>3</v>
      </c>
      <c r="R73" s="1" t="s">
        <v>16</v>
      </c>
      <c r="S73" s="1">
        <v>42713000</v>
      </c>
      <c r="T73" s="1" t="str">
        <f t="shared" si="12"/>
        <v>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3" s="1" cm="1">
        <f t="array" ref="W73">IF(INDEX($I$3:$L$22,MATCH($P73,$G$3:$G$22,0),$Q73)=W$2,$S73+$O73+9,$S73+$O73)</f>
        <v>42713031</v>
      </c>
      <c r="X73" s="1" cm="1">
        <f t="array" ref="X73">IF(INDEX($I$3:$L$22,MATCH($P73,$G$3:$G$22,0),$Q73)=X$2,$S73+$O73+9,$S73+$O73)</f>
        <v>42713031</v>
      </c>
      <c r="Y73" s="1" cm="1">
        <f t="array" ref="Y73">IF(INDEX($I$3:$L$22,MATCH($P73,$G$3:$G$22,0),$Q73)=Y$2,$S73+$O73+9,$S73+$O73)</f>
        <v>42713031</v>
      </c>
      <c r="Z73" s="1" cm="1">
        <f t="array" ref="Z73">IF(INDEX($I$3:$L$22,MATCH($P73,$G$3:$G$22,0),$Q73)=Z$2,$S73+$O73+9,$S73+$O73)</f>
        <v>42713031</v>
      </c>
      <c r="AA73" s="1" cm="1">
        <f t="array" ref="AA73">IF(INDEX($I$3:$L$22,MATCH($P73,$G$3:$G$22,0),$Q73)=AA$2,$S73+$O73+9,$S73+$O73)</f>
        <v>42713031</v>
      </c>
      <c r="AB73" s="1" cm="1">
        <f t="array" ref="AB73">IF(INDEX($I$3:$L$22,MATCH($P73,$G$3:$G$22,0),$Q73)=AB$2,$S73+$O73+9,$S73+$O73)</f>
        <v>42713031</v>
      </c>
      <c r="AC73" s="1" cm="1">
        <f t="array" ref="AC73">IF(INDEX($I$3:$L$22,MATCH($P73,$G$3:$G$22,0),$Q73)=AC$2,$S73+$O73+9,$S73+$O73)</f>
        <v>42713040</v>
      </c>
      <c r="AD73" s="1" cm="1">
        <f t="array" ref="AD73">IF(INDEX($I$3:$L$22,MATCH($P73,$G$3:$G$22,0),$Q73)=AD$2,$S73+$O73+9,$S73+$O73)</f>
        <v>42713031</v>
      </c>
      <c r="AE73" s="1" cm="1">
        <f t="array" ref="AE73">IF(INDEX($I$3:$L$22,MATCH($P73,$G$3:$G$22,0),$Q73)=AE$2,$S73+$O73+9,$S73+$O73)</f>
        <v>42713031</v>
      </c>
      <c r="AF73" s="1" cm="1">
        <f t="array" ref="AF73">IF(INDEX($I$3:$L$22,MATCH($P73,$G$3:$G$22,0),$Q73)=AF$2,$S73+$O73+9,$S73+$O73)</f>
        <v>42713031</v>
      </c>
      <c r="AG73" s="1" cm="1">
        <f t="array" ref="AG73">IF(INDEX($I$3:$L$22,MATCH($P73,$G$3:$G$22,0),$Q73)=AG$2,$S73+$O73+9,$S73+$O73)</f>
        <v>42713031</v>
      </c>
      <c r="AH73" s="1" cm="1">
        <f t="array" ref="AH73">IF(INDEX($I$3:$L$22,MATCH($P73,$G$3:$G$22,0),$Q73)=AH$2,$S73+$O73+9,$S73+$O73)</f>
        <v>42713031</v>
      </c>
      <c r="AI73" s="1" cm="1">
        <f t="array" ref="AI73">IF(INDEX($I$3:$L$22,MATCH($P73,$G$3:$G$22,0),$Q73)=AI$2,$S73+$O73+9,$S73+$O73)</f>
        <v>42713031</v>
      </c>
      <c r="AJ73" s="1" cm="1">
        <f t="array" ref="AJ73">IF(INDEX($I$3:$L$22,MATCH($P73,$G$3:$G$22,0),$Q73)=AJ$2,$S73+$O73+9,$S73+$O73)</f>
        <v>42713031</v>
      </c>
      <c r="AK73" s="1" cm="1">
        <f t="array" ref="AK73">IF(INDEX($I$3:$L$22,MATCH($P73,$G$3:$G$22,0),$Q73)=AK$2,$S73+$O73+9,$S73+$O73)</f>
        <v>42713031</v>
      </c>
      <c r="AL73" s="1" cm="1">
        <f t="array" ref="AL73">IF(INDEX($I$3:$L$22,MATCH($P73,$G$3:$G$22,0),$Q73)=AL$2,$S73+$O73+9,$S73+$O73)</f>
        <v>42713031</v>
      </c>
      <c r="AM73" s="1" cm="1">
        <f t="array" ref="AM73">IF(INDEX($I$3:$L$22,MATCH($P73,$G$3:$G$22,0),$Q73)=AM$2,$S73+$O73+9,$S73+$O73)</f>
        <v>42713031</v>
      </c>
      <c r="AN73" s="1" cm="1">
        <f t="array" ref="AN73">IF(INDEX($I$3:$L$22,MATCH($P73,$G$3:$G$22,0),$Q73)=AN$2,$S73+$O73+9,$S73+$O73)</f>
        <v>42713031</v>
      </c>
      <c r="AO73" s="1" cm="1">
        <f t="array" ref="AO73">IF(INDEX($I$3:$L$22,MATCH($P73,$G$3:$G$22,0),$Q73)=AO$2,$S73+$O73+9,$S73+$O73)</f>
        <v>42713031</v>
      </c>
      <c r="AP73" s="1" cm="1">
        <f t="array" ref="AP73">IF(INDEX($I$3:$L$22,MATCH($P73,$G$3:$G$22,0),$Q73)=AP$2,$S73+$O73+9,$S73+$O73)</f>
        <v>42713031</v>
      </c>
      <c r="AQ73" s="1" cm="1">
        <f t="array" ref="AQ73">IF(INDEX($I$3:$L$22,MATCH($P73,$G$3:$G$22,0),$Q73)=AQ$2,$S73+$O73+9,$S73+$O73)</f>
        <v>42713031</v>
      </c>
      <c r="AR73" s="1" cm="1">
        <f t="array" ref="AR73">IF(INDEX($I$3:$L$22,MATCH($P73,$G$3:$G$22,0),$Q73)=AR$2,$S73+$O73+9,$S73+$O73)</f>
        <v>42713031</v>
      </c>
      <c r="AS73" s="1" cm="1">
        <f t="array" ref="AS73">IF(INDEX($I$3:$L$22,MATCH($P73,$G$3:$G$22,0),$Q73)=AS$2,$S73+$O73+9,$S73+$O73)</f>
        <v>42713031</v>
      </c>
      <c r="AT73" s="1" cm="1">
        <f t="array" ref="AT73">IF(INDEX($I$3:$L$22,MATCH($P73,$G$3:$G$22,0),$Q73)=AT$2,$S73+$O73+9,$S73+$O73)</f>
        <v>42713031</v>
      </c>
      <c r="AU73" s="1" cm="1">
        <f t="array" ref="AU73">IF(INDEX($I$3:$L$22,MATCH($P73,$G$3:$G$22,0),$Q73)=AU$2,$S73+$O73+9,$S73+$O73)</f>
        <v>42713031</v>
      </c>
      <c r="AV73" s="1" cm="1">
        <f t="array" ref="AV73">IF(INDEX($I$3:$L$22,MATCH($P73,$G$3:$G$22,0),$Q73)=AV$2,$S73+$O73+9,$S73+$O73)</f>
        <v>42713031</v>
      </c>
      <c r="AW73" s="1" cm="1">
        <f t="array" ref="AW73">IF(INDEX($I$3:$L$22,MATCH($P73,$G$3:$G$22,0),$Q73)=AW$2,$S73+$O73+9,$S73+$O73)</f>
        <v>42713031</v>
      </c>
      <c r="AX73" s="1" cm="1">
        <f t="array" ref="AX73">IF(INDEX($I$3:$L$22,MATCH($P73,$G$3:$G$22,0),$Q73)=AX$2,$S73+$O73+9,$S73+$O73)</f>
        <v>42713031</v>
      </c>
      <c r="AY73" s="1" cm="1">
        <f t="array" ref="AY73">IF(INDEX($I$3:$L$22,MATCH($P73,$G$3:$G$22,0),$Q73)=AY$2,$S73+$O73+9,$S73+$O73)</f>
        <v>42713031</v>
      </c>
      <c r="AZ73" s="1" cm="1">
        <f t="array" ref="AZ73">IF(INDEX($I$3:$L$22,MATCH($P73,$G$3:$G$22,0),$Q73)=AZ$2,$S73+$O73+9,$S73+$O73)</f>
        <v>42713031</v>
      </c>
      <c r="BA73" s="1" cm="1">
        <f t="array" ref="BA73">IF(INDEX($I$3:$L$22,MATCH($P73,$G$3:$G$22,0),$Q73)=BA$2,$S73+$O73+9,$S73+$O73)</f>
        <v>42713031</v>
      </c>
      <c r="BB73" s="1" cm="1">
        <f t="array" ref="BB73">IF(INDEX($I$3:$L$22,MATCH($P73,$G$3:$G$22,0),$Q73)=BB$2,$S73+$O73+9,$S73+$O73)</f>
        <v>42713031</v>
      </c>
      <c r="BC73" s="1" cm="1">
        <f t="array" ref="BC73">IF(INDEX($I$3:$L$22,MATCH($P73,$G$3:$G$22,0),$Q73)=BC$2,$S73+$O73+9,$S73+$O73)</f>
        <v>42713031</v>
      </c>
      <c r="BD73" s="1" cm="1">
        <f t="array" ref="BD73">IF(INDEX($I$3:$L$22,MATCH($P73,$G$3:$G$22,0),$Q73)=BD$2,$S73+$O73+9,$S73+$O73)</f>
        <v>42713031</v>
      </c>
      <c r="BE73" s="1" cm="1">
        <f t="array" ref="BE73">IF(INDEX($I$3:$L$22,MATCH($P73,$G$3:$G$22,0),$Q73)=BE$2,$S73+$O73+9,$S73+$O73)</f>
        <v>42713031</v>
      </c>
      <c r="BF73" s="1" cm="1">
        <f t="array" ref="BF73">IF(INDEX($I$3:$L$22,MATCH($P73,$G$3:$G$22,0),$Q73)=BF$2,$S73+$O73+9,$S73+$O73)</f>
        <v>42713031</v>
      </c>
      <c r="BG73" s="1" cm="1">
        <f t="array" ref="BG73">IF(INDEX($I$3:$L$22,MATCH($P73,$G$3:$G$22,0),$Q73)=BG$2,$S73+$O73+9,$S73+$O73)</f>
        <v>42713031</v>
      </c>
      <c r="BH73" s="1" cm="1">
        <f t="array" ref="BH73">IF(INDEX($I$3:$L$22,MATCH($P73,$G$3:$G$22,0),$Q73)=BH$2,$S73+$O73+9,$S73+$O73)</f>
        <v>42713031</v>
      </c>
      <c r="BI73" s="1" cm="1">
        <f t="array" ref="BI73">IF(INDEX($I$3:$L$22,MATCH($P73,$G$3:$G$22,0),$Q73)=BI$2,$S73+$O73+9,$S73+$O73)</f>
        <v>42713031</v>
      </c>
      <c r="BJ73" s="1" cm="1">
        <f t="array" ref="BJ73">IF(INDEX($I$3:$L$22,MATCH($P73,$G$3:$G$22,0),$Q73)=BJ$2,$S73+$O73+9,$S73+$O73)</f>
        <v>42713031</v>
      </c>
      <c r="BK73" s="1" cm="1">
        <f t="array" ref="BK73">IF(INDEX($I$3:$L$22,MATCH($P73,$G$3:$G$22,0),$Q73)=BK$2,$S73+$O73+9,$S73+$O73)</f>
        <v>42713031</v>
      </c>
      <c r="BL73" s="1" cm="1">
        <f t="array" ref="BL73">IF(INDEX($I$3:$L$22,MATCH($P73,$G$3:$G$22,0),$Q73)=BL$2,$S73+$O73+9,$S73+$O73)</f>
        <v>42713031</v>
      </c>
      <c r="BM73" s="1" cm="1">
        <f t="array" ref="BM73">IF(INDEX($I$3:$L$22,MATCH($P73,$G$3:$G$22,0),$Q73)=BM$2,$S73+$O73+9,$S73+$O73)</f>
        <v>42713031</v>
      </c>
      <c r="BN73" s="1" cm="1">
        <f t="array" ref="BN73">IF(INDEX($I$3:$L$22,MATCH($P73,$G$3:$G$22,0),$Q73)=BN$2,$S73+$O73+9,$S73+$O73)</f>
        <v>42713031</v>
      </c>
      <c r="BO73" s="1" cm="1">
        <f t="array" ref="BO73">IF(INDEX($I$3:$L$22,MATCH($P73,$G$3:$G$22,0),$Q73)=BO$2,$S73+$O73+9,$S73+$O73)</f>
        <v>42713031</v>
      </c>
      <c r="BP73" s="1" cm="1">
        <f t="array" ref="BP73">IF(INDEX($I$3:$L$22,MATCH($P73,$G$3:$G$22,0),$Q73)=BP$2,$S73+$O73+9,$S73+$O73)</f>
        <v>42713031</v>
      </c>
      <c r="BQ73" s="1" cm="1">
        <f t="array" ref="BQ73">IF(INDEX($I$3:$L$22,MATCH($P73,$G$3:$G$22,0),$Q73)=BQ$2,$S73+$O73+9,$S73+$O73)</f>
        <v>42713031</v>
      </c>
      <c r="BR73" s="1" cm="1">
        <f t="array" ref="BR73">IF(INDEX($I$3:$L$22,MATCH($P73,$G$3:$G$22,0),$Q73)=BR$2,$S73+$O73+9,$S73+$O73)</f>
        <v>42713031</v>
      </c>
      <c r="BS73" s="1" cm="1">
        <f t="array" ref="BS73">IF(INDEX($I$3:$L$22,MATCH($P73,$G$3:$G$22,0),$Q73)=BS$2,$S73+$O73+9,$S73+$O73)</f>
        <v>42713031</v>
      </c>
      <c r="BT73" s="1" cm="1">
        <f t="array" ref="BT73">IF(INDEX($I$3:$L$22,MATCH($P73,$G$3:$G$22,0),$Q73)=BT$2,$S73+$O73+9,$S73+$O73)</f>
        <v>42713031</v>
      </c>
    </row>
    <row r="74" spans="14:72" x14ac:dyDescent="0.15">
      <c r="N74" s="1">
        <v>50002</v>
      </c>
      <c r="O74" s="1">
        <f t="shared" si="9"/>
        <v>31</v>
      </c>
      <c r="P74" s="1">
        <f t="shared" si="10"/>
        <v>402</v>
      </c>
      <c r="Q74" s="1">
        <f t="shared" si="11"/>
        <v>4</v>
      </c>
      <c r="R74" s="1" t="s">
        <v>15</v>
      </c>
      <c r="S74" s="1">
        <v>42716000</v>
      </c>
      <c r="T74" s="1" t="str">
        <f t="shared" si="12"/>
        <v>42716031,42716031,42716031,42716031,42716031,42716040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</v>
      </c>
      <c r="W74" s="1" cm="1">
        <f t="array" ref="W74">IF(INDEX($I$3:$L$22,MATCH($P74,$G$3:$G$22,0),$Q74)=W$2,$S74+$O74+9,$S74+$O74)</f>
        <v>42716031</v>
      </c>
      <c r="X74" s="1" cm="1">
        <f t="array" ref="X74">IF(INDEX($I$3:$L$22,MATCH($P74,$G$3:$G$22,0),$Q74)=X$2,$S74+$O74+9,$S74+$O74)</f>
        <v>42716031</v>
      </c>
      <c r="Y74" s="1" cm="1">
        <f t="array" ref="Y74">IF(INDEX($I$3:$L$22,MATCH($P74,$G$3:$G$22,0),$Q74)=Y$2,$S74+$O74+9,$S74+$O74)</f>
        <v>42716031</v>
      </c>
      <c r="Z74" s="1" cm="1">
        <f t="array" ref="Z74">IF(INDEX($I$3:$L$22,MATCH($P74,$G$3:$G$22,0),$Q74)=Z$2,$S74+$O74+9,$S74+$O74)</f>
        <v>42716031</v>
      </c>
      <c r="AA74" s="1" cm="1">
        <f t="array" ref="AA74">IF(INDEX($I$3:$L$22,MATCH($P74,$G$3:$G$22,0),$Q74)=AA$2,$S74+$O74+9,$S74+$O74)</f>
        <v>42716031</v>
      </c>
      <c r="AB74" s="1" cm="1">
        <f t="array" ref="AB74">IF(INDEX($I$3:$L$22,MATCH($P74,$G$3:$G$22,0),$Q74)=AB$2,$S74+$O74+9,$S74+$O74)</f>
        <v>42716040</v>
      </c>
      <c r="AC74" s="1" cm="1">
        <f t="array" ref="AC74">IF(INDEX($I$3:$L$22,MATCH($P74,$G$3:$G$22,0),$Q74)=AC$2,$S74+$O74+9,$S74+$O74)</f>
        <v>42716031</v>
      </c>
      <c r="AD74" s="1" cm="1">
        <f t="array" ref="AD74">IF(INDEX($I$3:$L$22,MATCH($P74,$G$3:$G$22,0),$Q74)=AD$2,$S74+$O74+9,$S74+$O74)</f>
        <v>42716031</v>
      </c>
      <c r="AE74" s="1" cm="1">
        <f t="array" ref="AE74">IF(INDEX($I$3:$L$22,MATCH($P74,$G$3:$G$22,0),$Q74)=AE$2,$S74+$O74+9,$S74+$O74)</f>
        <v>42716031</v>
      </c>
      <c r="AF74" s="1" cm="1">
        <f t="array" ref="AF74">IF(INDEX($I$3:$L$22,MATCH($P74,$G$3:$G$22,0),$Q74)=AF$2,$S74+$O74+9,$S74+$O74)</f>
        <v>42716031</v>
      </c>
      <c r="AG74" s="1" cm="1">
        <f t="array" ref="AG74">IF(INDEX($I$3:$L$22,MATCH($P74,$G$3:$G$22,0),$Q74)=AG$2,$S74+$O74+9,$S74+$O74)</f>
        <v>42716031</v>
      </c>
      <c r="AH74" s="1" cm="1">
        <f t="array" ref="AH74">IF(INDEX($I$3:$L$22,MATCH($P74,$G$3:$G$22,0),$Q74)=AH$2,$S74+$O74+9,$S74+$O74)</f>
        <v>42716031</v>
      </c>
      <c r="AI74" s="1" cm="1">
        <f t="array" ref="AI74">IF(INDEX($I$3:$L$22,MATCH($P74,$G$3:$G$22,0),$Q74)=AI$2,$S74+$O74+9,$S74+$O74)</f>
        <v>42716031</v>
      </c>
      <c r="AJ74" s="1" cm="1">
        <f t="array" ref="AJ74">IF(INDEX($I$3:$L$22,MATCH($P74,$G$3:$G$22,0),$Q74)=AJ$2,$S74+$O74+9,$S74+$O74)</f>
        <v>42716031</v>
      </c>
      <c r="AK74" s="1" cm="1">
        <f t="array" ref="AK74">IF(INDEX($I$3:$L$22,MATCH($P74,$G$3:$G$22,0),$Q74)=AK$2,$S74+$O74+9,$S74+$O74)</f>
        <v>42716031</v>
      </c>
      <c r="AL74" s="1" cm="1">
        <f t="array" ref="AL74">IF(INDEX($I$3:$L$22,MATCH($P74,$G$3:$G$22,0),$Q74)=AL$2,$S74+$O74+9,$S74+$O74)</f>
        <v>42716031</v>
      </c>
      <c r="AM74" s="1" cm="1">
        <f t="array" ref="AM74">IF(INDEX($I$3:$L$22,MATCH($P74,$G$3:$G$22,0),$Q74)=AM$2,$S74+$O74+9,$S74+$O74)</f>
        <v>42716031</v>
      </c>
      <c r="AN74" s="1" cm="1">
        <f t="array" ref="AN74">IF(INDEX($I$3:$L$22,MATCH($P74,$G$3:$G$22,0),$Q74)=AN$2,$S74+$O74+9,$S74+$O74)</f>
        <v>42716031</v>
      </c>
      <c r="AO74" s="1" cm="1">
        <f t="array" ref="AO74">IF(INDEX($I$3:$L$22,MATCH($P74,$G$3:$G$22,0),$Q74)=AO$2,$S74+$O74+9,$S74+$O74)</f>
        <v>42716031</v>
      </c>
      <c r="AP74" s="1" cm="1">
        <f t="array" ref="AP74">IF(INDEX($I$3:$L$22,MATCH($P74,$G$3:$G$22,0),$Q74)=AP$2,$S74+$O74+9,$S74+$O74)</f>
        <v>42716031</v>
      </c>
      <c r="AQ74" s="1" cm="1">
        <f t="array" ref="AQ74">IF(INDEX($I$3:$L$22,MATCH($P74,$G$3:$G$22,0),$Q74)=AQ$2,$S74+$O74+9,$S74+$O74)</f>
        <v>42716031</v>
      </c>
      <c r="AR74" s="1" cm="1">
        <f t="array" ref="AR74">IF(INDEX($I$3:$L$22,MATCH($P74,$G$3:$G$22,0),$Q74)=AR$2,$S74+$O74+9,$S74+$O74)</f>
        <v>42716031</v>
      </c>
      <c r="AS74" s="1" cm="1">
        <f t="array" ref="AS74">IF(INDEX($I$3:$L$22,MATCH($P74,$G$3:$G$22,0),$Q74)=AS$2,$S74+$O74+9,$S74+$O74)</f>
        <v>42716031</v>
      </c>
      <c r="AT74" s="1" cm="1">
        <f t="array" ref="AT74">IF(INDEX($I$3:$L$22,MATCH($P74,$G$3:$G$22,0),$Q74)=AT$2,$S74+$O74+9,$S74+$O74)</f>
        <v>42716031</v>
      </c>
      <c r="AU74" s="1" cm="1">
        <f t="array" ref="AU74">IF(INDEX($I$3:$L$22,MATCH($P74,$G$3:$G$22,0),$Q74)=AU$2,$S74+$O74+9,$S74+$O74)</f>
        <v>42716031</v>
      </c>
      <c r="AV74" s="1" cm="1">
        <f t="array" ref="AV74">IF(INDEX($I$3:$L$22,MATCH($P74,$G$3:$G$22,0),$Q74)=AV$2,$S74+$O74+9,$S74+$O74)</f>
        <v>42716031</v>
      </c>
      <c r="AW74" s="1" cm="1">
        <f t="array" ref="AW74">IF(INDEX($I$3:$L$22,MATCH($P74,$G$3:$G$22,0),$Q74)=AW$2,$S74+$O74+9,$S74+$O74)</f>
        <v>42716031</v>
      </c>
      <c r="AX74" s="1" cm="1">
        <f t="array" ref="AX74">IF(INDEX($I$3:$L$22,MATCH($P74,$G$3:$G$22,0),$Q74)=AX$2,$S74+$O74+9,$S74+$O74)</f>
        <v>42716031</v>
      </c>
      <c r="AY74" s="1" cm="1">
        <f t="array" ref="AY74">IF(INDEX($I$3:$L$22,MATCH($P74,$G$3:$G$22,0),$Q74)=AY$2,$S74+$O74+9,$S74+$O74)</f>
        <v>42716031</v>
      </c>
      <c r="AZ74" s="1" cm="1">
        <f t="array" ref="AZ74">IF(INDEX($I$3:$L$22,MATCH($P74,$G$3:$G$22,0),$Q74)=AZ$2,$S74+$O74+9,$S74+$O74)</f>
        <v>42716031</v>
      </c>
      <c r="BA74" s="1" cm="1">
        <f t="array" ref="BA74">IF(INDEX($I$3:$L$22,MATCH($P74,$G$3:$G$22,0),$Q74)=BA$2,$S74+$O74+9,$S74+$O74)</f>
        <v>42716031</v>
      </c>
      <c r="BB74" s="1" cm="1">
        <f t="array" ref="BB74">IF(INDEX($I$3:$L$22,MATCH($P74,$G$3:$G$22,0),$Q74)=BB$2,$S74+$O74+9,$S74+$O74)</f>
        <v>42716031</v>
      </c>
      <c r="BC74" s="1" cm="1">
        <f t="array" ref="BC74">IF(INDEX($I$3:$L$22,MATCH($P74,$G$3:$G$22,0),$Q74)=BC$2,$S74+$O74+9,$S74+$O74)</f>
        <v>42716031</v>
      </c>
      <c r="BD74" s="1" cm="1">
        <f t="array" ref="BD74">IF(INDEX($I$3:$L$22,MATCH($P74,$G$3:$G$22,0),$Q74)=BD$2,$S74+$O74+9,$S74+$O74)</f>
        <v>42716031</v>
      </c>
      <c r="BE74" s="1" cm="1">
        <f t="array" ref="BE74">IF(INDEX($I$3:$L$22,MATCH($P74,$G$3:$G$22,0),$Q74)=BE$2,$S74+$O74+9,$S74+$O74)</f>
        <v>42716031</v>
      </c>
      <c r="BF74" s="1" cm="1">
        <f t="array" ref="BF74">IF(INDEX($I$3:$L$22,MATCH($P74,$G$3:$G$22,0),$Q74)=BF$2,$S74+$O74+9,$S74+$O74)</f>
        <v>42716031</v>
      </c>
      <c r="BG74" s="1" cm="1">
        <f t="array" ref="BG74">IF(INDEX($I$3:$L$22,MATCH($P74,$G$3:$G$22,0),$Q74)=BG$2,$S74+$O74+9,$S74+$O74)</f>
        <v>42716031</v>
      </c>
      <c r="BH74" s="1" cm="1">
        <f t="array" ref="BH74">IF(INDEX($I$3:$L$22,MATCH($P74,$G$3:$G$22,0),$Q74)=BH$2,$S74+$O74+9,$S74+$O74)</f>
        <v>42716031</v>
      </c>
      <c r="BI74" s="1" cm="1">
        <f t="array" ref="BI74">IF(INDEX($I$3:$L$22,MATCH($P74,$G$3:$G$22,0),$Q74)=BI$2,$S74+$O74+9,$S74+$O74)</f>
        <v>42716031</v>
      </c>
      <c r="BJ74" s="1" cm="1">
        <f t="array" ref="BJ74">IF(INDEX($I$3:$L$22,MATCH($P74,$G$3:$G$22,0),$Q74)=BJ$2,$S74+$O74+9,$S74+$O74)</f>
        <v>42716031</v>
      </c>
      <c r="BK74" s="1" cm="1">
        <f t="array" ref="BK74">IF(INDEX($I$3:$L$22,MATCH($P74,$G$3:$G$22,0),$Q74)=BK$2,$S74+$O74+9,$S74+$O74)</f>
        <v>42716031</v>
      </c>
      <c r="BL74" s="1" cm="1">
        <f t="array" ref="BL74">IF(INDEX($I$3:$L$22,MATCH($P74,$G$3:$G$22,0),$Q74)=BL$2,$S74+$O74+9,$S74+$O74)</f>
        <v>42716031</v>
      </c>
      <c r="BM74" s="1" cm="1">
        <f t="array" ref="BM74">IF(INDEX($I$3:$L$22,MATCH($P74,$G$3:$G$22,0),$Q74)=BM$2,$S74+$O74+9,$S74+$O74)</f>
        <v>42716031</v>
      </c>
      <c r="BN74" s="1" cm="1">
        <f t="array" ref="BN74">IF(INDEX($I$3:$L$22,MATCH($P74,$G$3:$G$22,0),$Q74)=BN$2,$S74+$O74+9,$S74+$O74)</f>
        <v>42716031</v>
      </c>
      <c r="BO74" s="1" cm="1">
        <f t="array" ref="BO74">IF(INDEX($I$3:$L$22,MATCH($P74,$G$3:$G$22,0),$Q74)=BO$2,$S74+$O74+9,$S74+$O74)</f>
        <v>42716031</v>
      </c>
      <c r="BP74" s="1" cm="1">
        <f t="array" ref="BP74">IF(INDEX($I$3:$L$22,MATCH($P74,$G$3:$G$22,0),$Q74)=BP$2,$S74+$O74+9,$S74+$O74)</f>
        <v>42716031</v>
      </c>
      <c r="BQ74" s="1" cm="1">
        <f t="array" ref="BQ74">IF(INDEX($I$3:$L$22,MATCH($P74,$G$3:$G$22,0),$Q74)=BQ$2,$S74+$O74+9,$S74+$O74)</f>
        <v>42716031</v>
      </c>
      <c r="BR74" s="1" cm="1">
        <f t="array" ref="BR74">IF(INDEX($I$3:$L$22,MATCH($P74,$G$3:$G$22,0),$Q74)=BR$2,$S74+$O74+9,$S74+$O74)</f>
        <v>42716031</v>
      </c>
      <c r="BS74" s="1" cm="1">
        <f t="array" ref="BS74">IF(INDEX($I$3:$L$22,MATCH($P74,$G$3:$G$22,0),$Q74)=BS$2,$S74+$O74+9,$S74+$O74)</f>
        <v>42716031</v>
      </c>
      <c r="BT74" s="1" cm="1">
        <f t="array" ref="BT74">IF(INDEX($I$3:$L$22,MATCH($P74,$G$3:$G$22,0),$Q74)=BT$2,$S74+$O74+9,$S74+$O74)</f>
        <v>42716031</v>
      </c>
    </row>
    <row r="75" spans="14:72" x14ac:dyDescent="0.15">
      <c r="N75" s="1">
        <v>50002</v>
      </c>
      <c r="O75" s="1">
        <f t="shared" si="9"/>
        <v>31</v>
      </c>
      <c r="P75" s="1">
        <f t="shared" si="10"/>
        <v>403</v>
      </c>
      <c r="Q75" s="1">
        <f t="shared" si="11"/>
        <v>1</v>
      </c>
      <c r="R75" s="1" t="s">
        <v>18</v>
      </c>
      <c r="S75" s="1">
        <v>42711000</v>
      </c>
      <c r="T75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</v>
      </c>
      <c r="W75" s="1" cm="1">
        <f t="array" ref="W75">IF(INDEX($I$3:$L$22,MATCH($P75,$G$3:$G$22,0),$Q75)=W$2,$S75+$O75+9,$S75+$O75)</f>
        <v>42711031</v>
      </c>
      <c r="X75" s="1" cm="1">
        <f t="array" ref="X75">IF(INDEX($I$3:$L$22,MATCH($P75,$G$3:$G$22,0),$Q75)=X$2,$S75+$O75+9,$S75+$O75)</f>
        <v>42711031</v>
      </c>
      <c r="Y75" s="1" cm="1">
        <f t="array" ref="Y75">IF(INDEX($I$3:$L$22,MATCH($P75,$G$3:$G$22,0),$Q75)=Y$2,$S75+$O75+9,$S75+$O75)</f>
        <v>42711031</v>
      </c>
      <c r="Z75" s="1" cm="1">
        <f t="array" ref="Z75">IF(INDEX($I$3:$L$22,MATCH($P75,$G$3:$G$22,0),$Q75)=Z$2,$S75+$O75+9,$S75+$O75)</f>
        <v>42711031</v>
      </c>
      <c r="AA75" s="1" cm="1">
        <f t="array" ref="AA75">IF(INDEX($I$3:$L$22,MATCH($P75,$G$3:$G$22,0),$Q75)=AA$2,$S75+$O75+9,$S75+$O75)</f>
        <v>42711031</v>
      </c>
      <c r="AB75" s="1" cm="1">
        <f t="array" ref="AB75">IF(INDEX($I$3:$L$22,MATCH($P75,$G$3:$G$22,0),$Q75)=AB$2,$S75+$O75+9,$S75+$O75)</f>
        <v>42711031</v>
      </c>
      <c r="AC75" s="1" cm="1">
        <f t="array" ref="AC75">IF(INDEX($I$3:$L$22,MATCH($P75,$G$3:$G$22,0),$Q75)=AC$2,$S75+$O75+9,$S75+$O75)</f>
        <v>42711031</v>
      </c>
      <c r="AD75" s="1" cm="1">
        <f t="array" ref="AD75">IF(INDEX($I$3:$L$22,MATCH($P75,$G$3:$G$22,0),$Q75)=AD$2,$S75+$O75+9,$S75+$O75)</f>
        <v>42711031</v>
      </c>
      <c r="AE75" s="1" cm="1">
        <f t="array" ref="AE75">IF(INDEX($I$3:$L$22,MATCH($P75,$G$3:$G$22,0),$Q75)=AE$2,$S75+$O75+9,$S75+$O75)</f>
        <v>42711031</v>
      </c>
      <c r="AF75" s="1" cm="1">
        <f t="array" ref="AF75">IF(INDEX($I$3:$L$22,MATCH($P75,$G$3:$G$22,0),$Q75)=AF$2,$S75+$O75+9,$S75+$O75)</f>
        <v>42711031</v>
      </c>
      <c r="AG75" s="1" cm="1">
        <f t="array" ref="AG75">IF(INDEX($I$3:$L$22,MATCH($P75,$G$3:$G$22,0),$Q75)=AG$2,$S75+$O75+9,$S75+$O75)</f>
        <v>42711031</v>
      </c>
      <c r="AH75" s="1" cm="1">
        <f t="array" ref="AH75">IF(INDEX($I$3:$L$22,MATCH($P75,$G$3:$G$22,0),$Q75)=AH$2,$S75+$O75+9,$S75+$O75)</f>
        <v>42711031</v>
      </c>
      <c r="AI75" s="1" cm="1">
        <f t="array" ref="AI75">IF(INDEX($I$3:$L$22,MATCH($P75,$G$3:$G$22,0),$Q75)=AI$2,$S75+$O75+9,$S75+$O75)</f>
        <v>42711031</v>
      </c>
      <c r="AJ75" s="1" cm="1">
        <f t="array" ref="AJ75">IF(INDEX($I$3:$L$22,MATCH($P75,$G$3:$G$22,0),$Q75)=AJ$2,$S75+$O75+9,$S75+$O75)</f>
        <v>42711031</v>
      </c>
      <c r="AK75" s="1" cm="1">
        <f t="array" ref="AK75">IF(INDEX($I$3:$L$22,MATCH($P75,$G$3:$G$22,0),$Q75)=AK$2,$S75+$O75+9,$S75+$O75)</f>
        <v>42711031</v>
      </c>
      <c r="AL75" s="1" cm="1">
        <f t="array" ref="AL75">IF(INDEX($I$3:$L$22,MATCH($P75,$G$3:$G$22,0),$Q75)=AL$2,$S75+$O75+9,$S75+$O75)</f>
        <v>42711031</v>
      </c>
      <c r="AM75" s="1" cm="1">
        <f t="array" ref="AM75">IF(INDEX($I$3:$L$22,MATCH($P75,$G$3:$G$22,0),$Q75)=AM$2,$S75+$O75+9,$S75+$O75)</f>
        <v>42711031</v>
      </c>
      <c r="AN75" s="1" cm="1">
        <f t="array" ref="AN75">IF(INDEX($I$3:$L$22,MATCH($P75,$G$3:$G$22,0),$Q75)=AN$2,$S75+$O75+9,$S75+$O75)</f>
        <v>42711031</v>
      </c>
      <c r="AO75" s="1" cm="1">
        <f t="array" ref="AO75">IF(INDEX($I$3:$L$22,MATCH($P75,$G$3:$G$22,0),$Q75)=AO$2,$S75+$O75+9,$S75+$O75)</f>
        <v>42711031</v>
      </c>
      <c r="AP75" s="1" cm="1">
        <f t="array" ref="AP75">IF(INDEX($I$3:$L$22,MATCH($P75,$G$3:$G$22,0),$Q75)=AP$2,$S75+$O75+9,$S75+$O75)</f>
        <v>42711031</v>
      </c>
      <c r="AQ75" s="1" cm="1">
        <f t="array" ref="AQ75">IF(INDEX($I$3:$L$22,MATCH($P75,$G$3:$G$22,0),$Q75)=AQ$2,$S75+$O75+9,$S75+$O75)</f>
        <v>42711031</v>
      </c>
      <c r="AR75" s="1" cm="1">
        <f t="array" ref="AR75">IF(INDEX($I$3:$L$22,MATCH($P75,$G$3:$G$22,0),$Q75)=AR$2,$S75+$O75+9,$S75+$O75)</f>
        <v>42711031</v>
      </c>
      <c r="AS75" s="1" cm="1">
        <f t="array" ref="AS75">IF(INDEX($I$3:$L$22,MATCH($P75,$G$3:$G$22,0),$Q75)=AS$2,$S75+$O75+9,$S75+$O75)</f>
        <v>42711031</v>
      </c>
      <c r="AT75" s="1" cm="1">
        <f t="array" ref="AT75">IF(INDEX($I$3:$L$22,MATCH($P75,$G$3:$G$22,0),$Q75)=AT$2,$S75+$O75+9,$S75+$O75)</f>
        <v>42711031</v>
      </c>
      <c r="AU75" s="1" cm="1">
        <f t="array" ref="AU75">IF(INDEX($I$3:$L$22,MATCH($P75,$G$3:$G$22,0),$Q75)=AU$2,$S75+$O75+9,$S75+$O75)</f>
        <v>42711031</v>
      </c>
      <c r="AV75" s="1" cm="1">
        <f t="array" ref="AV75">IF(INDEX($I$3:$L$22,MATCH($P75,$G$3:$G$22,0),$Q75)=AV$2,$S75+$O75+9,$S75+$O75)</f>
        <v>42711031</v>
      </c>
      <c r="AW75" s="1" cm="1">
        <f t="array" ref="AW75">IF(INDEX($I$3:$L$22,MATCH($P75,$G$3:$G$22,0),$Q75)=AW$2,$S75+$O75+9,$S75+$O75)</f>
        <v>42711031</v>
      </c>
      <c r="AX75" s="1" cm="1">
        <f t="array" ref="AX75">IF(INDEX($I$3:$L$22,MATCH($P75,$G$3:$G$22,0),$Q75)=AX$2,$S75+$O75+9,$S75+$O75)</f>
        <v>42711031</v>
      </c>
      <c r="AY75" s="1" cm="1">
        <f t="array" ref="AY75">IF(INDEX($I$3:$L$22,MATCH($P75,$G$3:$G$22,0),$Q75)=AY$2,$S75+$O75+9,$S75+$O75)</f>
        <v>42711031</v>
      </c>
      <c r="AZ75" s="1" cm="1">
        <f t="array" ref="AZ75">IF(INDEX($I$3:$L$22,MATCH($P75,$G$3:$G$22,0),$Q75)=AZ$2,$S75+$O75+9,$S75+$O75)</f>
        <v>42711031</v>
      </c>
      <c r="BA75" s="1" cm="1">
        <f t="array" ref="BA75">IF(INDEX($I$3:$L$22,MATCH($P75,$G$3:$G$22,0),$Q75)=BA$2,$S75+$O75+9,$S75+$O75)</f>
        <v>42711031</v>
      </c>
      <c r="BB75" s="1" cm="1">
        <f t="array" ref="BB75">IF(INDEX($I$3:$L$22,MATCH($P75,$G$3:$G$22,0),$Q75)=BB$2,$S75+$O75+9,$S75+$O75)</f>
        <v>42711031</v>
      </c>
      <c r="BC75" s="1" cm="1">
        <f t="array" ref="BC75">IF(INDEX($I$3:$L$22,MATCH($P75,$G$3:$G$22,0),$Q75)=BC$2,$S75+$O75+9,$S75+$O75)</f>
        <v>42711031</v>
      </c>
      <c r="BD75" s="1" cm="1">
        <f t="array" ref="BD75">IF(INDEX($I$3:$L$22,MATCH($P75,$G$3:$G$22,0),$Q75)=BD$2,$S75+$O75+9,$S75+$O75)</f>
        <v>42711031</v>
      </c>
      <c r="BE75" s="1" cm="1">
        <f t="array" ref="BE75">IF(INDEX($I$3:$L$22,MATCH($P75,$G$3:$G$22,0),$Q75)=BE$2,$S75+$O75+9,$S75+$O75)</f>
        <v>42711031</v>
      </c>
      <c r="BF75" s="1" cm="1">
        <f t="array" ref="BF75">IF(INDEX($I$3:$L$22,MATCH($P75,$G$3:$G$22,0),$Q75)=BF$2,$S75+$O75+9,$S75+$O75)</f>
        <v>42711031</v>
      </c>
      <c r="BG75" s="1" cm="1">
        <f t="array" ref="BG75">IF(INDEX($I$3:$L$22,MATCH($P75,$G$3:$G$22,0),$Q75)=BG$2,$S75+$O75+9,$S75+$O75)</f>
        <v>42711031</v>
      </c>
      <c r="BH75" s="1" cm="1">
        <f t="array" ref="BH75">IF(INDEX($I$3:$L$22,MATCH($P75,$G$3:$G$22,0),$Q75)=BH$2,$S75+$O75+9,$S75+$O75)</f>
        <v>42711031</v>
      </c>
      <c r="BI75" s="1" cm="1">
        <f t="array" ref="BI75">IF(INDEX($I$3:$L$22,MATCH($P75,$G$3:$G$22,0),$Q75)=BI$2,$S75+$O75+9,$S75+$O75)</f>
        <v>42711031</v>
      </c>
      <c r="BJ75" s="1" cm="1">
        <f t="array" ref="BJ75">IF(INDEX($I$3:$L$22,MATCH($P75,$G$3:$G$22,0),$Q75)=BJ$2,$S75+$O75+9,$S75+$O75)</f>
        <v>42711031</v>
      </c>
      <c r="BK75" s="1" cm="1">
        <f t="array" ref="BK75">IF(INDEX($I$3:$L$22,MATCH($P75,$G$3:$G$22,0),$Q75)=BK$2,$S75+$O75+9,$S75+$O75)</f>
        <v>42711031</v>
      </c>
      <c r="BL75" s="1" cm="1">
        <f t="array" ref="BL75">IF(INDEX($I$3:$L$22,MATCH($P75,$G$3:$G$22,0),$Q75)=BL$2,$S75+$O75+9,$S75+$O75)</f>
        <v>42711031</v>
      </c>
      <c r="BM75" s="1" cm="1">
        <f t="array" ref="BM75">IF(INDEX($I$3:$L$22,MATCH($P75,$G$3:$G$22,0),$Q75)=BM$2,$S75+$O75+9,$S75+$O75)</f>
        <v>42711031</v>
      </c>
      <c r="BN75" s="1" cm="1">
        <f t="array" ref="BN75">IF(INDEX($I$3:$L$22,MATCH($P75,$G$3:$G$22,0),$Q75)=BN$2,$S75+$O75+9,$S75+$O75)</f>
        <v>42711031</v>
      </c>
      <c r="BO75" s="1" cm="1">
        <f t="array" ref="BO75">IF(INDEX($I$3:$L$22,MATCH($P75,$G$3:$G$22,0),$Q75)=BO$2,$S75+$O75+9,$S75+$O75)</f>
        <v>42711031</v>
      </c>
      <c r="BP75" s="1" cm="1">
        <f t="array" ref="BP75">IF(INDEX($I$3:$L$22,MATCH($P75,$G$3:$G$22,0),$Q75)=BP$2,$S75+$O75+9,$S75+$O75)</f>
        <v>42711031</v>
      </c>
      <c r="BQ75" s="1" cm="1">
        <f t="array" ref="BQ75">IF(INDEX($I$3:$L$22,MATCH($P75,$G$3:$G$22,0),$Q75)=BQ$2,$S75+$O75+9,$S75+$O75)</f>
        <v>42711031</v>
      </c>
      <c r="BR75" s="1" cm="1">
        <f t="array" ref="BR75">IF(INDEX($I$3:$L$22,MATCH($P75,$G$3:$G$22,0),$Q75)=BR$2,$S75+$O75+9,$S75+$O75)</f>
        <v>42711031</v>
      </c>
      <c r="BS75" s="1" cm="1">
        <f t="array" ref="BS75">IF(INDEX($I$3:$L$22,MATCH($P75,$G$3:$G$22,0),$Q75)=BS$2,$S75+$O75+9,$S75+$O75)</f>
        <v>42711031</v>
      </c>
      <c r="BT75" s="1" cm="1">
        <f t="array" ref="BT75">IF(INDEX($I$3:$L$22,MATCH($P75,$G$3:$G$22,0),$Q75)=BT$2,$S75+$O75+9,$S75+$O75)</f>
        <v>42711040</v>
      </c>
    </row>
    <row r="76" spans="14:72" x14ac:dyDescent="0.15">
      <c r="N76" s="1">
        <v>50002</v>
      </c>
      <c r="O76" s="1">
        <f t="shared" si="9"/>
        <v>31</v>
      </c>
      <c r="P76" s="1">
        <f t="shared" si="10"/>
        <v>403</v>
      </c>
      <c r="Q76" s="1">
        <f t="shared" si="11"/>
        <v>2</v>
      </c>
      <c r="R76" s="1" t="s">
        <v>17</v>
      </c>
      <c r="S76" s="1">
        <v>42612000</v>
      </c>
      <c r="T76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</v>
      </c>
      <c r="W76" s="1" cm="1">
        <f t="array" ref="W76">IF(INDEX($I$3:$L$22,MATCH($P76,$G$3:$G$22,0),$Q76)=W$2,$S76+$O76+9,$S76+$O76)</f>
        <v>42612031</v>
      </c>
      <c r="X76" s="1" cm="1">
        <f t="array" ref="X76">IF(INDEX($I$3:$L$22,MATCH($P76,$G$3:$G$22,0),$Q76)=X$2,$S76+$O76+9,$S76+$O76)</f>
        <v>42612031</v>
      </c>
      <c r="Y76" s="1" cm="1">
        <f t="array" ref="Y76">IF(INDEX($I$3:$L$22,MATCH($P76,$G$3:$G$22,0),$Q76)=Y$2,$S76+$O76+9,$S76+$O76)</f>
        <v>42612031</v>
      </c>
      <c r="Z76" s="1" cm="1">
        <f t="array" ref="Z76">IF(INDEX($I$3:$L$22,MATCH($P76,$G$3:$G$22,0),$Q76)=Z$2,$S76+$O76+9,$S76+$O76)</f>
        <v>42612031</v>
      </c>
      <c r="AA76" s="1" cm="1">
        <f t="array" ref="AA76">IF(INDEX($I$3:$L$22,MATCH($P76,$G$3:$G$22,0),$Q76)=AA$2,$S76+$O76+9,$S76+$O76)</f>
        <v>42612031</v>
      </c>
      <c r="AB76" s="1" cm="1">
        <f t="array" ref="AB76">IF(INDEX($I$3:$L$22,MATCH($P76,$G$3:$G$22,0),$Q76)=AB$2,$S76+$O76+9,$S76+$O76)</f>
        <v>42612031</v>
      </c>
      <c r="AC76" s="1" cm="1">
        <f t="array" ref="AC76">IF(INDEX($I$3:$L$22,MATCH($P76,$G$3:$G$22,0),$Q76)=AC$2,$S76+$O76+9,$S76+$O76)</f>
        <v>42612031</v>
      </c>
      <c r="AD76" s="1" cm="1">
        <f t="array" ref="AD76">IF(INDEX($I$3:$L$22,MATCH($P76,$G$3:$G$22,0),$Q76)=AD$2,$S76+$O76+9,$S76+$O76)</f>
        <v>42612031</v>
      </c>
      <c r="AE76" s="1" cm="1">
        <f t="array" ref="AE76">IF(INDEX($I$3:$L$22,MATCH($P76,$G$3:$G$22,0),$Q76)=AE$2,$S76+$O76+9,$S76+$O76)</f>
        <v>42612031</v>
      </c>
      <c r="AF76" s="1" cm="1">
        <f t="array" ref="AF76">IF(INDEX($I$3:$L$22,MATCH($P76,$G$3:$G$22,0),$Q76)=AF$2,$S76+$O76+9,$S76+$O76)</f>
        <v>42612031</v>
      </c>
      <c r="AG76" s="1" cm="1">
        <f t="array" ref="AG76">IF(INDEX($I$3:$L$22,MATCH($P76,$G$3:$G$22,0),$Q76)=AG$2,$S76+$O76+9,$S76+$O76)</f>
        <v>42612031</v>
      </c>
      <c r="AH76" s="1" cm="1">
        <f t="array" ref="AH76">IF(INDEX($I$3:$L$22,MATCH($P76,$G$3:$G$22,0),$Q76)=AH$2,$S76+$O76+9,$S76+$O76)</f>
        <v>42612031</v>
      </c>
      <c r="AI76" s="1" cm="1">
        <f t="array" ref="AI76">IF(INDEX($I$3:$L$22,MATCH($P76,$G$3:$G$22,0),$Q76)=AI$2,$S76+$O76+9,$S76+$O76)</f>
        <v>42612031</v>
      </c>
      <c r="AJ76" s="1" cm="1">
        <f t="array" ref="AJ76">IF(INDEX($I$3:$L$22,MATCH($P76,$G$3:$G$22,0),$Q76)=AJ$2,$S76+$O76+9,$S76+$O76)</f>
        <v>42612031</v>
      </c>
      <c r="AK76" s="1" cm="1">
        <f t="array" ref="AK76">IF(INDEX($I$3:$L$22,MATCH($P76,$G$3:$G$22,0),$Q76)=AK$2,$S76+$O76+9,$S76+$O76)</f>
        <v>42612031</v>
      </c>
      <c r="AL76" s="1" cm="1">
        <f t="array" ref="AL76">IF(INDEX($I$3:$L$22,MATCH($P76,$G$3:$G$22,0),$Q76)=AL$2,$S76+$O76+9,$S76+$O76)</f>
        <v>42612031</v>
      </c>
      <c r="AM76" s="1" cm="1">
        <f t="array" ref="AM76">IF(INDEX($I$3:$L$22,MATCH($P76,$G$3:$G$22,0),$Q76)=AM$2,$S76+$O76+9,$S76+$O76)</f>
        <v>42612031</v>
      </c>
      <c r="AN76" s="1" cm="1">
        <f t="array" ref="AN76">IF(INDEX($I$3:$L$22,MATCH($P76,$G$3:$G$22,0),$Q76)=AN$2,$S76+$O76+9,$S76+$O76)</f>
        <v>42612031</v>
      </c>
      <c r="AO76" s="1" cm="1">
        <f t="array" ref="AO76">IF(INDEX($I$3:$L$22,MATCH($P76,$G$3:$G$22,0),$Q76)=AO$2,$S76+$O76+9,$S76+$O76)</f>
        <v>42612031</v>
      </c>
      <c r="AP76" s="1" cm="1">
        <f t="array" ref="AP76">IF(INDEX($I$3:$L$22,MATCH($P76,$G$3:$G$22,0),$Q76)=AP$2,$S76+$O76+9,$S76+$O76)</f>
        <v>42612031</v>
      </c>
      <c r="AQ76" s="1" cm="1">
        <f t="array" ref="AQ76">IF(INDEX($I$3:$L$22,MATCH($P76,$G$3:$G$22,0),$Q76)=AQ$2,$S76+$O76+9,$S76+$O76)</f>
        <v>42612031</v>
      </c>
      <c r="AR76" s="1" cm="1">
        <f t="array" ref="AR76">IF(INDEX($I$3:$L$22,MATCH($P76,$G$3:$G$22,0),$Q76)=AR$2,$S76+$O76+9,$S76+$O76)</f>
        <v>42612031</v>
      </c>
      <c r="AS76" s="1" cm="1">
        <f t="array" ref="AS76">IF(INDEX($I$3:$L$22,MATCH($P76,$G$3:$G$22,0),$Q76)=AS$2,$S76+$O76+9,$S76+$O76)</f>
        <v>42612031</v>
      </c>
      <c r="AT76" s="1" cm="1">
        <f t="array" ref="AT76">IF(INDEX($I$3:$L$22,MATCH($P76,$G$3:$G$22,0),$Q76)=AT$2,$S76+$O76+9,$S76+$O76)</f>
        <v>42612031</v>
      </c>
      <c r="AU76" s="1" cm="1">
        <f t="array" ref="AU76">IF(INDEX($I$3:$L$22,MATCH($P76,$G$3:$G$22,0),$Q76)=AU$2,$S76+$O76+9,$S76+$O76)</f>
        <v>42612031</v>
      </c>
      <c r="AV76" s="1" cm="1">
        <f t="array" ref="AV76">IF(INDEX($I$3:$L$22,MATCH($P76,$G$3:$G$22,0),$Q76)=AV$2,$S76+$O76+9,$S76+$O76)</f>
        <v>42612031</v>
      </c>
      <c r="AW76" s="1" cm="1">
        <f t="array" ref="AW76">IF(INDEX($I$3:$L$22,MATCH($P76,$G$3:$G$22,0),$Q76)=AW$2,$S76+$O76+9,$S76+$O76)</f>
        <v>42612031</v>
      </c>
      <c r="AX76" s="1" cm="1">
        <f t="array" ref="AX76">IF(INDEX($I$3:$L$22,MATCH($P76,$G$3:$G$22,0),$Q76)=AX$2,$S76+$O76+9,$S76+$O76)</f>
        <v>42612031</v>
      </c>
      <c r="AY76" s="1" cm="1">
        <f t="array" ref="AY76">IF(INDEX($I$3:$L$22,MATCH($P76,$G$3:$G$22,0),$Q76)=AY$2,$S76+$O76+9,$S76+$O76)</f>
        <v>42612031</v>
      </c>
      <c r="AZ76" s="1" cm="1">
        <f t="array" ref="AZ76">IF(INDEX($I$3:$L$22,MATCH($P76,$G$3:$G$22,0),$Q76)=AZ$2,$S76+$O76+9,$S76+$O76)</f>
        <v>42612031</v>
      </c>
      <c r="BA76" s="1" cm="1">
        <f t="array" ref="BA76">IF(INDEX($I$3:$L$22,MATCH($P76,$G$3:$G$22,0),$Q76)=BA$2,$S76+$O76+9,$S76+$O76)</f>
        <v>42612031</v>
      </c>
      <c r="BB76" s="1" cm="1">
        <f t="array" ref="BB76">IF(INDEX($I$3:$L$22,MATCH($P76,$G$3:$G$22,0),$Q76)=BB$2,$S76+$O76+9,$S76+$O76)</f>
        <v>42612031</v>
      </c>
      <c r="BC76" s="1" cm="1">
        <f t="array" ref="BC76">IF(INDEX($I$3:$L$22,MATCH($P76,$G$3:$G$22,0),$Q76)=BC$2,$S76+$O76+9,$S76+$O76)</f>
        <v>42612031</v>
      </c>
      <c r="BD76" s="1" cm="1">
        <f t="array" ref="BD76">IF(INDEX($I$3:$L$22,MATCH($P76,$G$3:$G$22,0),$Q76)=BD$2,$S76+$O76+9,$S76+$O76)</f>
        <v>42612031</v>
      </c>
      <c r="BE76" s="1" cm="1">
        <f t="array" ref="BE76">IF(INDEX($I$3:$L$22,MATCH($P76,$G$3:$G$22,0),$Q76)=BE$2,$S76+$O76+9,$S76+$O76)</f>
        <v>42612031</v>
      </c>
      <c r="BF76" s="1" cm="1">
        <f t="array" ref="BF76">IF(INDEX($I$3:$L$22,MATCH($P76,$G$3:$G$22,0),$Q76)=BF$2,$S76+$O76+9,$S76+$O76)</f>
        <v>42612031</v>
      </c>
      <c r="BG76" s="1" cm="1">
        <f t="array" ref="BG76">IF(INDEX($I$3:$L$22,MATCH($P76,$G$3:$G$22,0),$Q76)=BG$2,$S76+$O76+9,$S76+$O76)</f>
        <v>42612031</v>
      </c>
      <c r="BH76" s="1" cm="1">
        <f t="array" ref="BH76">IF(INDEX($I$3:$L$22,MATCH($P76,$G$3:$G$22,0),$Q76)=BH$2,$S76+$O76+9,$S76+$O76)</f>
        <v>42612031</v>
      </c>
      <c r="BI76" s="1" cm="1">
        <f t="array" ref="BI76">IF(INDEX($I$3:$L$22,MATCH($P76,$G$3:$G$22,0),$Q76)=BI$2,$S76+$O76+9,$S76+$O76)</f>
        <v>42612031</v>
      </c>
      <c r="BJ76" s="1" cm="1">
        <f t="array" ref="BJ76">IF(INDEX($I$3:$L$22,MATCH($P76,$G$3:$G$22,0),$Q76)=BJ$2,$S76+$O76+9,$S76+$O76)</f>
        <v>42612031</v>
      </c>
      <c r="BK76" s="1" cm="1">
        <f t="array" ref="BK76">IF(INDEX($I$3:$L$22,MATCH($P76,$G$3:$G$22,0),$Q76)=BK$2,$S76+$O76+9,$S76+$O76)</f>
        <v>42612031</v>
      </c>
      <c r="BL76" s="1" cm="1">
        <f t="array" ref="BL76">IF(INDEX($I$3:$L$22,MATCH($P76,$G$3:$G$22,0),$Q76)=BL$2,$S76+$O76+9,$S76+$O76)</f>
        <v>42612031</v>
      </c>
      <c r="BM76" s="1" cm="1">
        <f t="array" ref="BM76">IF(INDEX($I$3:$L$22,MATCH($P76,$G$3:$G$22,0),$Q76)=BM$2,$S76+$O76+9,$S76+$O76)</f>
        <v>42612031</v>
      </c>
      <c r="BN76" s="1" cm="1">
        <f t="array" ref="BN76">IF(INDEX($I$3:$L$22,MATCH($P76,$G$3:$G$22,0),$Q76)=BN$2,$S76+$O76+9,$S76+$O76)</f>
        <v>42612031</v>
      </c>
      <c r="BO76" s="1" cm="1">
        <f t="array" ref="BO76">IF(INDEX($I$3:$L$22,MATCH($P76,$G$3:$G$22,0),$Q76)=BO$2,$S76+$O76+9,$S76+$O76)</f>
        <v>42612031</v>
      </c>
      <c r="BP76" s="1" cm="1">
        <f t="array" ref="BP76">IF(INDEX($I$3:$L$22,MATCH($P76,$G$3:$G$22,0),$Q76)=BP$2,$S76+$O76+9,$S76+$O76)</f>
        <v>42612031</v>
      </c>
      <c r="BQ76" s="1" cm="1">
        <f t="array" ref="BQ76">IF(INDEX($I$3:$L$22,MATCH($P76,$G$3:$G$22,0),$Q76)=BQ$2,$S76+$O76+9,$S76+$O76)</f>
        <v>42612031</v>
      </c>
      <c r="BR76" s="1" cm="1">
        <f t="array" ref="BR76">IF(INDEX($I$3:$L$22,MATCH($P76,$G$3:$G$22,0),$Q76)=BR$2,$S76+$O76+9,$S76+$O76)</f>
        <v>42612040</v>
      </c>
      <c r="BS76" s="1" cm="1">
        <f t="array" ref="BS76">IF(INDEX($I$3:$L$22,MATCH($P76,$G$3:$G$22,0),$Q76)=BS$2,$S76+$O76+9,$S76+$O76)</f>
        <v>42612031</v>
      </c>
      <c r="BT76" s="1" cm="1">
        <f t="array" ref="BT76">IF(INDEX($I$3:$L$22,MATCH($P76,$G$3:$G$22,0),$Q76)=BT$2,$S76+$O76+9,$S76+$O76)</f>
        <v>42612031</v>
      </c>
    </row>
    <row r="77" spans="14:72" x14ac:dyDescent="0.15">
      <c r="N77" s="1">
        <v>50002</v>
      </c>
      <c r="O77" s="1">
        <f t="shared" si="9"/>
        <v>31</v>
      </c>
      <c r="P77" s="1">
        <f t="shared" si="10"/>
        <v>403</v>
      </c>
      <c r="Q77" s="1">
        <f t="shared" si="11"/>
        <v>3</v>
      </c>
      <c r="R77" s="1" t="s">
        <v>16</v>
      </c>
      <c r="S77" s="1">
        <v>42713000</v>
      </c>
      <c r="T77" s="1" t="str">
        <f t="shared" si="12"/>
        <v>42713031,42713040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77" s="1" cm="1">
        <f t="array" ref="W77">IF(INDEX($I$3:$L$22,MATCH($P77,$G$3:$G$22,0),$Q77)=W$2,$S77+$O77+9,$S77+$O77)</f>
        <v>42713031</v>
      </c>
      <c r="X77" s="1" cm="1">
        <f t="array" ref="X77">IF(INDEX($I$3:$L$22,MATCH($P77,$G$3:$G$22,0),$Q77)=X$2,$S77+$O77+9,$S77+$O77)</f>
        <v>42713040</v>
      </c>
      <c r="Y77" s="1" cm="1">
        <f t="array" ref="Y77">IF(INDEX($I$3:$L$22,MATCH($P77,$G$3:$G$22,0),$Q77)=Y$2,$S77+$O77+9,$S77+$O77)</f>
        <v>42713031</v>
      </c>
      <c r="Z77" s="1" cm="1">
        <f t="array" ref="Z77">IF(INDEX($I$3:$L$22,MATCH($P77,$G$3:$G$22,0),$Q77)=Z$2,$S77+$O77+9,$S77+$O77)</f>
        <v>42713031</v>
      </c>
      <c r="AA77" s="1" cm="1">
        <f t="array" ref="AA77">IF(INDEX($I$3:$L$22,MATCH($P77,$G$3:$G$22,0),$Q77)=AA$2,$S77+$O77+9,$S77+$O77)</f>
        <v>42713031</v>
      </c>
      <c r="AB77" s="1" cm="1">
        <f t="array" ref="AB77">IF(INDEX($I$3:$L$22,MATCH($P77,$G$3:$G$22,0),$Q77)=AB$2,$S77+$O77+9,$S77+$O77)</f>
        <v>42713031</v>
      </c>
      <c r="AC77" s="1" cm="1">
        <f t="array" ref="AC77">IF(INDEX($I$3:$L$22,MATCH($P77,$G$3:$G$22,0),$Q77)=AC$2,$S77+$O77+9,$S77+$O77)</f>
        <v>42713031</v>
      </c>
      <c r="AD77" s="1" cm="1">
        <f t="array" ref="AD77">IF(INDEX($I$3:$L$22,MATCH($P77,$G$3:$G$22,0),$Q77)=AD$2,$S77+$O77+9,$S77+$O77)</f>
        <v>42713031</v>
      </c>
      <c r="AE77" s="1" cm="1">
        <f t="array" ref="AE77">IF(INDEX($I$3:$L$22,MATCH($P77,$G$3:$G$22,0),$Q77)=AE$2,$S77+$O77+9,$S77+$O77)</f>
        <v>42713031</v>
      </c>
      <c r="AF77" s="1" cm="1">
        <f t="array" ref="AF77">IF(INDEX($I$3:$L$22,MATCH($P77,$G$3:$G$22,0),$Q77)=AF$2,$S77+$O77+9,$S77+$O77)</f>
        <v>42713031</v>
      </c>
      <c r="AG77" s="1" cm="1">
        <f t="array" ref="AG77">IF(INDEX($I$3:$L$22,MATCH($P77,$G$3:$G$22,0),$Q77)=AG$2,$S77+$O77+9,$S77+$O77)</f>
        <v>42713031</v>
      </c>
      <c r="AH77" s="1" cm="1">
        <f t="array" ref="AH77">IF(INDEX($I$3:$L$22,MATCH($P77,$G$3:$G$22,0),$Q77)=AH$2,$S77+$O77+9,$S77+$O77)</f>
        <v>42713031</v>
      </c>
      <c r="AI77" s="1" cm="1">
        <f t="array" ref="AI77">IF(INDEX($I$3:$L$22,MATCH($P77,$G$3:$G$22,0),$Q77)=AI$2,$S77+$O77+9,$S77+$O77)</f>
        <v>42713031</v>
      </c>
      <c r="AJ77" s="1" cm="1">
        <f t="array" ref="AJ77">IF(INDEX($I$3:$L$22,MATCH($P77,$G$3:$G$22,0),$Q77)=AJ$2,$S77+$O77+9,$S77+$O77)</f>
        <v>42713031</v>
      </c>
      <c r="AK77" s="1" cm="1">
        <f t="array" ref="AK77">IF(INDEX($I$3:$L$22,MATCH($P77,$G$3:$G$22,0),$Q77)=AK$2,$S77+$O77+9,$S77+$O77)</f>
        <v>42713031</v>
      </c>
      <c r="AL77" s="1" cm="1">
        <f t="array" ref="AL77">IF(INDEX($I$3:$L$22,MATCH($P77,$G$3:$G$22,0),$Q77)=AL$2,$S77+$O77+9,$S77+$O77)</f>
        <v>42713031</v>
      </c>
      <c r="AM77" s="1" cm="1">
        <f t="array" ref="AM77">IF(INDEX($I$3:$L$22,MATCH($P77,$G$3:$G$22,0),$Q77)=AM$2,$S77+$O77+9,$S77+$O77)</f>
        <v>42713031</v>
      </c>
      <c r="AN77" s="1" cm="1">
        <f t="array" ref="AN77">IF(INDEX($I$3:$L$22,MATCH($P77,$G$3:$G$22,0),$Q77)=AN$2,$S77+$O77+9,$S77+$O77)</f>
        <v>42713031</v>
      </c>
      <c r="AO77" s="1" cm="1">
        <f t="array" ref="AO77">IF(INDEX($I$3:$L$22,MATCH($P77,$G$3:$G$22,0),$Q77)=AO$2,$S77+$O77+9,$S77+$O77)</f>
        <v>42713031</v>
      </c>
      <c r="AP77" s="1" cm="1">
        <f t="array" ref="AP77">IF(INDEX($I$3:$L$22,MATCH($P77,$G$3:$G$22,0),$Q77)=AP$2,$S77+$O77+9,$S77+$O77)</f>
        <v>42713031</v>
      </c>
      <c r="AQ77" s="1" cm="1">
        <f t="array" ref="AQ77">IF(INDEX($I$3:$L$22,MATCH($P77,$G$3:$G$22,0),$Q77)=AQ$2,$S77+$O77+9,$S77+$O77)</f>
        <v>42713031</v>
      </c>
      <c r="AR77" s="1" cm="1">
        <f t="array" ref="AR77">IF(INDEX($I$3:$L$22,MATCH($P77,$G$3:$G$22,0),$Q77)=AR$2,$S77+$O77+9,$S77+$O77)</f>
        <v>42713031</v>
      </c>
      <c r="AS77" s="1" cm="1">
        <f t="array" ref="AS77">IF(INDEX($I$3:$L$22,MATCH($P77,$G$3:$G$22,0),$Q77)=AS$2,$S77+$O77+9,$S77+$O77)</f>
        <v>42713031</v>
      </c>
      <c r="AT77" s="1" cm="1">
        <f t="array" ref="AT77">IF(INDEX($I$3:$L$22,MATCH($P77,$G$3:$G$22,0),$Q77)=AT$2,$S77+$O77+9,$S77+$O77)</f>
        <v>42713031</v>
      </c>
      <c r="AU77" s="1" cm="1">
        <f t="array" ref="AU77">IF(INDEX($I$3:$L$22,MATCH($P77,$G$3:$G$22,0),$Q77)=AU$2,$S77+$O77+9,$S77+$O77)</f>
        <v>42713031</v>
      </c>
      <c r="AV77" s="1" cm="1">
        <f t="array" ref="AV77">IF(INDEX($I$3:$L$22,MATCH($P77,$G$3:$G$22,0),$Q77)=AV$2,$S77+$O77+9,$S77+$O77)</f>
        <v>42713031</v>
      </c>
      <c r="AW77" s="1" cm="1">
        <f t="array" ref="AW77">IF(INDEX($I$3:$L$22,MATCH($P77,$G$3:$G$22,0),$Q77)=AW$2,$S77+$O77+9,$S77+$O77)</f>
        <v>42713031</v>
      </c>
      <c r="AX77" s="1" cm="1">
        <f t="array" ref="AX77">IF(INDEX($I$3:$L$22,MATCH($P77,$G$3:$G$22,0),$Q77)=AX$2,$S77+$O77+9,$S77+$O77)</f>
        <v>42713031</v>
      </c>
      <c r="AY77" s="1" cm="1">
        <f t="array" ref="AY77">IF(INDEX($I$3:$L$22,MATCH($P77,$G$3:$G$22,0),$Q77)=AY$2,$S77+$O77+9,$S77+$O77)</f>
        <v>42713031</v>
      </c>
      <c r="AZ77" s="1" cm="1">
        <f t="array" ref="AZ77">IF(INDEX($I$3:$L$22,MATCH($P77,$G$3:$G$22,0),$Q77)=AZ$2,$S77+$O77+9,$S77+$O77)</f>
        <v>42713031</v>
      </c>
      <c r="BA77" s="1" cm="1">
        <f t="array" ref="BA77">IF(INDEX($I$3:$L$22,MATCH($P77,$G$3:$G$22,0),$Q77)=BA$2,$S77+$O77+9,$S77+$O77)</f>
        <v>42713031</v>
      </c>
      <c r="BB77" s="1" cm="1">
        <f t="array" ref="BB77">IF(INDEX($I$3:$L$22,MATCH($P77,$G$3:$G$22,0),$Q77)=BB$2,$S77+$O77+9,$S77+$O77)</f>
        <v>42713031</v>
      </c>
      <c r="BC77" s="1" cm="1">
        <f t="array" ref="BC77">IF(INDEX($I$3:$L$22,MATCH($P77,$G$3:$G$22,0),$Q77)=BC$2,$S77+$O77+9,$S77+$O77)</f>
        <v>42713031</v>
      </c>
      <c r="BD77" s="1" cm="1">
        <f t="array" ref="BD77">IF(INDEX($I$3:$L$22,MATCH($P77,$G$3:$G$22,0),$Q77)=BD$2,$S77+$O77+9,$S77+$O77)</f>
        <v>42713031</v>
      </c>
      <c r="BE77" s="1" cm="1">
        <f t="array" ref="BE77">IF(INDEX($I$3:$L$22,MATCH($P77,$G$3:$G$22,0),$Q77)=BE$2,$S77+$O77+9,$S77+$O77)</f>
        <v>42713031</v>
      </c>
      <c r="BF77" s="1" cm="1">
        <f t="array" ref="BF77">IF(INDEX($I$3:$L$22,MATCH($P77,$G$3:$G$22,0),$Q77)=BF$2,$S77+$O77+9,$S77+$O77)</f>
        <v>42713031</v>
      </c>
      <c r="BG77" s="1" cm="1">
        <f t="array" ref="BG77">IF(INDEX($I$3:$L$22,MATCH($P77,$G$3:$G$22,0),$Q77)=BG$2,$S77+$O77+9,$S77+$O77)</f>
        <v>42713031</v>
      </c>
      <c r="BH77" s="1" cm="1">
        <f t="array" ref="BH77">IF(INDEX($I$3:$L$22,MATCH($P77,$G$3:$G$22,0),$Q77)=BH$2,$S77+$O77+9,$S77+$O77)</f>
        <v>42713031</v>
      </c>
      <c r="BI77" s="1" cm="1">
        <f t="array" ref="BI77">IF(INDEX($I$3:$L$22,MATCH($P77,$G$3:$G$22,0),$Q77)=BI$2,$S77+$O77+9,$S77+$O77)</f>
        <v>42713031</v>
      </c>
      <c r="BJ77" s="1" cm="1">
        <f t="array" ref="BJ77">IF(INDEX($I$3:$L$22,MATCH($P77,$G$3:$G$22,0),$Q77)=BJ$2,$S77+$O77+9,$S77+$O77)</f>
        <v>42713031</v>
      </c>
      <c r="BK77" s="1" cm="1">
        <f t="array" ref="BK77">IF(INDEX($I$3:$L$22,MATCH($P77,$G$3:$G$22,0),$Q77)=BK$2,$S77+$O77+9,$S77+$O77)</f>
        <v>42713031</v>
      </c>
      <c r="BL77" s="1" cm="1">
        <f t="array" ref="BL77">IF(INDEX($I$3:$L$22,MATCH($P77,$G$3:$G$22,0),$Q77)=BL$2,$S77+$O77+9,$S77+$O77)</f>
        <v>42713031</v>
      </c>
      <c r="BM77" s="1" cm="1">
        <f t="array" ref="BM77">IF(INDEX($I$3:$L$22,MATCH($P77,$G$3:$G$22,0),$Q77)=BM$2,$S77+$O77+9,$S77+$O77)</f>
        <v>42713031</v>
      </c>
      <c r="BN77" s="1" cm="1">
        <f t="array" ref="BN77">IF(INDEX($I$3:$L$22,MATCH($P77,$G$3:$G$22,0),$Q77)=BN$2,$S77+$O77+9,$S77+$O77)</f>
        <v>42713031</v>
      </c>
      <c r="BO77" s="1" cm="1">
        <f t="array" ref="BO77">IF(INDEX($I$3:$L$22,MATCH($P77,$G$3:$G$22,0),$Q77)=BO$2,$S77+$O77+9,$S77+$O77)</f>
        <v>42713031</v>
      </c>
      <c r="BP77" s="1" cm="1">
        <f t="array" ref="BP77">IF(INDEX($I$3:$L$22,MATCH($P77,$G$3:$G$22,0),$Q77)=BP$2,$S77+$O77+9,$S77+$O77)</f>
        <v>42713031</v>
      </c>
      <c r="BQ77" s="1" cm="1">
        <f t="array" ref="BQ77">IF(INDEX($I$3:$L$22,MATCH($P77,$G$3:$G$22,0),$Q77)=BQ$2,$S77+$O77+9,$S77+$O77)</f>
        <v>42713031</v>
      </c>
      <c r="BR77" s="1" cm="1">
        <f t="array" ref="BR77">IF(INDEX($I$3:$L$22,MATCH($P77,$G$3:$G$22,0),$Q77)=BR$2,$S77+$O77+9,$S77+$O77)</f>
        <v>42713031</v>
      </c>
      <c r="BS77" s="1" cm="1">
        <f t="array" ref="BS77">IF(INDEX($I$3:$L$22,MATCH($P77,$G$3:$G$22,0),$Q77)=BS$2,$S77+$O77+9,$S77+$O77)</f>
        <v>42713031</v>
      </c>
      <c r="BT77" s="1" cm="1">
        <f t="array" ref="BT77">IF(INDEX($I$3:$L$22,MATCH($P77,$G$3:$G$22,0),$Q77)=BT$2,$S77+$O77+9,$S77+$O77)</f>
        <v>42713031</v>
      </c>
    </row>
    <row r="78" spans="14:72" x14ac:dyDescent="0.15">
      <c r="N78" s="1">
        <v>50002</v>
      </c>
      <c r="O78" s="1">
        <f t="shared" si="9"/>
        <v>31</v>
      </c>
      <c r="P78" s="1">
        <f t="shared" si="10"/>
        <v>403</v>
      </c>
      <c r="Q78" s="1">
        <f t="shared" si="11"/>
        <v>4</v>
      </c>
      <c r="R78" s="1" t="s">
        <v>15</v>
      </c>
      <c r="S78" s="1">
        <v>42716000</v>
      </c>
      <c r="T78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</v>
      </c>
      <c r="W78" s="1" cm="1">
        <f t="array" ref="W78">IF(INDEX($I$3:$L$22,MATCH($P78,$G$3:$G$22,0),$Q78)=W$2,$S78+$O78+9,$S78+$O78)</f>
        <v>42716031</v>
      </c>
      <c r="X78" s="1" cm="1">
        <f t="array" ref="X78">IF(INDEX($I$3:$L$22,MATCH($P78,$G$3:$G$22,0),$Q78)=X$2,$S78+$O78+9,$S78+$O78)</f>
        <v>42716031</v>
      </c>
      <c r="Y78" s="1" cm="1">
        <f t="array" ref="Y78">IF(INDEX($I$3:$L$22,MATCH($P78,$G$3:$G$22,0),$Q78)=Y$2,$S78+$O78+9,$S78+$O78)</f>
        <v>42716031</v>
      </c>
      <c r="Z78" s="1" cm="1">
        <f t="array" ref="Z78">IF(INDEX($I$3:$L$22,MATCH($P78,$G$3:$G$22,0),$Q78)=Z$2,$S78+$O78+9,$S78+$O78)</f>
        <v>42716031</v>
      </c>
      <c r="AA78" s="1" cm="1">
        <f t="array" ref="AA78">IF(INDEX($I$3:$L$22,MATCH($P78,$G$3:$G$22,0),$Q78)=AA$2,$S78+$O78+9,$S78+$O78)</f>
        <v>42716031</v>
      </c>
      <c r="AB78" s="1" cm="1">
        <f t="array" ref="AB78">IF(INDEX($I$3:$L$22,MATCH($P78,$G$3:$G$22,0),$Q78)=AB$2,$S78+$O78+9,$S78+$O78)</f>
        <v>42716031</v>
      </c>
      <c r="AC78" s="1" cm="1">
        <f t="array" ref="AC78">IF(INDEX($I$3:$L$22,MATCH($P78,$G$3:$G$22,0),$Q78)=AC$2,$S78+$O78+9,$S78+$O78)</f>
        <v>42716031</v>
      </c>
      <c r="AD78" s="1" cm="1">
        <f t="array" ref="AD78">IF(INDEX($I$3:$L$22,MATCH($P78,$G$3:$G$22,0),$Q78)=AD$2,$S78+$O78+9,$S78+$O78)</f>
        <v>42716031</v>
      </c>
      <c r="AE78" s="1" cm="1">
        <f t="array" ref="AE78">IF(INDEX($I$3:$L$22,MATCH($P78,$G$3:$G$22,0),$Q78)=AE$2,$S78+$O78+9,$S78+$O78)</f>
        <v>42716031</v>
      </c>
      <c r="AF78" s="1" cm="1">
        <f t="array" ref="AF78">IF(INDEX($I$3:$L$22,MATCH($P78,$G$3:$G$22,0),$Q78)=AF$2,$S78+$O78+9,$S78+$O78)</f>
        <v>42716031</v>
      </c>
      <c r="AG78" s="1" cm="1">
        <f t="array" ref="AG78">IF(INDEX($I$3:$L$22,MATCH($P78,$G$3:$G$22,0),$Q78)=AG$2,$S78+$O78+9,$S78+$O78)</f>
        <v>42716031</v>
      </c>
      <c r="AH78" s="1" cm="1">
        <f t="array" ref="AH78">IF(INDEX($I$3:$L$22,MATCH($P78,$G$3:$G$22,0),$Q78)=AH$2,$S78+$O78+9,$S78+$O78)</f>
        <v>42716031</v>
      </c>
      <c r="AI78" s="1" cm="1">
        <f t="array" ref="AI78">IF(INDEX($I$3:$L$22,MATCH($P78,$G$3:$G$22,0),$Q78)=AI$2,$S78+$O78+9,$S78+$O78)</f>
        <v>42716031</v>
      </c>
      <c r="AJ78" s="1" cm="1">
        <f t="array" ref="AJ78">IF(INDEX($I$3:$L$22,MATCH($P78,$G$3:$G$22,0),$Q78)=AJ$2,$S78+$O78+9,$S78+$O78)</f>
        <v>42716031</v>
      </c>
      <c r="AK78" s="1" cm="1">
        <f t="array" ref="AK78">IF(INDEX($I$3:$L$22,MATCH($P78,$G$3:$G$22,0),$Q78)=AK$2,$S78+$O78+9,$S78+$O78)</f>
        <v>42716031</v>
      </c>
      <c r="AL78" s="1" cm="1">
        <f t="array" ref="AL78">IF(INDEX($I$3:$L$22,MATCH($P78,$G$3:$G$22,0),$Q78)=AL$2,$S78+$O78+9,$S78+$O78)</f>
        <v>42716031</v>
      </c>
      <c r="AM78" s="1" cm="1">
        <f t="array" ref="AM78">IF(INDEX($I$3:$L$22,MATCH($P78,$G$3:$G$22,0),$Q78)=AM$2,$S78+$O78+9,$S78+$O78)</f>
        <v>42716031</v>
      </c>
      <c r="AN78" s="1" cm="1">
        <f t="array" ref="AN78">IF(INDEX($I$3:$L$22,MATCH($P78,$G$3:$G$22,0),$Q78)=AN$2,$S78+$O78+9,$S78+$O78)</f>
        <v>42716031</v>
      </c>
      <c r="AO78" s="1" cm="1">
        <f t="array" ref="AO78">IF(INDEX($I$3:$L$22,MATCH($P78,$G$3:$G$22,0),$Q78)=AO$2,$S78+$O78+9,$S78+$O78)</f>
        <v>42716031</v>
      </c>
      <c r="AP78" s="1" cm="1">
        <f t="array" ref="AP78">IF(INDEX($I$3:$L$22,MATCH($P78,$G$3:$G$22,0),$Q78)=AP$2,$S78+$O78+9,$S78+$O78)</f>
        <v>42716031</v>
      </c>
      <c r="AQ78" s="1" cm="1">
        <f t="array" ref="AQ78">IF(INDEX($I$3:$L$22,MATCH($P78,$G$3:$G$22,0),$Q78)=AQ$2,$S78+$O78+9,$S78+$O78)</f>
        <v>42716031</v>
      </c>
      <c r="AR78" s="1" cm="1">
        <f t="array" ref="AR78">IF(INDEX($I$3:$L$22,MATCH($P78,$G$3:$G$22,0),$Q78)=AR$2,$S78+$O78+9,$S78+$O78)</f>
        <v>42716031</v>
      </c>
      <c r="AS78" s="1" cm="1">
        <f t="array" ref="AS78">IF(INDEX($I$3:$L$22,MATCH($P78,$G$3:$G$22,0),$Q78)=AS$2,$S78+$O78+9,$S78+$O78)</f>
        <v>42716031</v>
      </c>
      <c r="AT78" s="1" cm="1">
        <f t="array" ref="AT78">IF(INDEX($I$3:$L$22,MATCH($P78,$G$3:$G$22,0),$Q78)=AT$2,$S78+$O78+9,$S78+$O78)</f>
        <v>42716031</v>
      </c>
      <c r="AU78" s="1" cm="1">
        <f t="array" ref="AU78">IF(INDEX($I$3:$L$22,MATCH($P78,$G$3:$G$22,0),$Q78)=AU$2,$S78+$O78+9,$S78+$O78)</f>
        <v>42716031</v>
      </c>
      <c r="AV78" s="1" cm="1">
        <f t="array" ref="AV78">IF(INDEX($I$3:$L$22,MATCH($P78,$G$3:$G$22,0),$Q78)=AV$2,$S78+$O78+9,$S78+$O78)</f>
        <v>42716031</v>
      </c>
      <c r="AW78" s="1" cm="1">
        <f t="array" ref="AW78">IF(INDEX($I$3:$L$22,MATCH($P78,$G$3:$G$22,0),$Q78)=AW$2,$S78+$O78+9,$S78+$O78)</f>
        <v>42716031</v>
      </c>
      <c r="AX78" s="1" cm="1">
        <f t="array" ref="AX78">IF(INDEX($I$3:$L$22,MATCH($P78,$G$3:$G$22,0),$Q78)=AX$2,$S78+$O78+9,$S78+$O78)</f>
        <v>42716031</v>
      </c>
      <c r="AY78" s="1" cm="1">
        <f t="array" ref="AY78">IF(INDEX($I$3:$L$22,MATCH($P78,$G$3:$G$22,0),$Q78)=AY$2,$S78+$O78+9,$S78+$O78)</f>
        <v>42716031</v>
      </c>
      <c r="AZ78" s="1" cm="1">
        <f t="array" ref="AZ78">IF(INDEX($I$3:$L$22,MATCH($P78,$G$3:$G$22,0),$Q78)=AZ$2,$S78+$O78+9,$S78+$O78)</f>
        <v>42716031</v>
      </c>
      <c r="BA78" s="1" cm="1">
        <f t="array" ref="BA78">IF(INDEX($I$3:$L$22,MATCH($P78,$G$3:$G$22,0),$Q78)=BA$2,$S78+$O78+9,$S78+$O78)</f>
        <v>42716031</v>
      </c>
      <c r="BB78" s="1" cm="1">
        <f t="array" ref="BB78">IF(INDEX($I$3:$L$22,MATCH($P78,$G$3:$G$22,0),$Q78)=BB$2,$S78+$O78+9,$S78+$O78)</f>
        <v>42716031</v>
      </c>
      <c r="BC78" s="1" cm="1">
        <f t="array" ref="BC78">IF(INDEX($I$3:$L$22,MATCH($P78,$G$3:$G$22,0),$Q78)=BC$2,$S78+$O78+9,$S78+$O78)</f>
        <v>42716031</v>
      </c>
      <c r="BD78" s="1" cm="1">
        <f t="array" ref="BD78">IF(INDEX($I$3:$L$22,MATCH($P78,$G$3:$G$22,0),$Q78)=BD$2,$S78+$O78+9,$S78+$O78)</f>
        <v>42716031</v>
      </c>
      <c r="BE78" s="1" cm="1">
        <f t="array" ref="BE78">IF(INDEX($I$3:$L$22,MATCH($P78,$G$3:$G$22,0),$Q78)=BE$2,$S78+$O78+9,$S78+$O78)</f>
        <v>42716031</v>
      </c>
      <c r="BF78" s="1" cm="1">
        <f t="array" ref="BF78">IF(INDEX($I$3:$L$22,MATCH($P78,$G$3:$G$22,0),$Q78)=BF$2,$S78+$O78+9,$S78+$O78)</f>
        <v>42716031</v>
      </c>
      <c r="BG78" s="1" cm="1">
        <f t="array" ref="BG78">IF(INDEX($I$3:$L$22,MATCH($P78,$G$3:$G$22,0),$Q78)=BG$2,$S78+$O78+9,$S78+$O78)</f>
        <v>42716031</v>
      </c>
      <c r="BH78" s="1" cm="1">
        <f t="array" ref="BH78">IF(INDEX($I$3:$L$22,MATCH($P78,$G$3:$G$22,0),$Q78)=BH$2,$S78+$O78+9,$S78+$O78)</f>
        <v>42716040</v>
      </c>
      <c r="BI78" s="1" cm="1">
        <f t="array" ref="BI78">IF(INDEX($I$3:$L$22,MATCH($P78,$G$3:$G$22,0),$Q78)=BI$2,$S78+$O78+9,$S78+$O78)</f>
        <v>42716031</v>
      </c>
      <c r="BJ78" s="1" cm="1">
        <f t="array" ref="BJ78">IF(INDEX($I$3:$L$22,MATCH($P78,$G$3:$G$22,0),$Q78)=BJ$2,$S78+$O78+9,$S78+$O78)</f>
        <v>42716031</v>
      </c>
      <c r="BK78" s="1" cm="1">
        <f t="array" ref="BK78">IF(INDEX($I$3:$L$22,MATCH($P78,$G$3:$G$22,0),$Q78)=BK$2,$S78+$O78+9,$S78+$O78)</f>
        <v>42716031</v>
      </c>
      <c r="BL78" s="1" cm="1">
        <f t="array" ref="BL78">IF(INDEX($I$3:$L$22,MATCH($P78,$G$3:$G$22,0),$Q78)=BL$2,$S78+$O78+9,$S78+$O78)</f>
        <v>42716031</v>
      </c>
      <c r="BM78" s="1" cm="1">
        <f t="array" ref="BM78">IF(INDEX($I$3:$L$22,MATCH($P78,$G$3:$G$22,0),$Q78)=BM$2,$S78+$O78+9,$S78+$O78)</f>
        <v>42716031</v>
      </c>
      <c r="BN78" s="1" cm="1">
        <f t="array" ref="BN78">IF(INDEX($I$3:$L$22,MATCH($P78,$G$3:$G$22,0),$Q78)=BN$2,$S78+$O78+9,$S78+$O78)</f>
        <v>42716031</v>
      </c>
      <c r="BO78" s="1" cm="1">
        <f t="array" ref="BO78">IF(INDEX($I$3:$L$22,MATCH($P78,$G$3:$G$22,0),$Q78)=BO$2,$S78+$O78+9,$S78+$O78)</f>
        <v>42716031</v>
      </c>
      <c r="BP78" s="1" cm="1">
        <f t="array" ref="BP78">IF(INDEX($I$3:$L$22,MATCH($P78,$G$3:$G$22,0),$Q78)=BP$2,$S78+$O78+9,$S78+$O78)</f>
        <v>42716031</v>
      </c>
      <c r="BQ78" s="1" cm="1">
        <f t="array" ref="BQ78">IF(INDEX($I$3:$L$22,MATCH($P78,$G$3:$G$22,0),$Q78)=BQ$2,$S78+$O78+9,$S78+$O78)</f>
        <v>42716031</v>
      </c>
      <c r="BR78" s="1" cm="1">
        <f t="array" ref="BR78">IF(INDEX($I$3:$L$22,MATCH($P78,$G$3:$G$22,0),$Q78)=BR$2,$S78+$O78+9,$S78+$O78)</f>
        <v>42716031</v>
      </c>
      <c r="BS78" s="1" cm="1">
        <f t="array" ref="BS78">IF(INDEX($I$3:$L$22,MATCH($P78,$G$3:$G$22,0),$Q78)=BS$2,$S78+$O78+9,$S78+$O78)</f>
        <v>42716031</v>
      </c>
      <c r="BT78" s="1" cm="1">
        <f t="array" ref="BT78">IF(INDEX($I$3:$L$22,MATCH($P78,$G$3:$G$22,0),$Q78)=BT$2,$S78+$O78+9,$S78+$O78)</f>
        <v>42716031</v>
      </c>
    </row>
    <row r="79" spans="14:72" x14ac:dyDescent="0.15">
      <c r="N79" s="1">
        <v>50002</v>
      </c>
      <c r="O79" s="1">
        <f t="shared" si="9"/>
        <v>31</v>
      </c>
      <c r="P79" s="1">
        <f t="shared" si="10"/>
        <v>404</v>
      </c>
      <c r="Q79" s="1">
        <f t="shared" si="11"/>
        <v>1</v>
      </c>
      <c r="R79" s="1" t="s">
        <v>18</v>
      </c>
      <c r="S79" s="1">
        <v>42711000</v>
      </c>
      <c r="T79" s="1" t="str">
        <f t="shared" si="12"/>
        <v>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42711031,42711040,42711031</v>
      </c>
      <c r="W79" s="1" cm="1">
        <f t="array" ref="W79">IF(INDEX($I$3:$L$22,MATCH($P79,$G$3:$G$22,0),$Q79)=W$2,$S79+$O79+9,$S79+$O79)</f>
        <v>42711031</v>
      </c>
      <c r="X79" s="1" cm="1">
        <f t="array" ref="X79">IF(INDEX($I$3:$L$22,MATCH($P79,$G$3:$G$22,0),$Q79)=X$2,$S79+$O79+9,$S79+$O79)</f>
        <v>42711031</v>
      </c>
      <c r="Y79" s="1" cm="1">
        <f t="array" ref="Y79">IF(INDEX($I$3:$L$22,MATCH($P79,$G$3:$G$22,0),$Q79)=Y$2,$S79+$O79+9,$S79+$O79)</f>
        <v>42711031</v>
      </c>
      <c r="Z79" s="1" cm="1">
        <f t="array" ref="Z79">IF(INDEX($I$3:$L$22,MATCH($P79,$G$3:$G$22,0),$Q79)=Z$2,$S79+$O79+9,$S79+$O79)</f>
        <v>42711031</v>
      </c>
      <c r="AA79" s="1" cm="1">
        <f t="array" ref="AA79">IF(INDEX($I$3:$L$22,MATCH($P79,$G$3:$G$22,0),$Q79)=AA$2,$S79+$O79+9,$S79+$O79)</f>
        <v>42711031</v>
      </c>
      <c r="AB79" s="1" cm="1">
        <f t="array" ref="AB79">IF(INDEX($I$3:$L$22,MATCH($P79,$G$3:$G$22,0),$Q79)=AB$2,$S79+$O79+9,$S79+$O79)</f>
        <v>42711031</v>
      </c>
      <c r="AC79" s="1" cm="1">
        <f t="array" ref="AC79">IF(INDEX($I$3:$L$22,MATCH($P79,$G$3:$G$22,0),$Q79)=AC$2,$S79+$O79+9,$S79+$O79)</f>
        <v>42711031</v>
      </c>
      <c r="AD79" s="1" cm="1">
        <f t="array" ref="AD79">IF(INDEX($I$3:$L$22,MATCH($P79,$G$3:$G$22,0),$Q79)=AD$2,$S79+$O79+9,$S79+$O79)</f>
        <v>42711031</v>
      </c>
      <c r="AE79" s="1" cm="1">
        <f t="array" ref="AE79">IF(INDEX($I$3:$L$22,MATCH($P79,$G$3:$G$22,0),$Q79)=AE$2,$S79+$O79+9,$S79+$O79)</f>
        <v>42711031</v>
      </c>
      <c r="AF79" s="1" cm="1">
        <f t="array" ref="AF79">IF(INDEX($I$3:$L$22,MATCH($P79,$G$3:$G$22,0),$Q79)=AF$2,$S79+$O79+9,$S79+$O79)</f>
        <v>42711031</v>
      </c>
      <c r="AG79" s="1" cm="1">
        <f t="array" ref="AG79">IF(INDEX($I$3:$L$22,MATCH($P79,$G$3:$G$22,0),$Q79)=AG$2,$S79+$O79+9,$S79+$O79)</f>
        <v>42711031</v>
      </c>
      <c r="AH79" s="1" cm="1">
        <f t="array" ref="AH79">IF(INDEX($I$3:$L$22,MATCH($P79,$G$3:$G$22,0),$Q79)=AH$2,$S79+$O79+9,$S79+$O79)</f>
        <v>42711031</v>
      </c>
      <c r="AI79" s="1" cm="1">
        <f t="array" ref="AI79">IF(INDEX($I$3:$L$22,MATCH($P79,$G$3:$G$22,0),$Q79)=AI$2,$S79+$O79+9,$S79+$O79)</f>
        <v>42711031</v>
      </c>
      <c r="AJ79" s="1" cm="1">
        <f t="array" ref="AJ79">IF(INDEX($I$3:$L$22,MATCH($P79,$G$3:$G$22,0),$Q79)=AJ$2,$S79+$O79+9,$S79+$O79)</f>
        <v>42711031</v>
      </c>
      <c r="AK79" s="1" cm="1">
        <f t="array" ref="AK79">IF(INDEX($I$3:$L$22,MATCH($P79,$G$3:$G$22,0),$Q79)=AK$2,$S79+$O79+9,$S79+$O79)</f>
        <v>42711031</v>
      </c>
      <c r="AL79" s="1" cm="1">
        <f t="array" ref="AL79">IF(INDEX($I$3:$L$22,MATCH($P79,$G$3:$G$22,0),$Q79)=AL$2,$S79+$O79+9,$S79+$O79)</f>
        <v>42711031</v>
      </c>
      <c r="AM79" s="1" cm="1">
        <f t="array" ref="AM79">IF(INDEX($I$3:$L$22,MATCH($P79,$G$3:$G$22,0),$Q79)=AM$2,$S79+$O79+9,$S79+$O79)</f>
        <v>42711031</v>
      </c>
      <c r="AN79" s="1" cm="1">
        <f t="array" ref="AN79">IF(INDEX($I$3:$L$22,MATCH($P79,$G$3:$G$22,0),$Q79)=AN$2,$S79+$O79+9,$S79+$O79)</f>
        <v>42711031</v>
      </c>
      <c r="AO79" s="1" cm="1">
        <f t="array" ref="AO79">IF(INDEX($I$3:$L$22,MATCH($P79,$G$3:$G$22,0),$Q79)=AO$2,$S79+$O79+9,$S79+$O79)</f>
        <v>42711031</v>
      </c>
      <c r="AP79" s="1" cm="1">
        <f t="array" ref="AP79">IF(INDEX($I$3:$L$22,MATCH($P79,$G$3:$G$22,0),$Q79)=AP$2,$S79+$O79+9,$S79+$O79)</f>
        <v>42711031</v>
      </c>
      <c r="AQ79" s="1" cm="1">
        <f t="array" ref="AQ79">IF(INDEX($I$3:$L$22,MATCH($P79,$G$3:$G$22,0),$Q79)=AQ$2,$S79+$O79+9,$S79+$O79)</f>
        <v>42711031</v>
      </c>
      <c r="AR79" s="1" cm="1">
        <f t="array" ref="AR79">IF(INDEX($I$3:$L$22,MATCH($P79,$G$3:$G$22,0),$Q79)=AR$2,$S79+$O79+9,$S79+$O79)</f>
        <v>42711031</v>
      </c>
      <c r="AS79" s="1" cm="1">
        <f t="array" ref="AS79">IF(INDEX($I$3:$L$22,MATCH($P79,$G$3:$G$22,0),$Q79)=AS$2,$S79+$O79+9,$S79+$O79)</f>
        <v>42711031</v>
      </c>
      <c r="AT79" s="1" cm="1">
        <f t="array" ref="AT79">IF(INDEX($I$3:$L$22,MATCH($P79,$G$3:$G$22,0),$Q79)=AT$2,$S79+$O79+9,$S79+$O79)</f>
        <v>42711031</v>
      </c>
      <c r="AU79" s="1" cm="1">
        <f t="array" ref="AU79">IF(INDEX($I$3:$L$22,MATCH($P79,$G$3:$G$22,0),$Q79)=AU$2,$S79+$O79+9,$S79+$O79)</f>
        <v>42711031</v>
      </c>
      <c r="AV79" s="1" cm="1">
        <f t="array" ref="AV79">IF(INDEX($I$3:$L$22,MATCH($P79,$G$3:$G$22,0),$Q79)=AV$2,$S79+$O79+9,$S79+$O79)</f>
        <v>42711031</v>
      </c>
      <c r="AW79" s="1" cm="1">
        <f t="array" ref="AW79">IF(INDEX($I$3:$L$22,MATCH($P79,$G$3:$G$22,0),$Q79)=AW$2,$S79+$O79+9,$S79+$O79)</f>
        <v>42711031</v>
      </c>
      <c r="AX79" s="1" cm="1">
        <f t="array" ref="AX79">IF(INDEX($I$3:$L$22,MATCH($P79,$G$3:$G$22,0),$Q79)=AX$2,$S79+$O79+9,$S79+$O79)</f>
        <v>42711031</v>
      </c>
      <c r="AY79" s="1" cm="1">
        <f t="array" ref="AY79">IF(INDEX($I$3:$L$22,MATCH($P79,$G$3:$G$22,0),$Q79)=AY$2,$S79+$O79+9,$S79+$O79)</f>
        <v>42711031</v>
      </c>
      <c r="AZ79" s="1" cm="1">
        <f t="array" ref="AZ79">IF(INDEX($I$3:$L$22,MATCH($P79,$G$3:$G$22,0),$Q79)=AZ$2,$S79+$O79+9,$S79+$O79)</f>
        <v>42711031</v>
      </c>
      <c r="BA79" s="1" cm="1">
        <f t="array" ref="BA79">IF(INDEX($I$3:$L$22,MATCH($P79,$G$3:$G$22,0),$Q79)=BA$2,$S79+$O79+9,$S79+$O79)</f>
        <v>42711031</v>
      </c>
      <c r="BB79" s="1" cm="1">
        <f t="array" ref="BB79">IF(INDEX($I$3:$L$22,MATCH($P79,$G$3:$G$22,0),$Q79)=BB$2,$S79+$O79+9,$S79+$O79)</f>
        <v>42711031</v>
      </c>
      <c r="BC79" s="1" cm="1">
        <f t="array" ref="BC79">IF(INDEX($I$3:$L$22,MATCH($P79,$G$3:$G$22,0),$Q79)=BC$2,$S79+$O79+9,$S79+$O79)</f>
        <v>42711031</v>
      </c>
      <c r="BD79" s="1" cm="1">
        <f t="array" ref="BD79">IF(INDEX($I$3:$L$22,MATCH($P79,$G$3:$G$22,0),$Q79)=BD$2,$S79+$O79+9,$S79+$O79)</f>
        <v>42711031</v>
      </c>
      <c r="BE79" s="1" cm="1">
        <f t="array" ref="BE79">IF(INDEX($I$3:$L$22,MATCH($P79,$G$3:$G$22,0),$Q79)=BE$2,$S79+$O79+9,$S79+$O79)</f>
        <v>42711031</v>
      </c>
      <c r="BF79" s="1" cm="1">
        <f t="array" ref="BF79">IF(INDEX($I$3:$L$22,MATCH($P79,$G$3:$G$22,0),$Q79)=BF$2,$S79+$O79+9,$S79+$O79)</f>
        <v>42711031</v>
      </c>
      <c r="BG79" s="1" cm="1">
        <f t="array" ref="BG79">IF(INDEX($I$3:$L$22,MATCH($P79,$G$3:$G$22,0),$Q79)=BG$2,$S79+$O79+9,$S79+$O79)</f>
        <v>42711031</v>
      </c>
      <c r="BH79" s="1" cm="1">
        <f t="array" ref="BH79">IF(INDEX($I$3:$L$22,MATCH($P79,$G$3:$G$22,0),$Q79)=BH$2,$S79+$O79+9,$S79+$O79)</f>
        <v>42711031</v>
      </c>
      <c r="BI79" s="1" cm="1">
        <f t="array" ref="BI79">IF(INDEX($I$3:$L$22,MATCH($P79,$G$3:$G$22,0),$Q79)=BI$2,$S79+$O79+9,$S79+$O79)</f>
        <v>42711031</v>
      </c>
      <c r="BJ79" s="1" cm="1">
        <f t="array" ref="BJ79">IF(INDEX($I$3:$L$22,MATCH($P79,$G$3:$G$22,0),$Q79)=BJ$2,$S79+$O79+9,$S79+$O79)</f>
        <v>42711031</v>
      </c>
      <c r="BK79" s="1" cm="1">
        <f t="array" ref="BK79">IF(INDEX($I$3:$L$22,MATCH($P79,$G$3:$G$22,0),$Q79)=BK$2,$S79+$O79+9,$S79+$O79)</f>
        <v>42711031</v>
      </c>
      <c r="BL79" s="1" cm="1">
        <f t="array" ref="BL79">IF(INDEX($I$3:$L$22,MATCH($P79,$G$3:$G$22,0),$Q79)=BL$2,$S79+$O79+9,$S79+$O79)</f>
        <v>42711031</v>
      </c>
      <c r="BM79" s="1" cm="1">
        <f t="array" ref="BM79">IF(INDEX($I$3:$L$22,MATCH($P79,$G$3:$G$22,0),$Q79)=BM$2,$S79+$O79+9,$S79+$O79)</f>
        <v>42711031</v>
      </c>
      <c r="BN79" s="1" cm="1">
        <f t="array" ref="BN79">IF(INDEX($I$3:$L$22,MATCH($P79,$G$3:$G$22,0),$Q79)=BN$2,$S79+$O79+9,$S79+$O79)</f>
        <v>42711031</v>
      </c>
      <c r="BO79" s="1" cm="1">
        <f t="array" ref="BO79">IF(INDEX($I$3:$L$22,MATCH($P79,$G$3:$G$22,0),$Q79)=BO$2,$S79+$O79+9,$S79+$O79)</f>
        <v>42711031</v>
      </c>
      <c r="BP79" s="1" cm="1">
        <f t="array" ref="BP79">IF(INDEX($I$3:$L$22,MATCH($P79,$G$3:$G$22,0),$Q79)=BP$2,$S79+$O79+9,$S79+$O79)</f>
        <v>42711031</v>
      </c>
      <c r="BQ79" s="1" cm="1">
        <f t="array" ref="BQ79">IF(INDEX($I$3:$L$22,MATCH($P79,$G$3:$G$22,0),$Q79)=BQ$2,$S79+$O79+9,$S79+$O79)</f>
        <v>42711031</v>
      </c>
      <c r="BR79" s="1" cm="1">
        <f t="array" ref="BR79">IF(INDEX($I$3:$L$22,MATCH($P79,$G$3:$G$22,0),$Q79)=BR$2,$S79+$O79+9,$S79+$O79)</f>
        <v>42711031</v>
      </c>
      <c r="BS79" s="1" cm="1">
        <f t="array" ref="BS79">IF(INDEX($I$3:$L$22,MATCH($P79,$G$3:$G$22,0),$Q79)=BS$2,$S79+$O79+9,$S79+$O79)</f>
        <v>42711040</v>
      </c>
      <c r="BT79" s="1" cm="1">
        <f t="array" ref="BT79">IF(INDEX($I$3:$L$22,MATCH($P79,$G$3:$G$22,0),$Q79)=BT$2,$S79+$O79+9,$S79+$O79)</f>
        <v>42711031</v>
      </c>
    </row>
    <row r="80" spans="14:72" x14ac:dyDescent="0.15">
      <c r="N80" s="1">
        <v>50002</v>
      </c>
      <c r="O80" s="1">
        <f t="shared" si="9"/>
        <v>31</v>
      </c>
      <c r="P80" s="1">
        <f t="shared" si="10"/>
        <v>404</v>
      </c>
      <c r="Q80" s="1">
        <f t="shared" si="11"/>
        <v>2</v>
      </c>
      <c r="R80" s="1" t="s">
        <v>17</v>
      </c>
      <c r="S80" s="1">
        <v>42612000</v>
      </c>
      <c r="T80" s="1" t="str">
        <f t="shared" si="12"/>
        <v>42612031,42612031,42612031,42612031,42612031,42612031,42612031,42612031,42612031,42612031,42612031,42612031,42612031,42612031,42612031,42612031,42612031,42612031,42612031,42612031,42612031,42612031,42612031,42612031,42612031,42612031,42612031,42612031,42612031,42612040,42612031,42612031,42612031,42612031,42612031,42612031,42612031,42612031,42612031,42612031,42612031,42612031,42612031,42612031,42612031,42612031,42612031,42612031,42612031,42612031</v>
      </c>
      <c r="W80" s="1" cm="1">
        <f t="array" ref="W80">IF(INDEX($I$3:$L$22,MATCH($P80,$G$3:$G$22,0),$Q80)=W$2,$S80+$O80+9,$S80+$O80)</f>
        <v>42612031</v>
      </c>
      <c r="X80" s="1" cm="1">
        <f t="array" ref="X80">IF(INDEX($I$3:$L$22,MATCH($P80,$G$3:$G$22,0),$Q80)=X$2,$S80+$O80+9,$S80+$O80)</f>
        <v>42612031</v>
      </c>
      <c r="Y80" s="1" cm="1">
        <f t="array" ref="Y80">IF(INDEX($I$3:$L$22,MATCH($P80,$G$3:$G$22,0),$Q80)=Y$2,$S80+$O80+9,$S80+$O80)</f>
        <v>42612031</v>
      </c>
      <c r="Z80" s="1" cm="1">
        <f t="array" ref="Z80">IF(INDEX($I$3:$L$22,MATCH($P80,$G$3:$G$22,0),$Q80)=Z$2,$S80+$O80+9,$S80+$O80)</f>
        <v>42612031</v>
      </c>
      <c r="AA80" s="1" cm="1">
        <f t="array" ref="AA80">IF(INDEX($I$3:$L$22,MATCH($P80,$G$3:$G$22,0),$Q80)=AA$2,$S80+$O80+9,$S80+$O80)</f>
        <v>42612031</v>
      </c>
      <c r="AB80" s="1" cm="1">
        <f t="array" ref="AB80">IF(INDEX($I$3:$L$22,MATCH($P80,$G$3:$G$22,0),$Q80)=AB$2,$S80+$O80+9,$S80+$O80)</f>
        <v>42612031</v>
      </c>
      <c r="AC80" s="1" cm="1">
        <f t="array" ref="AC80">IF(INDEX($I$3:$L$22,MATCH($P80,$G$3:$G$22,0),$Q80)=AC$2,$S80+$O80+9,$S80+$O80)</f>
        <v>42612031</v>
      </c>
      <c r="AD80" s="1" cm="1">
        <f t="array" ref="AD80">IF(INDEX($I$3:$L$22,MATCH($P80,$G$3:$G$22,0),$Q80)=AD$2,$S80+$O80+9,$S80+$O80)</f>
        <v>42612031</v>
      </c>
      <c r="AE80" s="1" cm="1">
        <f t="array" ref="AE80">IF(INDEX($I$3:$L$22,MATCH($P80,$G$3:$G$22,0),$Q80)=AE$2,$S80+$O80+9,$S80+$O80)</f>
        <v>42612031</v>
      </c>
      <c r="AF80" s="1" cm="1">
        <f t="array" ref="AF80">IF(INDEX($I$3:$L$22,MATCH($P80,$G$3:$G$22,0),$Q80)=AF$2,$S80+$O80+9,$S80+$O80)</f>
        <v>42612031</v>
      </c>
      <c r="AG80" s="1" cm="1">
        <f t="array" ref="AG80">IF(INDEX($I$3:$L$22,MATCH($P80,$G$3:$G$22,0),$Q80)=AG$2,$S80+$O80+9,$S80+$O80)</f>
        <v>42612031</v>
      </c>
      <c r="AH80" s="1" cm="1">
        <f t="array" ref="AH80">IF(INDEX($I$3:$L$22,MATCH($P80,$G$3:$G$22,0),$Q80)=AH$2,$S80+$O80+9,$S80+$O80)</f>
        <v>42612031</v>
      </c>
      <c r="AI80" s="1" cm="1">
        <f t="array" ref="AI80">IF(INDEX($I$3:$L$22,MATCH($P80,$G$3:$G$22,0),$Q80)=AI$2,$S80+$O80+9,$S80+$O80)</f>
        <v>42612031</v>
      </c>
      <c r="AJ80" s="1" cm="1">
        <f t="array" ref="AJ80">IF(INDEX($I$3:$L$22,MATCH($P80,$G$3:$G$22,0),$Q80)=AJ$2,$S80+$O80+9,$S80+$O80)</f>
        <v>42612031</v>
      </c>
      <c r="AK80" s="1" cm="1">
        <f t="array" ref="AK80">IF(INDEX($I$3:$L$22,MATCH($P80,$G$3:$G$22,0),$Q80)=AK$2,$S80+$O80+9,$S80+$O80)</f>
        <v>42612031</v>
      </c>
      <c r="AL80" s="1" cm="1">
        <f t="array" ref="AL80">IF(INDEX($I$3:$L$22,MATCH($P80,$G$3:$G$22,0),$Q80)=AL$2,$S80+$O80+9,$S80+$O80)</f>
        <v>42612031</v>
      </c>
      <c r="AM80" s="1" cm="1">
        <f t="array" ref="AM80">IF(INDEX($I$3:$L$22,MATCH($P80,$G$3:$G$22,0),$Q80)=AM$2,$S80+$O80+9,$S80+$O80)</f>
        <v>42612031</v>
      </c>
      <c r="AN80" s="1" cm="1">
        <f t="array" ref="AN80">IF(INDEX($I$3:$L$22,MATCH($P80,$G$3:$G$22,0),$Q80)=AN$2,$S80+$O80+9,$S80+$O80)</f>
        <v>42612031</v>
      </c>
      <c r="AO80" s="1" cm="1">
        <f t="array" ref="AO80">IF(INDEX($I$3:$L$22,MATCH($P80,$G$3:$G$22,0),$Q80)=AO$2,$S80+$O80+9,$S80+$O80)</f>
        <v>42612031</v>
      </c>
      <c r="AP80" s="1" cm="1">
        <f t="array" ref="AP80">IF(INDEX($I$3:$L$22,MATCH($P80,$G$3:$G$22,0),$Q80)=AP$2,$S80+$O80+9,$S80+$O80)</f>
        <v>42612031</v>
      </c>
      <c r="AQ80" s="1" cm="1">
        <f t="array" ref="AQ80">IF(INDEX($I$3:$L$22,MATCH($P80,$G$3:$G$22,0),$Q80)=AQ$2,$S80+$O80+9,$S80+$O80)</f>
        <v>42612031</v>
      </c>
      <c r="AR80" s="1" cm="1">
        <f t="array" ref="AR80">IF(INDEX($I$3:$L$22,MATCH($P80,$G$3:$G$22,0),$Q80)=AR$2,$S80+$O80+9,$S80+$O80)</f>
        <v>42612031</v>
      </c>
      <c r="AS80" s="1" cm="1">
        <f t="array" ref="AS80">IF(INDEX($I$3:$L$22,MATCH($P80,$G$3:$G$22,0),$Q80)=AS$2,$S80+$O80+9,$S80+$O80)</f>
        <v>42612031</v>
      </c>
      <c r="AT80" s="1" cm="1">
        <f t="array" ref="AT80">IF(INDEX($I$3:$L$22,MATCH($P80,$G$3:$G$22,0),$Q80)=AT$2,$S80+$O80+9,$S80+$O80)</f>
        <v>42612031</v>
      </c>
      <c r="AU80" s="1" cm="1">
        <f t="array" ref="AU80">IF(INDEX($I$3:$L$22,MATCH($P80,$G$3:$G$22,0),$Q80)=AU$2,$S80+$O80+9,$S80+$O80)</f>
        <v>42612031</v>
      </c>
      <c r="AV80" s="1" cm="1">
        <f t="array" ref="AV80">IF(INDEX($I$3:$L$22,MATCH($P80,$G$3:$G$22,0),$Q80)=AV$2,$S80+$O80+9,$S80+$O80)</f>
        <v>42612031</v>
      </c>
      <c r="AW80" s="1" cm="1">
        <f t="array" ref="AW80">IF(INDEX($I$3:$L$22,MATCH($P80,$G$3:$G$22,0),$Q80)=AW$2,$S80+$O80+9,$S80+$O80)</f>
        <v>42612031</v>
      </c>
      <c r="AX80" s="1" cm="1">
        <f t="array" ref="AX80">IF(INDEX($I$3:$L$22,MATCH($P80,$G$3:$G$22,0),$Q80)=AX$2,$S80+$O80+9,$S80+$O80)</f>
        <v>42612031</v>
      </c>
      <c r="AY80" s="1" cm="1">
        <f t="array" ref="AY80">IF(INDEX($I$3:$L$22,MATCH($P80,$G$3:$G$22,0),$Q80)=AY$2,$S80+$O80+9,$S80+$O80)</f>
        <v>42612031</v>
      </c>
      <c r="AZ80" s="1" cm="1">
        <f t="array" ref="AZ80">IF(INDEX($I$3:$L$22,MATCH($P80,$G$3:$G$22,0),$Q80)=AZ$2,$S80+$O80+9,$S80+$O80)</f>
        <v>42612040</v>
      </c>
      <c r="BA80" s="1" cm="1">
        <f t="array" ref="BA80">IF(INDEX($I$3:$L$22,MATCH($P80,$G$3:$G$22,0),$Q80)=BA$2,$S80+$O80+9,$S80+$O80)</f>
        <v>42612031</v>
      </c>
      <c r="BB80" s="1" cm="1">
        <f t="array" ref="BB80">IF(INDEX($I$3:$L$22,MATCH($P80,$G$3:$G$22,0),$Q80)=BB$2,$S80+$O80+9,$S80+$O80)</f>
        <v>42612031</v>
      </c>
      <c r="BC80" s="1" cm="1">
        <f t="array" ref="BC80">IF(INDEX($I$3:$L$22,MATCH($P80,$G$3:$G$22,0),$Q80)=BC$2,$S80+$O80+9,$S80+$O80)</f>
        <v>42612031</v>
      </c>
      <c r="BD80" s="1" cm="1">
        <f t="array" ref="BD80">IF(INDEX($I$3:$L$22,MATCH($P80,$G$3:$G$22,0),$Q80)=BD$2,$S80+$O80+9,$S80+$O80)</f>
        <v>42612031</v>
      </c>
      <c r="BE80" s="1" cm="1">
        <f t="array" ref="BE80">IF(INDEX($I$3:$L$22,MATCH($P80,$G$3:$G$22,0),$Q80)=BE$2,$S80+$O80+9,$S80+$O80)</f>
        <v>42612031</v>
      </c>
      <c r="BF80" s="1" cm="1">
        <f t="array" ref="BF80">IF(INDEX($I$3:$L$22,MATCH($P80,$G$3:$G$22,0),$Q80)=BF$2,$S80+$O80+9,$S80+$O80)</f>
        <v>42612031</v>
      </c>
      <c r="BG80" s="1" cm="1">
        <f t="array" ref="BG80">IF(INDEX($I$3:$L$22,MATCH($P80,$G$3:$G$22,0),$Q80)=BG$2,$S80+$O80+9,$S80+$O80)</f>
        <v>42612031</v>
      </c>
      <c r="BH80" s="1" cm="1">
        <f t="array" ref="BH80">IF(INDEX($I$3:$L$22,MATCH($P80,$G$3:$G$22,0),$Q80)=BH$2,$S80+$O80+9,$S80+$O80)</f>
        <v>42612031</v>
      </c>
      <c r="BI80" s="1" cm="1">
        <f t="array" ref="BI80">IF(INDEX($I$3:$L$22,MATCH($P80,$G$3:$G$22,0),$Q80)=BI$2,$S80+$O80+9,$S80+$O80)</f>
        <v>42612031</v>
      </c>
      <c r="BJ80" s="1" cm="1">
        <f t="array" ref="BJ80">IF(INDEX($I$3:$L$22,MATCH($P80,$G$3:$G$22,0),$Q80)=BJ$2,$S80+$O80+9,$S80+$O80)</f>
        <v>42612031</v>
      </c>
      <c r="BK80" s="1" cm="1">
        <f t="array" ref="BK80">IF(INDEX($I$3:$L$22,MATCH($P80,$G$3:$G$22,0),$Q80)=BK$2,$S80+$O80+9,$S80+$O80)</f>
        <v>42612031</v>
      </c>
      <c r="BL80" s="1" cm="1">
        <f t="array" ref="BL80">IF(INDEX($I$3:$L$22,MATCH($P80,$G$3:$G$22,0),$Q80)=BL$2,$S80+$O80+9,$S80+$O80)</f>
        <v>42612031</v>
      </c>
      <c r="BM80" s="1" cm="1">
        <f t="array" ref="BM80">IF(INDEX($I$3:$L$22,MATCH($P80,$G$3:$G$22,0),$Q80)=BM$2,$S80+$O80+9,$S80+$O80)</f>
        <v>42612031</v>
      </c>
      <c r="BN80" s="1" cm="1">
        <f t="array" ref="BN80">IF(INDEX($I$3:$L$22,MATCH($P80,$G$3:$G$22,0),$Q80)=BN$2,$S80+$O80+9,$S80+$O80)</f>
        <v>42612031</v>
      </c>
      <c r="BO80" s="1" cm="1">
        <f t="array" ref="BO80">IF(INDEX($I$3:$L$22,MATCH($P80,$G$3:$G$22,0),$Q80)=BO$2,$S80+$O80+9,$S80+$O80)</f>
        <v>42612031</v>
      </c>
      <c r="BP80" s="1" cm="1">
        <f t="array" ref="BP80">IF(INDEX($I$3:$L$22,MATCH($P80,$G$3:$G$22,0),$Q80)=BP$2,$S80+$O80+9,$S80+$O80)</f>
        <v>42612031</v>
      </c>
      <c r="BQ80" s="1" cm="1">
        <f t="array" ref="BQ80">IF(INDEX($I$3:$L$22,MATCH($P80,$G$3:$G$22,0),$Q80)=BQ$2,$S80+$O80+9,$S80+$O80)</f>
        <v>42612031</v>
      </c>
      <c r="BR80" s="1" cm="1">
        <f t="array" ref="BR80">IF(INDEX($I$3:$L$22,MATCH($P80,$G$3:$G$22,0),$Q80)=BR$2,$S80+$O80+9,$S80+$O80)</f>
        <v>42612031</v>
      </c>
      <c r="BS80" s="1" cm="1">
        <f t="array" ref="BS80">IF(INDEX($I$3:$L$22,MATCH($P80,$G$3:$G$22,0),$Q80)=BS$2,$S80+$O80+9,$S80+$O80)</f>
        <v>42612031</v>
      </c>
      <c r="BT80" s="1" cm="1">
        <f t="array" ref="BT80">IF(INDEX($I$3:$L$22,MATCH($P80,$G$3:$G$22,0),$Q80)=BT$2,$S80+$O80+9,$S80+$O80)</f>
        <v>42612031</v>
      </c>
    </row>
    <row r="81" spans="14:72" x14ac:dyDescent="0.15">
      <c r="N81" s="1">
        <v>50002</v>
      </c>
      <c r="O81" s="1">
        <f t="shared" si="9"/>
        <v>31</v>
      </c>
      <c r="P81" s="1">
        <f t="shared" si="10"/>
        <v>404</v>
      </c>
      <c r="Q81" s="1">
        <f t="shared" si="11"/>
        <v>3</v>
      </c>
      <c r="R81" s="1" t="s">
        <v>16</v>
      </c>
      <c r="S81" s="1">
        <v>42713000</v>
      </c>
      <c r="T81" s="1" t="str">
        <f t="shared" si="12"/>
        <v>42713031,42713031,42713031,42713031,42713031,42713031,42713031,42713031,42713031,42713031,42713031,42713031,42713031,42713031,42713031,42713031,42713031,42713031,42713031,42713031,42713040,42713031,42713031,42713031,42713031,42713031,42713031,42713031,42713031,42713031,42713031,42713031,42713031,42713031,42713031,42713031,42713031,42713031,42713031,42713031,42713031,42713031,42713031,42713031,42713031,42713031,42713031,42713031,42713031,42713031</v>
      </c>
      <c r="W81" s="1" cm="1">
        <f t="array" ref="W81">IF(INDEX($I$3:$L$22,MATCH($P81,$G$3:$G$22,0),$Q81)=W$2,$S81+$O81+9,$S81+$O81)</f>
        <v>42713031</v>
      </c>
      <c r="X81" s="1" cm="1">
        <f t="array" ref="X81">IF(INDEX($I$3:$L$22,MATCH($P81,$G$3:$G$22,0),$Q81)=X$2,$S81+$O81+9,$S81+$O81)</f>
        <v>42713031</v>
      </c>
      <c r="Y81" s="1" cm="1">
        <f t="array" ref="Y81">IF(INDEX($I$3:$L$22,MATCH($P81,$G$3:$G$22,0),$Q81)=Y$2,$S81+$O81+9,$S81+$O81)</f>
        <v>42713031</v>
      </c>
      <c r="Z81" s="1" cm="1">
        <f t="array" ref="Z81">IF(INDEX($I$3:$L$22,MATCH($P81,$G$3:$G$22,0),$Q81)=Z$2,$S81+$O81+9,$S81+$O81)</f>
        <v>42713031</v>
      </c>
      <c r="AA81" s="1" cm="1">
        <f t="array" ref="AA81">IF(INDEX($I$3:$L$22,MATCH($P81,$G$3:$G$22,0),$Q81)=AA$2,$S81+$O81+9,$S81+$O81)</f>
        <v>42713031</v>
      </c>
      <c r="AB81" s="1" cm="1">
        <f t="array" ref="AB81">IF(INDEX($I$3:$L$22,MATCH($P81,$G$3:$G$22,0),$Q81)=AB$2,$S81+$O81+9,$S81+$O81)</f>
        <v>42713031</v>
      </c>
      <c r="AC81" s="1" cm="1">
        <f t="array" ref="AC81">IF(INDEX($I$3:$L$22,MATCH($P81,$G$3:$G$22,0),$Q81)=AC$2,$S81+$O81+9,$S81+$O81)</f>
        <v>42713031</v>
      </c>
      <c r="AD81" s="1" cm="1">
        <f t="array" ref="AD81">IF(INDEX($I$3:$L$22,MATCH($P81,$G$3:$G$22,0),$Q81)=AD$2,$S81+$O81+9,$S81+$O81)</f>
        <v>42713031</v>
      </c>
      <c r="AE81" s="1" cm="1">
        <f t="array" ref="AE81">IF(INDEX($I$3:$L$22,MATCH($P81,$G$3:$G$22,0),$Q81)=AE$2,$S81+$O81+9,$S81+$O81)</f>
        <v>42713031</v>
      </c>
      <c r="AF81" s="1" cm="1">
        <f t="array" ref="AF81">IF(INDEX($I$3:$L$22,MATCH($P81,$G$3:$G$22,0),$Q81)=AF$2,$S81+$O81+9,$S81+$O81)</f>
        <v>42713031</v>
      </c>
      <c r="AG81" s="1" cm="1">
        <f t="array" ref="AG81">IF(INDEX($I$3:$L$22,MATCH($P81,$G$3:$G$22,0),$Q81)=AG$2,$S81+$O81+9,$S81+$O81)</f>
        <v>42713031</v>
      </c>
      <c r="AH81" s="1" cm="1">
        <f t="array" ref="AH81">IF(INDEX($I$3:$L$22,MATCH($P81,$G$3:$G$22,0),$Q81)=AH$2,$S81+$O81+9,$S81+$O81)</f>
        <v>42713031</v>
      </c>
      <c r="AI81" s="1" cm="1">
        <f t="array" ref="AI81">IF(INDEX($I$3:$L$22,MATCH($P81,$G$3:$G$22,0),$Q81)=AI$2,$S81+$O81+9,$S81+$O81)</f>
        <v>42713031</v>
      </c>
      <c r="AJ81" s="1" cm="1">
        <f t="array" ref="AJ81">IF(INDEX($I$3:$L$22,MATCH($P81,$G$3:$G$22,0),$Q81)=AJ$2,$S81+$O81+9,$S81+$O81)</f>
        <v>42713031</v>
      </c>
      <c r="AK81" s="1" cm="1">
        <f t="array" ref="AK81">IF(INDEX($I$3:$L$22,MATCH($P81,$G$3:$G$22,0),$Q81)=AK$2,$S81+$O81+9,$S81+$O81)</f>
        <v>42713031</v>
      </c>
      <c r="AL81" s="1" cm="1">
        <f t="array" ref="AL81">IF(INDEX($I$3:$L$22,MATCH($P81,$G$3:$G$22,0),$Q81)=AL$2,$S81+$O81+9,$S81+$O81)</f>
        <v>42713031</v>
      </c>
      <c r="AM81" s="1" cm="1">
        <f t="array" ref="AM81">IF(INDEX($I$3:$L$22,MATCH($P81,$G$3:$G$22,0),$Q81)=AM$2,$S81+$O81+9,$S81+$O81)</f>
        <v>42713031</v>
      </c>
      <c r="AN81" s="1" cm="1">
        <f t="array" ref="AN81">IF(INDEX($I$3:$L$22,MATCH($P81,$G$3:$G$22,0),$Q81)=AN$2,$S81+$O81+9,$S81+$O81)</f>
        <v>42713031</v>
      </c>
      <c r="AO81" s="1" cm="1">
        <f t="array" ref="AO81">IF(INDEX($I$3:$L$22,MATCH($P81,$G$3:$G$22,0),$Q81)=AO$2,$S81+$O81+9,$S81+$O81)</f>
        <v>42713031</v>
      </c>
      <c r="AP81" s="1" cm="1">
        <f t="array" ref="AP81">IF(INDEX($I$3:$L$22,MATCH($P81,$G$3:$G$22,0),$Q81)=AP$2,$S81+$O81+9,$S81+$O81)</f>
        <v>42713031</v>
      </c>
      <c r="AQ81" s="1" cm="1">
        <f t="array" ref="AQ81">IF(INDEX($I$3:$L$22,MATCH($P81,$G$3:$G$22,0),$Q81)=AQ$2,$S81+$O81+9,$S81+$O81)</f>
        <v>42713040</v>
      </c>
      <c r="AR81" s="1" cm="1">
        <f t="array" ref="AR81">IF(INDEX($I$3:$L$22,MATCH($P81,$G$3:$G$22,0),$Q81)=AR$2,$S81+$O81+9,$S81+$O81)</f>
        <v>42713031</v>
      </c>
      <c r="AS81" s="1" cm="1">
        <f t="array" ref="AS81">IF(INDEX($I$3:$L$22,MATCH($P81,$G$3:$G$22,0),$Q81)=AS$2,$S81+$O81+9,$S81+$O81)</f>
        <v>42713031</v>
      </c>
      <c r="AT81" s="1" cm="1">
        <f t="array" ref="AT81">IF(INDEX($I$3:$L$22,MATCH($P81,$G$3:$G$22,0),$Q81)=AT$2,$S81+$O81+9,$S81+$O81)</f>
        <v>42713031</v>
      </c>
      <c r="AU81" s="1" cm="1">
        <f t="array" ref="AU81">IF(INDEX($I$3:$L$22,MATCH($P81,$G$3:$G$22,0),$Q81)=AU$2,$S81+$O81+9,$S81+$O81)</f>
        <v>42713031</v>
      </c>
      <c r="AV81" s="1" cm="1">
        <f t="array" ref="AV81">IF(INDEX($I$3:$L$22,MATCH($P81,$G$3:$G$22,0),$Q81)=AV$2,$S81+$O81+9,$S81+$O81)</f>
        <v>42713031</v>
      </c>
      <c r="AW81" s="1" cm="1">
        <f t="array" ref="AW81">IF(INDEX($I$3:$L$22,MATCH($P81,$G$3:$G$22,0),$Q81)=AW$2,$S81+$O81+9,$S81+$O81)</f>
        <v>42713031</v>
      </c>
      <c r="AX81" s="1" cm="1">
        <f t="array" ref="AX81">IF(INDEX($I$3:$L$22,MATCH($P81,$G$3:$G$22,0),$Q81)=AX$2,$S81+$O81+9,$S81+$O81)</f>
        <v>42713031</v>
      </c>
      <c r="AY81" s="1" cm="1">
        <f t="array" ref="AY81">IF(INDEX($I$3:$L$22,MATCH($P81,$G$3:$G$22,0),$Q81)=AY$2,$S81+$O81+9,$S81+$O81)</f>
        <v>42713031</v>
      </c>
      <c r="AZ81" s="1" cm="1">
        <f t="array" ref="AZ81">IF(INDEX($I$3:$L$22,MATCH($P81,$G$3:$G$22,0),$Q81)=AZ$2,$S81+$O81+9,$S81+$O81)</f>
        <v>42713031</v>
      </c>
      <c r="BA81" s="1" cm="1">
        <f t="array" ref="BA81">IF(INDEX($I$3:$L$22,MATCH($P81,$G$3:$G$22,0),$Q81)=BA$2,$S81+$O81+9,$S81+$O81)</f>
        <v>42713031</v>
      </c>
      <c r="BB81" s="1" cm="1">
        <f t="array" ref="BB81">IF(INDEX($I$3:$L$22,MATCH($P81,$G$3:$G$22,0),$Q81)=BB$2,$S81+$O81+9,$S81+$O81)</f>
        <v>42713031</v>
      </c>
      <c r="BC81" s="1" cm="1">
        <f t="array" ref="BC81">IF(INDEX($I$3:$L$22,MATCH($P81,$G$3:$G$22,0),$Q81)=BC$2,$S81+$O81+9,$S81+$O81)</f>
        <v>42713031</v>
      </c>
      <c r="BD81" s="1" cm="1">
        <f t="array" ref="BD81">IF(INDEX($I$3:$L$22,MATCH($P81,$G$3:$G$22,0),$Q81)=BD$2,$S81+$O81+9,$S81+$O81)</f>
        <v>42713031</v>
      </c>
      <c r="BE81" s="1" cm="1">
        <f t="array" ref="BE81">IF(INDEX($I$3:$L$22,MATCH($P81,$G$3:$G$22,0),$Q81)=BE$2,$S81+$O81+9,$S81+$O81)</f>
        <v>42713031</v>
      </c>
      <c r="BF81" s="1" cm="1">
        <f t="array" ref="BF81">IF(INDEX($I$3:$L$22,MATCH($P81,$G$3:$G$22,0),$Q81)=BF$2,$S81+$O81+9,$S81+$O81)</f>
        <v>42713031</v>
      </c>
      <c r="BG81" s="1" cm="1">
        <f t="array" ref="BG81">IF(INDEX($I$3:$L$22,MATCH($P81,$G$3:$G$22,0),$Q81)=BG$2,$S81+$O81+9,$S81+$O81)</f>
        <v>42713031</v>
      </c>
      <c r="BH81" s="1" cm="1">
        <f t="array" ref="BH81">IF(INDEX($I$3:$L$22,MATCH($P81,$G$3:$G$22,0),$Q81)=BH$2,$S81+$O81+9,$S81+$O81)</f>
        <v>42713031</v>
      </c>
      <c r="BI81" s="1" cm="1">
        <f t="array" ref="BI81">IF(INDEX($I$3:$L$22,MATCH($P81,$G$3:$G$22,0),$Q81)=BI$2,$S81+$O81+9,$S81+$O81)</f>
        <v>42713031</v>
      </c>
      <c r="BJ81" s="1" cm="1">
        <f t="array" ref="BJ81">IF(INDEX($I$3:$L$22,MATCH($P81,$G$3:$G$22,0),$Q81)=BJ$2,$S81+$O81+9,$S81+$O81)</f>
        <v>42713031</v>
      </c>
      <c r="BK81" s="1" cm="1">
        <f t="array" ref="BK81">IF(INDEX($I$3:$L$22,MATCH($P81,$G$3:$G$22,0),$Q81)=BK$2,$S81+$O81+9,$S81+$O81)</f>
        <v>42713031</v>
      </c>
      <c r="BL81" s="1" cm="1">
        <f t="array" ref="BL81">IF(INDEX($I$3:$L$22,MATCH($P81,$G$3:$G$22,0),$Q81)=BL$2,$S81+$O81+9,$S81+$O81)</f>
        <v>42713031</v>
      </c>
      <c r="BM81" s="1" cm="1">
        <f t="array" ref="BM81">IF(INDEX($I$3:$L$22,MATCH($P81,$G$3:$G$22,0),$Q81)=BM$2,$S81+$O81+9,$S81+$O81)</f>
        <v>42713031</v>
      </c>
      <c r="BN81" s="1" cm="1">
        <f t="array" ref="BN81">IF(INDEX($I$3:$L$22,MATCH($P81,$G$3:$G$22,0),$Q81)=BN$2,$S81+$O81+9,$S81+$O81)</f>
        <v>42713031</v>
      </c>
      <c r="BO81" s="1" cm="1">
        <f t="array" ref="BO81">IF(INDEX($I$3:$L$22,MATCH($P81,$G$3:$G$22,0),$Q81)=BO$2,$S81+$O81+9,$S81+$O81)</f>
        <v>42713031</v>
      </c>
      <c r="BP81" s="1" cm="1">
        <f t="array" ref="BP81">IF(INDEX($I$3:$L$22,MATCH($P81,$G$3:$G$22,0),$Q81)=BP$2,$S81+$O81+9,$S81+$O81)</f>
        <v>42713031</v>
      </c>
      <c r="BQ81" s="1" cm="1">
        <f t="array" ref="BQ81">IF(INDEX($I$3:$L$22,MATCH($P81,$G$3:$G$22,0),$Q81)=BQ$2,$S81+$O81+9,$S81+$O81)</f>
        <v>42713031</v>
      </c>
      <c r="BR81" s="1" cm="1">
        <f t="array" ref="BR81">IF(INDEX($I$3:$L$22,MATCH($P81,$G$3:$G$22,0),$Q81)=BR$2,$S81+$O81+9,$S81+$O81)</f>
        <v>42713031</v>
      </c>
      <c r="BS81" s="1" cm="1">
        <f t="array" ref="BS81">IF(INDEX($I$3:$L$22,MATCH($P81,$G$3:$G$22,0),$Q81)=BS$2,$S81+$O81+9,$S81+$O81)</f>
        <v>42713031</v>
      </c>
      <c r="BT81" s="1" cm="1">
        <f t="array" ref="BT81">IF(INDEX($I$3:$L$22,MATCH($P81,$G$3:$G$22,0),$Q81)=BT$2,$S81+$O81+9,$S81+$O81)</f>
        <v>42713031</v>
      </c>
    </row>
    <row r="82" spans="14:72" x14ac:dyDescent="0.15">
      <c r="N82" s="1">
        <v>50002</v>
      </c>
      <c r="O82" s="1">
        <f t="shared" si="9"/>
        <v>31</v>
      </c>
      <c r="P82" s="1">
        <f t="shared" si="10"/>
        <v>404</v>
      </c>
      <c r="Q82" s="1">
        <f t="shared" si="11"/>
        <v>4</v>
      </c>
      <c r="R82" s="1" t="s">
        <v>15</v>
      </c>
      <c r="S82" s="1">
        <v>42716000</v>
      </c>
      <c r="T82" s="1" t="str">
        <f t="shared" si="12"/>
        <v>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42716031,42716040,42716031,42716031,42716031,42716031,42716031,42716031,42716031,42716031,42716031,42716031,42716031,42716031,42716031</v>
      </c>
      <c r="W82" s="1" cm="1">
        <f t="array" ref="W82">IF(INDEX($I$3:$L$22,MATCH($P82,$G$3:$G$22,0),$Q82)=W$2,$S82+$O82+9,$S82+$O82)</f>
        <v>42716031</v>
      </c>
      <c r="X82" s="1" cm="1">
        <f t="array" ref="X82">IF(INDEX($I$3:$L$22,MATCH($P82,$G$3:$G$22,0),$Q82)=X$2,$S82+$O82+9,$S82+$O82)</f>
        <v>42716031</v>
      </c>
      <c r="Y82" s="1" cm="1">
        <f t="array" ref="Y82">IF(INDEX($I$3:$L$22,MATCH($P82,$G$3:$G$22,0),$Q82)=Y$2,$S82+$O82+9,$S82+$O82)</f>
        <v>42716031</v>
      </c>
      <c r="Z82" s="1" cm="1">
        <f t="array" ref="Z82">IF(INDEX($I$3:$L$22,MATCH($P82,$G$3:$G$22,0),$Q82)=Z$2,$S82+$O82+9,$S82+$O82)</f>
        <v>42716031</v>
      </c>
      <c r="AA82" s="1" cm="1">
        <f t="array" ref="AA82">IF(INDEX($I$3:$L$22,MATCH($P82,$G$3:$G$22,0),$Q82)=AA$2,$S82+$O82+9,$S82+$O82)</f>
        <v>42716031</v>
      </c>
      <c r="AB82" s="1" cm="1">
        <f t="array" ref="AB82">IF(INDEX($I$3:$L$22,MATCH($P82,$G$3:$G$22,0),$Q82)=AB$2,$S82+$O82+9,$S82+$O82)</f>
        <v>42716031</v>
      </c>
      <c r="AC82" s="1" cm="1">
        <f t="array" ref="AC82">IF(INDEX($I$3:$L$22,MATCH($P82,$G$3:$G$22,0),$Q82)=AC$2,$S82+$O82+9,$S82+$O82)</f>
        <v>42716031</v>
      </c>
      <c r="AD82" s="1" cm="1">
        <f t="array" ref="AD82">IF(INDEX($I$3:$L$22,MATCH($P82,$G$3:$G$22,0),$Q82)=AD$2,$S82+$O82+9,$S82+$O82)</f>
        <v>42716031</v>
      </c>
      <c r="AE82" s="1" cm="1">
        <f t="array" ref="AE82">IF(INDEX($I$3:$L$22,MATCH($P82,$G$3:$G$22,0),$Q82)=AE$2,$S82+$O82+9,$S82+$O82)</f>
        <v>42716031</v>
      </c>
      <c r="AF82" s="1" cm="1">
        <f t="array" ref="AF82">IF(INDEX($I$3:$L$22,MATCH($P82,$G$3:$G$22,0),$Q82)=AF$2,$S82+$O82+9,$S82+$O82)</f>
        <v>42716031</v>
      </c>
      <c r="AG82" s="1" cm="1">
        <f t="array" ref="AG82">IF(INDEX($I$3:$L$22,MATCH($P82,$G$3:$G$22,0),$Q82)=AG$2,$S82+$O82+9,$S82+$O82)</f>
        <v>42716031</v>
      </c>
      <c r="AH82" s="1" cm="1">
        <f t="array" ref="AH82">IF(INDEX($I$3:$L$22,MATCH($P82,$G$3:$G$22,0),$Q82)=AH$2,$S82+$O82+9,$S82+$O82)</f>
        <v>42716031</v>
      </c>
      <c r="AI82" s="1" cm="1">
        <f t="array" ref="AI82">IF(INDEX($I$3:$L$22,MATCH($P82,$G$3:$G$22,0),$Q82)=AI$2,$S82+$O82+9,$S82+$O82)</f>
        <v>42716031</v>
      </c>
      <c r="AJ82" s="1" cm="1">
        <f t="array" ref="AJ82">IF(INDEX($I$3:$L$22,MATCH($P82,$G$3:$G$22,0),$Q82)=AJ$2,$S82+$O82+9,$S82+$O82)</f>
        <v>42716031</v>
      </c>
      <c r="AK82" s="1" cm="1">
        <f t="array" ref="AK82">IF(INDEX($I$3:$L$22,MATCH($P82,$G$3:$G$22,0),$Q82)=AK$2,$S82+$O82+9,$S82+$O82)</f>
        <v>42716031</v>
      </c>
      <c r="AL82" s="1" cm="1">
        <f t="array" ref="AL82">IF(INDEX($I$3:$L$22,MATCH($P82,$G$3:$G$22,0),$Q82)=AL$2,$S82+$O82+9,$S82+$O82)</f>
        <v>42716031</v>
      </c>
      <c r="AM82" s="1" cm="1">
        <f t="array" ref="AM82">IF(INDEX($I$3:$L$22,MATCH($P82,$G$3:$G$22,0),$Q82)=AM$2,$S82+$O82+9,$S82+$O82)</f>
        <v>42716031</v>
      </c>
      <c r="AN82" s="1" cm="1">
        <f t="array" ref="AN82">IF(INDEX($I$3:$L$22,MATCH($P82,$G$3:$G$22,0),$Q82)=AN$2,$S82+$O82+9,$S82+$O82)</f>
        <v>42716031</v>
      </c>
      <c r="AO82" s="1" cm="1">
        <f t="array" ref="AO82">IF(INDEX($I$3:$L$22,MATCH($P82,$G$3:$G$22,0),$Q82)=AO$2,$S82+$O82+9,$S82+$O82)</f>
        <v>42716031</v>
      </c>
      <c r="AP82" s="1" cm="1">
        <f t="array" ref="AP82">IF(INDEX($I$3:$L$22,MATCH($P82,$G$3:$G$22,0),$Q82)=AP$2,$S82+$O82+9,$S82+$O82)</f>
        <v>42716031</v>
      </c>
      <c r="AQ82" s="1" cm="1">
        <f t="array" ref="AQ82">IF(INDEX($I$3:$L$22,MATCH($P82,$G$3:$G$22,0),$Q82)=AQ$2,$S82+$O82+9,$S82+$O82)</f>
        <v>42716031</v>
      </c>
      <c r="AR82" s="1" cm="1">
        <f t="array" ref="AR82">IF(INDEX($I$3:$L$22,MATCH($P82,$G$3:$G$22,0),$Q82)=AR$2,$S82+$O82+9,$S82+$O82)</f>
        <v>42716031</v>
      </c>
      <c r="AS82" s="1" cm="1">
        <f t="array" ref="AS82">IF(INDEX($I$3:$L$22,MATCH($P82,$G$3:$G$22,0),$Q82)=AS$2,$S82+$O82+9,$S82+$O82)</f>
        <v>42716031</v>
      </c>
      <c r="AT82" s="1" cm="1">
        <f t="array" ref="AT82">IF(INDEX($I$3:$L$22,MATCH($P82,$G$3:$G$22,0),$Q82)=AT$2,$S82+$O82+9,$S82+$O82)</f>
        <v>42716031</v>
      </c>
      <c r="AU82" s="1" cm="1">
        <f t="array" ref="AU82">IF(INDEX($I$3:$L$22,MATCH($P82,$G$3:$G$22,0),$Q82)=AU$2,$S82+$O82+9,$S82+$O82)</f>
        <v>42716031</v>
      </c>
      <c r="AV82" s="1" cm="1">
        <f t="array" ref="AV82">IF(INDEX($I$3:$L$22,MATCH($P82,$G$3:$G$22,0),$Q82)=AV$2,$S82+$O82+9,$S82+$O82)</f>
        <v>42716031</v>
      </c>
      <c r="AW82" s="1" cm="1">
        <f t="array" ref="AW82">IF(INDEX($I$3:$L$22,MATCH($P82,$G$3:$G$22,0),$Q82)=AW$2,$S82+$O82+9,$S82+$O82)</f>
        <v>42716031</v>
      </c>
      <c r="AX82" s="1" cm="1">
        <f t="array" ref="AX82">IF(INDEX($I$3:$L$22,MATCH($P82,$G$3:$G$22,0),$Q82)=AX$2,$S82+$O82+9,$S82+$O82)</f>
        <v>42716031</v>
      </c>
      <c r="AY82" s="1" cm="1">
        <f t="array" ref="AY82">IF(INDEX($I$3:$L$22,MATCH($P82,$G$3:$G$22,0),$Q82)=AY$2,$S82+$O82+9,$S82+$O82)</f>
        <v>42716031</v>
      </c>
      <c r="AZ82" s="1" cm="1">
        <f t="array" ref="AZ82">IF(INDEX($I$3:$L$22,MATCH($P82,$G$3:$G$22,0),$Q82)=AZ$2,$S82+$O82+9,$S82+$O82)</f>
        <v>42716031</v>
      </c>
      <c r="BA82" s="1" cm="1">
        <f t="array" ref="BA82">IF(INDEX($I$3:$L$22,MATCH($P82,$G$3:$G$22,0),$Q82)=BA$2,$S82+$O82+9,$S82+$O82)</f>
        <v>42716031</v>
      </c>
      <c r="BB82" s="1" cm="1">
        <f t="array" ref="BB82">IF(INDEX($I$3:$L$22,MATCH($P82,$G$3:$G$22,0),$Q82)=BB$2,$S82+$O82+9,$S82+$O82)</f>
        <v>42716031</v>
      </c>
      <c r="BC82" s="1" cm="1">
        <f t="array" ref="BC82">IF(INDEX($I$3:$L$22,MATCH($P82,$G$3:$G$22,0),$Q82)=BC$2,$S82+$O82+9,$S82+$O82)</f>
        <v>42716031</v>
      </c>
      <c r="BD82" s="1" cm="1">
        <f t="array" ref="BD82">IF(INDEX($I$3:$L$22,MATCH($P82,$G$3:$G$22,0),$Q82)=BD$2,$S82+$O82+9,$S82+$O82)</f>
        <v>42716031</v>
      </c>
      <c r="BE82" s="1" cm="1">
        <f t="array" ref="BE82">IF(INDEX($I$3:$L$22,MATCH($P82,$G$3:$G$22,0),$Q82)=BE$2,$S82+$O82+9,$S82+$O82)</f>
        <v>42716031</v>
      </c>
      <c r="BF82" s="1" cm="1">
        <f t="array" ref="BF82">IF(INDEX($I$3:$L$22,MATCH($P82,$G$3:$G$22,0),$Q82)=BF$2,$S82+$O82+9,$S82+$O82)</f>
        <v>42716031</v>
      </c>
      <c r="BG82" s="1" cm="1">
        <f t="array" ref="BG82">IF(INDEX($I$3:$L$22,MATCH($P82,$G$3:$G$22,0),$Q82)=BG$2,$S82+$O82+9,$S82+$O82)</f>
        <v>42716040</v>
      </c>
      <c r="BH82" s="1" cm="1">
        <f t="array" ref="BH82">IF(INDEX($I$3:$L$22,MATCH($P82,$G$3:$G$22,0),$Q82)=BH$2,$S82+$O82+9,$S82+$O82)</f>
        <v>42716031</v>
      </c>
      <c r="BI82" s="1" cm="1">
        <f t="array" ref="BI82">IF(INDEX($I$3:$L$22,MATCH($P82,$G$3:$G$22,0),$Q82)=BI$2,$S82+$O82+9,$S82+$O82)</f>
        <v>42716031</v>
      </c>
      <c r="BJ82" s="1" cm="1">
        <f t="array" ref="BJ82">IF(INDEX($I$3:$L$22,MATCH($P82,$G$3:$G$22,0),$Q82)=BJ$2,$S82+$O82+9,$S82+$O82)</f>
        <v>42716031</v>
      </c>
      <c r="BK82" s="1" cm="1">
        <f t="array" ref="BK82">IF(INDEX($I$3:$L$22,MATCH($P82,$G$3:$G$22,0),$Q82)=BK$2,$S82+$O82+9,$S82+$O82)</f>
        <v>42716031</v>
      </c>
      <c r="BL82" s="1" cm="1">
        <f t="array" ref="BL82">IF(INDEX($I$3:$L$22,MATCH($P82,$G$3:$G$22,0),$Q82)=BL$2,$S82+$O82+9,$S82+$O82)</f>
        <v>42716031</v>
      </c>
      <c r="BM82" s="1" cm="1">
        <f t="array" ref="BM82">IF(INDEX($I$3:$L$22,MATCH($P82,$G$3:$G$22,0),$Q82)=BM$2,$S82+$O82+9,$S82+$O82)</f>
        <v>42716031</v>
      </c>
      <c r="BN82" s="1" cm="1">
        <f t="array" ref="BN82">IF(INDEX($I$3:$L$22,MATCH($P82,$G$3:$G$22,0),$Q82)=BN$2,$S82+$O82+9,$S82+$O82)</f>
        <v>42716031</v>
      </c>
      <c r="BO82" s="1" cm="1">
        <f t="array" ref="BO82">IF(INDEX($I$3:$L$22,MATCH($P82,$G$3:$G$22,0),$Q82)=BO$2,$S82+$O82+9,$S82+$O82)</f>
        <v>42716031</v>
      </c>
      <c r="BP82" s="1" cm="1">
        <f t="array" ref="BP82">IF(INDEX($I$3:$L$22,MATCH($P82,$G$3:$G$22,0),$Q82)=BP$2,$S82+$O82+9,$S82+$O82)</f>
        <v>42716031</v>
      </c>
      <c r="BQ82" s="1" cm="1">
        <f t="array" ref="BQ82">IF(INDEX($I$3:$L$22,MATCH($P82,$G$3:$G$22,0),$Q82)=BQ$2,$S82+$O82+9,$S82+$O82)</f>
        <v>42716031</v>
      </c>
      <c r="BR82" s="1" cm="1">
        <f t="array" ref="BR82">IF(INDEX($I$3:$L$22,MATCH($P82,$G$3:$G$22,0),$Q82)=BR$2,$S82+$O82+9,$S82+$O82)</f>
        <v>42716031</v>
      </c>
      <c r="BS82" s="1" cm="1">
        <f t="array" ref="BS82">IF(INDEX($I$3:$L$22,MATCH($P82,$G$3:$G$22,0),$Q82)=BS$2,$S82+$O82+9,$S82+$O82)</f>
        <v>42716031</v>
      </c>
      <c r="BT82" s="1" cm="1">
        <f t="array" ref="BT82">IF(INDEX($I$3:$L$22,MATCH($P82,$G$3:$G$22,0),$Q82)=BT$2,$S82+$O82+9,$S82+$O82)</f>
        <v>42716031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maze_shop_equip_list_v8</vt:lpstr>
      <vt:lpstr>备注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殷 昊</dc:creator>
  <cp:lastModifiedBy>704285852@qq.com</cp:lastModifiedBy>
  <dcterms:created xsi:type="dcterms:W3CDTF">2025-02-22T08:45:44Z</dcterms:created>
  <dcterms:modified xsi:type="dcterms:W3CDTF">2025-06-12T08:22:02Z</dcterms:modified>
</cp:coreProperties>
</file>