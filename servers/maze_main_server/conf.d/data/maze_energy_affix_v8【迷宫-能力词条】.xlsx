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2345"/>
  </bookViews>
  <sheets>
    <sheet name="maze_energy_affix_v8" sheetId="2" r:id="rId1"/>
    <sheet name="备注" sheetId="3" r:id="rId2"/>
  </sheets>
  <definedNames>
    <definedName name="_xlnm._FilterDatabase" localSheetId="0" hidden="1">maze_energy_affix_v8!$H$1:$H$394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<sst xmlns="http://schemas.openxmlformats.org/spreadsheetml/2006/main" count="2737" uniqueCount="1350">
  <si>
    <t>paipaiworld_config</t>
  </si>
  <si>
    <t>INT_K</t>
  </si>
  <si>
    <t>INT_S</t>
  </si>
  <si>
    <t>LIST&lt;INT&gt;_S</t>
  </si>
  <si>
    <t>MAP&lt;INT:LONG&gt;_S</t>
  </si>
  <si>
    <t>STRING_S</t>
  </si>
  <si>
    <t>STRING_C</t>
  </si>
  <si>
    <t>order</t>
  </si>
  <si>
    <t>affix_group_id</t>
  </si>
  <si>
    <t>affix_group_order</t>
  </si>
  <si>
    <t>affix_lv</t>
  </si>
  <si>
    <t>font_affix_condition</t>
  </si>
  <si>
    <t>use_num_max</t>
  </si>
  <si>
    <t>weight</t>
  </si>
  <si>
    <t>add_attr</t>
  </si>
  <si>
    <t>affix_name</t>
  </si>
  <si>
    <t>affix_desc</t>
  </si>
  <si>
    <t>affix_wildcard</t>
  </si>
  <si>
    <t>affix_icon_atlas</t>
  </si>
  <si>
    <t>affix_icon</t>
  </si>
  <si>
    <t>词条id</t>
  </si>
  <si>
    <t>词条组id</t>
  </si>
  <si>
    <t>词条组内编号</t>
  </si>
  <si>
    <t>词条等级</t>
  </si>
  <si>
    <t>前置词条id</t>
  </si>
  <si>
    <t>可使用最大次数</t>
  </si>
  <si>
    <t>随机权重</t>
  </si>
  <si>
    <t>实际增加的属性</t>
  </si>
  <si>
    <t>词条名字</t>
  </si>
  <si>
    <t>词条的描述</t>
  </si>
  <si>
    <t>描述通配符id（属性id）</t>
  </si>
  <si>
    <t>词条图标图集</t>
  </si>
  <si>
    <t>词条图标</t>
  </si>
  <si>
    <t>0</t>
  </si>
  <si>
    <t>3040102:3000_9201:3000</t>
  </si>
  <si>
    <t>攻击</t>
  </si>
  <si>
    <t>攻击+%s</t>
  </si>
  <si>
    <t>SkillBuffIcon_atlas0</t>
  </si>
  <si>
    <t>1010201</t>
  </si>
  <si>
    <t>3040102:5000_9201:5000</t>
  </si>
  <si>
    <t>1010202</t>
  </si>
  <si>
    <t>3040102:7000_9201:7000</t>
  </si>
  <si>
    <t>1010203</t>
  </si>
  <si>
    <t>3040102:10000_9201:10000</t>
  </si>
  <si>
    <t>1010204</t>
  </si>
  <si>
    <t>3040102:15000_9201:15000</t>
  </si>
  <si>
    <t>3040202:1500_9201:3000</t>
  </si>
  <si>
    <t>防御</t>
  </si>
  <si>
    <t>防御+%s</t>
  </si>
  <si>
    <t>3040301:3000_9201:5000</t>
  </si>
  <si>
    <t>攻击伤害</t>
  </si>
  <si>
    <t>攻击伤害+%s</t>
  </si>
  <si>
    <t>1010501</t>
  </si>
  <si>
    <t>3040301:5000_9201:7000</t>
  </si>
  <si>
    <t>1010502</t>
  </si>
  <si>
    <t>3040301:7000_9201:10000</t>
  </si>
  <si>
    <t>1010503</t>
  </si>
  <si>
    <t>3040301:10000_9201:15000</t>
  </si>
  <si>
    <t>1010504</t>
  </si>
  <si>
    <t>3040301:15000_9201:3000</t>
  </si>
  <si>
    <t>3040701:3000_9201:5000</t>
  </si>
  <si>
    <t>伤害总加成</t>
  </si>
  <si>
    <t>伤害总加成+%s</t>
  </si>
  <si>
    <t>1010701</t>
  </si>
  <si>
    <t>3040701:5000_9201:7000</t>
  </si>
  <si>
    <t>1010702</t>
  </si>
  <si>
    <t>3040701:7000_9201:10000</t>
  </si>
  <si>
    <t>1010703</t>
  </si>
  <si>
    <t>3040701:10000_9201:15000</t>
  </si>
  <si>
    <t>1010704</t>
  </si>
  <si>
    <t>3040701:15000_9201:3000</t>
  </si>
  <si>
    <t>3040901:1500_9201:5000</t>
  </si>
  <si>
    <t>攻击速度</t>
  </si>
  <si>
    <t>攻击速度+%s</t>
  </si>
  <si>
    <t>1010801</t>
  </si>
  <si>
    <t>3040901:1500_9201:7000</t>
  </si>
  <si>
    <t>1010802</t>
  </si>
  <si>
    <t>3040901:1500_9201:10000</t>
  </si>
  <si>
    <t>1010803</t>
  </si>
  <si>
    <t>3040901:1500_9201:15000</t>
  </si>
  <si>
    <t>1010804</t>
  </si>
  <si>
    <t>3040901:1500_9201:3000</t>
  </si>
  <si>
    <t>3041501:1_9201:3000</t>
  </si>
  <si>
    <t>目标数量</t>
  </si>
  <si>
    <t>目标数量+%s</t>
  </si>
  <si>
    <t>3041501:1_9201:6000</t>
  </si>
  <si>
    <t>3041501:2_9201:9000</t>
  </si>
  <si>
    <t>3040102:4000_9201:5000</t>
  </si>
  <si>
    <t>3040102:5000_9201:6000</t>
  </si>
  <si>
    <t>3040102:6000_9201:7000</t>
  </si>
  <si>
    <t>3040102:7000_9201:8000</t>
  </si>
  <si>
    <t>3040102:8000_9201:9000</t>
  </si>
  <si>
    <t>3040102:9000_9201:10000</t>
  </si>
  <si>
    <t>3040102:10000_9201:12000</t>
  </si>
  <si>
    <t>3040102:11000_9201:12000</t>
  </si>
  <si>
    <t>3040102:12000_9201:12000</t>
  </si>
  <si>
    <t>3041001:3000_9201:10000</t>
  </si>
  <si>
    <t>攻击范围</t>
  </si>
  <si>
    <t>攻击范围+%s</t>
  </si>
  <si>
    <t>1011001</t>
  </si>
  <si>
    <t>3041001:5000_9201:15000</t>
  </si>
  <si>
    <t>3041001:7000_9201:3000</t>
  </si>
  <si>
    <t>3041001:10000_9201:5000</t>
  </si>
  <si>
    <t>3041001:15000_9201:7000</t>
  </si>
  <si>
    <t>3041201:1500_9201:10000</t>
  </si>
  <si>
    <t>暴击几率</t>
  </si>
  <si>
    <t>暴击几率+%s</t>
  </si>
  <si>
    <t>1011101</t>
  </si>
  <si>
    <t>3041201:1500_9201:15000</t>
  </si>
  <si>
    <t>1011102</t>
  </si>
  <si>
    <t>3041201:1500_9201:3000</t>
  </si>
  <si>
    <t>1011103</t>
  </si>
  <si>
    <t>3041201:1500_9201:5000</t>
  </si>
  <si>
    <t>1011104</t>
  </si>
  <si>
    <t>3041201:1500_9201:7000</t>
  </si>
  <si>
    <t>3041301:3000_9201:10000</t>
  </si>
  <si>
    <t>暴击伤害</t>
  </si>
  <si>
    <t>暴击伤害+%s</t>
  </si>
  <si>
    <t>1011201</t>
  </si>
  <si>
    <t>3041301:5000_9201:15000</t>
  </si>
  <si>
    <t>1011202</t>
  </si>
  <si>
    <t>3041301:7000_9201:3000</t>
  </si>
  <si>
    <t>1011203</t>
  </si>
  <si>
    <t>3041301:10000_9201:5000</t>
  </si>
  <si>
    <t>1011204</t>
  </si>
  <si>
    <t>3041301:15000_9201:7000</t>
  </si>
  <si>
    <t>3050001:3000_3050000:1_9201:10000</t>
  </si>
  <si>
    <t>攻击附加冰元素系数</t>
  </si>
  <si>
    <t>攻击附加冰元素系数+%s</t>
  </si>
  <si>
    <t>2010101</t>
  </si>
  <si>
    <t>3050001:5000_3050000:1_9201:15000</t>
  </si>
  <si>
    <t>2010102</t>
  </si>
  <si>
    <t>3050001:7000_3050000:1_9201:3000</t>
  </si>
  <si>
    <t>2010103</t>
  </si>
  <si>
    <t>3050001:10000_3050000:1_9201:5000</t>
  </si>
  <si>
    <t>2010104</t>
  </si>
  <si>
    <t>3050001:15000_3050000:1_9201:7000</t>
  </si>
  <si>
    <t>20101</t>
  </si>
  <si>
    <t>3050102:3000_9201:10000</t>
  </si>
  <si>
    <t>冰元素攻击</t>
  </si>
  <si>
    <t>冰元素攻击+%s</t>
  </si>
  <si>
    <t>2010301,20101</t>
  </si>
  <si>
    <t>3050102:5000_9201:15000</t>
  </si>
  <si>
    <t>2010302,20101</t>
  </si>
  <si>
    <t>3050102:7000_9201:3000</t>
  </si>
  <si>
    <t>2010303,20101</t>
  </si>
  <si>
    <t>3050102:10000_9201:5000</t>
  </si>
  <si>
    <t>2010304,20101</t>
  </si>
  <si>
    <t>3050102:15000_9201:7000</t>
  </si>
  <si>
    <t>3050301:3000_9201:10000</t>
  </si>
  <si>
    <t>冰元素伤害</t>
  </si>
  <si>
    <t>冰元素伤害+%s</t>
  </si>
  <si>
    <t>2010401,20101</t>
  </si>
  <si>
    <t>3050301:5000_9201:15000</t>
  </si>
  <si>
    <t>2010402,20101</t>
  </si>
  <si>
    <t>3050301:7000_9201:3000</t>
  </si>
  <si>
    <t>2010403,20101</t>
  </si>
  <si>
    <t>3050301:10000_9201:5000</t>
  </si>
  <si>
    <t>2010404,20101</t>
  </si>
  <si>
    <t>3050301:15000_9201:7000</t>
  </si>
  <si>
    <t>3060001:3000_3060000:1_9201:10000</t>
  </si>
  <si>
    <t>攻击附加火元素系数</t>
  </si>
  <si>
    <t>攻击附加火元素系数+%s</t>
  </si>
  <si>
    <t>3010101</t>
  </si>
  <si>
    <t>3060001:5000_3060000:1_9201:15000</t>
  </si>
  <si>
    <t>3010102</t>
  </si>
  <si>
    <t>3060001:7000_3060000:1_9201:3000</t>
  </si>
  <si>
    <t>3010103</t>
  </si>
  <si>
    <t>3060001:10000_3060000:1_9201:5000</t>
  </si>
  <si>
    <t>3010104</t>
  </si>
  <si>
    <t>3060001:15000_3060000:1_9201:7000</t>
  </si>
  <si>
    <t>30101</t>
  </si>
  <si>
    <t>3060102:3000_9201:10000</t>
  </si>
  <si>
    <t>火元素攻击</t>
  </si>
  <si>
    <t>火元素攻击+%s</t>
  </si>
  <si>
    <t>3010301,30101</t>
  </si>
  <si>
    <t>3060102:5000_9201:15000</t>
  </si>
  <si>
    <t>3010302,30101</t>
  </si>
  <si>
    <t>3060102:7000_9201:3000</t>
  </si>
  <si>
    <t>3010303,30101</t>
  </si>
  <si>
    <t>3060102:10000_9201:5000</t>
  </si>
  <si>
    <t>3010304,30101</t>
  </si>
  <si>
    <t>3060102:15000_9201:7000</t>
  </si>
  <si>
    <t>3060301:3000_9201:10000</t>
  </si>
  <si>
    <t>火元素伤害</t>
  </si>
  <si>
    <t>火元素伤害+%s</t>
  </si>
  <si>
    <t>3010401,30101</t>
  </si>
  <si>
    <t>3060301:5000_9201:15000</t>
  </si>
  <si>
    <t>3010402,30101</t>
  </si>
  <si>
    <t>3060301:7000_9201:3000</t>
  </si>
  <si>
    <t>3010403,30101</t>
  </si>
  <si>
    <t>3060301:10000_9201:5000</t>
  </si>
  <si>
    <t>3010404,30101</t>
  </si>
  <si>
    <t>3060301:15000_9201:7000</t>
  </si>
  <si>
    <t>3070001:3000_3070000:1_9201:10000</t>
  </si>
  <si>
    <t>攻击附加电元素系数</t>
  </si>
  <si>
    <t>攻击附加电元素系数+%s</t>
  </si>
  <si>
    <t>4010101</t>
  </si>
  <si>
    <t>3070001:5000_3070000:1_9201:15000</t>
  </si>
  <si>
    <t>4010102</t>
  </si>
  <si>
    <t>3070001:7000_3070000:1_9201:3000</t>
  </si>
  <si>
    <t>4010103</t>
  </si>
  <si>
    <t>3070001:10000_3070000:1_9201:5000</t>
  </si>
  <si>
    <t>4010104</t>
  </si>
  <si>
    <t>3070001:15000_3070000:1_9201:7000</t>
  </si>
  <si>
    <t>40101</t>
  </si>
  <si>
    <t>3070102:3000_9201:10000</t>
  </si>
  <si>
    <t>电元素攻击</t>
  </si>
  <si>
    <t>电元素攻击+%s</t>
  </si>
  <si>
    <t>4010301,40101</t>
  </si>
  <si>
    <t>3070102:5000_9201:15000</t>
  </si>
  <si>
    <t>4010302,40101</t>
  </si>
  <si>
    <t>3070102:7000_9201:3000</t>
  </si>
  <si>
    <t>4010303,40101</t>
  </si>
  <si>
    <t>3070102:10000_9201:5000</t>
  </si>
  <si>
    <t>4010304,40101</t>
  </si>
  <si>
    <t>3070102:15000_9201:7000</t>
  </si>
  <si>
    <t>3070301:3000_9201:10000</t>
  </si>
  <si>
    <t>电元素伤害</t>
  </si>
  <si>
    <t>电元素伤害+%s</t>
  </si>
  <si>
    <t>4010401,40101</t>
  </si>
  <si>
    <t>3070301:5000_9201:15000</t>
  </si>
  <si>
    <t>4010402,40101</t>
  </si>
  <si>
    <t>3070301:7000_9201:3000</t>
  </si>
  <si>
    <t>4010403,40101</t>
  </si>
  <si>
    <t>3070301:10000_9201:5000</t>
  </si>
  <si>
    <t>4010404,40101</t>
  </si>
  <si>
    <t>3070301:15000_9201:7000</t>
  </si>
  <si>
    <t>3080001:3000_3080000:1_9201:10000</t>
  </si>
  <si>
    <t>攻击附加毒元素系数</t>
  </si>
  <si>
    <t>攻击附加毒元素系数+%s</t>
  </si>
  <si>
    <t>5010101</t>
  </si>
  <si>
    <t>3080001:5000_3080000:1_9201:15000</t>
  </si>
  <si>
    <t>5010102</t>
  </si>
  <si>
    <t>3080001:7000_3080000:1_9201:3000</t>
  </si>
  <si>
    <t>5010103</t>
  </si>
  <si>
    <t>3080001:10000_3080000:1_9201:5000</t>
  </si>
  <si>
    <t>5010104</t>
  </si>
  <si>
    <t>3080001:15000_3080000:1_9201:7000</t>
  </si>
  <si>
    <t>50101</t>
  </si>
  <si>
    <t>3080102:3000_9201:10000</t>
  </si>
  <si>
    <t>毒元素攻击</t>
  </si>
  <si>
    <t>毒元素攻击+%s</t>
  </si>
  <si>
    <t>5010301,50101</t>
  </si>
  <si>
    <t>3080102:5000_9201:15000</t>
  </si>
  <si>
    <t>5010302,50101</t>
  </si>
  <si>
    <t>3080102:7000_9201:3000</t>
  </si>
  <si>
    <t>5010303,50101</t>
  </si>
  <si>
    <t>3080102:10000_9201:5000</t>
  </si>
  <si>
    <t>5010304,50101</t>
  </si>
  <si>
    <t>3080102:15000_9201:7000</t>
  </si>
  <si>
    <t>3080301:3000_9201:10000</t>
  </si>
  <si>
    <t>毒元素伤害</t>
  </si>
  <si>
    <t>毒元素伤害+%s</t>
  </si>
  <si>
    <t>5010401,50101</t>
  </si>
  <si>
    <t>3080301:5000_9201:15000</t>
  </si>
  <si>
    <t>5010402,50101</t>
  </si>
  <si>
    <t>3080301:7000_9201:3000</t>
  </si>
  <si>
    <t>5010403,50101</t>
  </si>
  <si>
    <t>3080301:10000_9201:5000</t>
  </si>
  <si>
    <t>5010404,50101</t>
  </si>
  <si>
    <t>3080301:15000_9201:7000</t>
  </si>
  <si>
    <t>3040102:6000_9201:6000</t>
  </si>
  <si>
    <t>3040102:8000_9201:8000</t>
  </si>
  <si>
    <t>3040102:9000_9201:9000</t>
  </si>
  <si>
    <t>3060001:4000_3060000:1_9201:3000</t>
  </si>
  <si>
    <t>火焰之刃</t>
  </si>
  <si>
    <t>攻击时附带%s的火元素伤害</t>
  </si>
  <si>
    <t>3060102:12500_9201:5000</t>
  </si>
  <si>
    <t>点燃</t>
  </si>
  <si>
    <t>火元素伤害+%s，攻击有15%%几率使目标燃烧</t>
  </si>
  <si>
    <t>陨石</t>
  </si>
  <si>
    <t>每8次攻击释放1次陨石，造成150%攻击力的火焰伤害</t>
  </si>
  <si>
    <t>3060102:17500_9201:10000</t>
  </si>
  <si>
    <t>强化点燃</t>
  </si>
  <si>
    <t>燃烧伤害+50%，燃烧的目标受到伤害+50%</t>
  </si>
  <si>
    <t>3060102,3060102</t>
  </si>
  <si>
    <t>3060102:20000_9201:15000</t>
  </si>
  <si>
    <t>强化陨石</t>
  </si>
  <si>
    <t>释放陨石需要的攻击-%s次，陨石会使被伤害的目标陷入燃烧。</t>
  </si>
  <si>
    <t>3060102:22500_9201:22000</t>
  </si>
  <si>
    <t>烈焰缠身</t>
  </si>
  <si>
    <t>燃烧伤害+%s，燃烧时被攻击会受到35%%%攻击力的额外伤害。</t>
  </si>
  <si>
    <t>3060102:25000_9201:30000</t>
  </si>
  <si>
    <t>双重陨石</t>
  </si>
  <si>
    <t>火元素伤害+%s，陨石释放次数+1。</t>
  </si>
  <si>
    <t>3060102:27500_9201:40000</t>
  </si>
  <si>
    <t>死亡爆炸</t>
  </si>
  <si>
    <t>燃烧时死亡，对周围同伴造成自身最大生命50%的火元素伤害，并使目标燃烧。</t>
  </si>
  <si>
    <t>3070001:3000_3070000:1_9201:3000</t>
  </si>
  <si>
    <t>雷电之刃</t>
  </si>
  <si>
    <t>攻击时附带攻击%s的电元素伤害</t>
  </si>
  <si>
    <t>触电</t>
  </si>
  <si>
    <t>电元素伤害+%s，攻击有%s几率使目标触电。触电状态下，被攻击会受到35%%攻击的触电伤害，触电状态持续5秒。</t>
  </si>
  <si>
    <t>3070102,3070102</t>
  </si>
  <si>
    <t>3070102:10000_9201:7000</t>
  </si>
  <si>
    <t>闪电链</t>
  </si>
  <si>
    <t>每8次攻击释放1次闪电链，对周围任意目标造成150%攻击力的电元素伤害，并弹射3次，每次弹射会使伤害降低25%。</t>
  </si>
  <si>
    <t>3070102:10000_9201:10000</t>
  </si>
  <si>
    <t>强化触电</t>
  </si>
  <si>
    <t>电元素伤害+%s，触电伤害+%s。</t>
  </si>
  <si>
    <t>3070102:20000_9201:15000</t>
  </si>
  <si>
    <t>强化闪电链</t>
  </si>
  <si>
    <t>释放闪电链需要的攻击-3次，闪电链每次弹射时伤害不再降低</t>
  </si>
  <si>
    <t>3070102:30000_9201:22000</t>
  </si>
  <si>
    <t>双重触电</t>
  </si>
  <si>
    <t>触电伤害+%s，攻击使目标触电时会立刻触发1次触电伤害</t>
  </si>
  <si>
    <t>3070102:40000_9201:30000</t>
  </si>
  <si>
    <t>双重闪电链</t>
  </si>
  <si>
    <t>电元素伤害+%s，闪电链的释放次数+1</t>
  </si>
  <si>
    <t>3070102:50000_9201:40000</t>
  </si>
  <si>
    <t>电磁爆炸</t>
  </si>
  <si>
    <t>触电伤害+300%，触电伤害范围扩大，并使受到伤害的目标触电。</t>
  </si>
  <si>
    <t>3080001:3000_3080000:1_9201:3000</t>
  </si>
  <si>
    <t>枯木之刃</t>
  </si>
  <si>
    <t>攻击时附带攻击%s的毒元素伤害，攻击有15%%几率使目标中毒。中毒的目标每秒受到20%%攻击力的中毒伤害，中毒持续20秒。</t>
  </si>
  <si>
    <t>剧毒</t>
  </si>
  <si>
    <t>毒元素伤害+%s，中毒伤害+%s</t>
  </si>
  <si>
    <t>3080102,3080102</t>
  </si>
  <si>
    <t>3080102:10000_9201:7000</t>
  </si>
  <si>
    <t>传染</t>
  </si>
  <si>
    <t>每8次攻击释放1次剧毒传染，最周围造成150%攻击力的毒元素伤害，并使目标中毒。</t>
  </si>
  <si>
    <t>3080102:10000_9201:10000</t>
  </si>
  <si>
    <t>强化剧毒</t>
  </si>
  <si>
    <t>中毒伤害+%s，中毒的目标再次中毒时立刻受到5次中毒伤害。</t>
  </si>
  <si>
    <t>3080102:20000_9201:15000</t>
  </si>
  <si>
    <t>强化传染</t>
  </si>
  <si>
    <t>释放剧毒传染需要的攻击-%s次，中毒状态可以叠加2层。</t>
  </si>
  <si>
    <t>3080102:30000_9201:22000</t>
  </si>
  <si>
    <t>死亡传染</t>
  </si>
  <si>
    <t>中毒伤害+%s，中毒时死亡会使附近任意怪物获得1层瘟疫。瘟疫中的目标每秒受到20%%攻击力的中毒伤害，中毒持续20秒。瘟疫状态最多可叠加99层。</t>
  </si>
  <si>
    <t>3080102:40000_9201:30000</t>
  </si>
  <si>
    <t>双重传染</t>
  </si>
  <si>
    <t>毒元素伤害+%s，剧毒传染释放次数+1</t>
  </si>
  <si>
    <t>3080102:50000_9201:40000</t>
  </si>
  <si>
    <t>极速腐化</t>
  </si>
  <si>
    <t>毒元素伤害+%s，中毒/瘟疫状态触发时间减少为0.33秒</t>
  </si>
  <si>
    <t>3080102</t>
  </si>
  <si>
    <t>3040202:2000_9201:3000</t>
  </si>
  <si>
    <t>强壮</t>
  </si>
  <si>
    <t>防御+%s，生命上限+%s</t>
  </si>
  <si>
    <t>3040202,3040202</t>
  </si>
  <si>
    <t>3041102:2000_9201:5000</t>
  </si>
  <si>
    <t>以战养战</t>
  </si>
  <si>
    <t>击中怪物回血效果+%s</t>
  </si>
  <si>
    <t>3041102:2000_9201:7000</t>
  </si>
  <si>
    <t>夺取</t>
  </si>
  <si>
    <t>击杀怪物回复自身%s的生命</t>
  </si>
  <si>
    <t>3040202:2000_9201:10000</t>
  </si>
  <si>
    <t>护体</t>
  </si>
  <si>
    <t>每损失10%血量就获得一个最大生命20%的护盾。拥有护盾的角色损失生命时会优先扣除护盾值。</t>
  </si>
  <si>
    <t>3041102:2000_9201:15000</t>
  </si>
  <si>
    <t>坚定</t>
  </si>
  <si>
    <t>当前生命值低于最大值50%%时，防御+%s</t>
  </si>
  <si>
    <t>3040202:2000_9201:22000</t>
  </si>
  <si>
    <t>复活</t>
  </si>
  <si>
    <t>角色濒死时触发复活，复活会使角色回复100%生命，每次挑战最多触发1次。</t>
  </si>
  <si>
    <t>3040102:4000_9201:3000</t>
  </si>
  <si>
    <t>精致之刃</t>
  </si>
  <si>
    <t>3040102:4000_3041201:600_9201:5000</t>
  </si>
  <si>
    <t>锐眼</t>
  </si>
  <si>
    <t>攻击+%s，暴击率+%s</t>
  </si>
  <si>
    <t>3040102,3041201</t>
  </si>
  <si>
    <t>3040102:5000_3041301:2500_9201:6000</t>
  </si>
  <si>
    <t>狂暴</t>
  </si>
  <si>
    <t>攻击+%s，暴击伤害+%s</t>
  </si>
  <si>
    <t>3040102,3041301</t>
  </si>
  <si>
    <t>3040102:6000_3041201:300_9201:7000</t>
  </si>
  <si>
    <t>致命暴击</t>
  </si>
  <si>
    <t>暴击时获得1层致命暴击状态，提高40%攻击</t>
  </si>
  <si>
    <t>3040102:7000_3041201:300_9201:8000</t>
  </si>
  <si>
    <t>嗜血</t>
  </si>
  <si>
    <t>致命暴击效果翻倍</t>
  </si>
  <si>
    <t>3040102:8000_3041201:500_9201:9000</t>
  </si>
  <si>
    <t>强化锐眼</t>
  </si>
  <si>
    <t>3040102:9000_3041201:300_9201:10000</t>
  </si>
  <si>
    <t>强化致命暴击</t>
  </si>
  <si>
    <t>致命暴击状态到达5层时，自身暴击伤害+100%</t>
  </si>
  <si>
    <t>3040102:10000_3041201:500_9201:12000</t>
  </si>
  <si>
    <t>斩杀</t>
  </si>
  <si>
    <t>斩杀，攻击血量低于50%目标有15%几率直接秒杀</t>
  </si>
  <si>
    <t>3041001:3000_9201:3000</t>
  </si>
  <si>
    <t>巨大之刃</t>
  </si>
  <si>
    <t>3041001:3000_9201:5000</t>
  </si>
  <si>
    <t>旋风斩</t>
  </si>
  <si>
    <t>每8秒触发一次旋风斩，对攻击范围内的所有目标造成一次150%攻击力的伤害</t>
  </si>
  <si>
    <t>906010202</t>
  </si>
  <si>
    <t>3041001:5000_9201:7000</t>
  </si>
  <si>
    <t>强化旋风斩</t>
  </si>
  <si>
    <t>旋风斩伤害+50%，旋风斩触发时间-3秒</t>
  </si>
  <si>
    <t>3041001:5000_9201:10000</t>
  </si>
  <si>
    <t>多重打击</t>
  </si>
  <si>
    <t>攻击时15%几率触发多重打击，额外攻击一次</t>
  </si>
  <si>
    <t>906010403</t>
  </si>
  <si>
    <t>3041001:7000_9201:15000</t>
  </si>
  <si>
    <t>强化多重打击</t>
  </si>
  <si>
    <t>多重打击触发几率+15%，额外攻击次数+1</t>
  </si>
  <si>
    <t>906010202,906010403</t>
  </si>
  <si>
    <t>3041001:7000_9201:22000</t>
  </si>
  <si>
    <t>多重旋风斩</t>
  </si>
  <si>
    <t>旋风斩也会触发多重打击，触发几率与普通攻击相同</t>
  </si>
  <si>
    <t>3041001:10000_9201:30000</t>
  </si>
  <si>
    <t>百战不殆</t>
  </si>
  <si>
    <t>攻击范围内的所有敌人伤害降低%s，受到伤害提升%s</t>
  </si>
  <si>
    <t>3041001,3041001</t>
  </si>
  <si>
    <t>3041001:15000_9201:40000</t>
  </si>
  <si>
    <t>浴血战神</t>
  </si>
  <si>
    <t>攻击范围内，敌人越多，玩家伤害越高，每个敌人提供150%伤害</t>
  </si>
  <si>
    <t>3540100:1_9201:3000</t>
  </si>
  <si>
    <t>攻击速度提高</t>
  </si>
  <si>
    <t>攻击速度提高5%，持续4秒，最多叠加3层</t>
  </si>
  <si>
    <t>3540300:1_9201:5000</t>
  </si>
  <si>
    <t>攻击提高</t>
  </si>
  <si>
    <t>攻击提高5%，持续4秒，最多叠加3层</t>
  </si>
  <si>
    <t>3540500:1_9201:7000</t>
  </si>
  <si>
    <t>防御提高</t>
  </si>
  <si>
    <t>防御提高5%，持续4秒，最多叠加3层</t>
  </si>
  <si>
    <t>3540700:1_9201:10000</t>
  </si>
  <si>
    <t>生命提高</t>
  </si>
  <si>
    <t>生命提高5%，持续4秒，最多叠加3层</t>
  </si>
  <si>
    <t>3540900:1_9201:15000</t>
  </si>
  <si>
    <t>击中回血效果提高</t>
  </si>
  <si>
    <t>击中回血效果提高5%，持续4秒，最多叠加3层</t>
  </si>
  <si>
    <t>3541100:1_9201:22000</t>
  </si>
  <si>
    <t>暴击几率提高</t>
  </si>
  <si>
    <t>暴击几率提高5%，持续4秒，最多叠加3层</t>
  </si>
  <si>
    <t>3541300:1_9201:30000</t>
  </si>
  <si>
    <t>暴击伤害提高</t>
  </si>
  <si>
    <t>暴击伤害提高5%，持续4秒，最多叠加3层</t>
  </si>
  <si>
    <t>3541500:1_9201:40000</t>
  </si>
  <si>
    <t>伤害提高</t>
  </si>
  <si>
    <t>伤害提高5%，持续4秒，最多叠加3层</t>
  </si>
  <si>
    <t>3541700:1_9201:10000</t>
  </si>
  <si>
    <t>受到伤害提高</t>
  </si>
  <si>
    <t>受到伤害提高5%，持续4秒，最多叠加3层</t>
  </si>
  <si>
    <t>3541900:1_9201:15000</t>
  </si>
  <si>
    <t>持续伤害提高</t>
  </si>
  <si>
    <t>持续伤害提高5%，持续4秒，最多叠加3层</t>
  </si>
  <si>
    <t>3542100:1_9201:22000</t>
  </si>
  <si>
    <t>受到持续伤害提高</t>
  </si>
  <si>
    <t>受到持续伤害提高5%，持续4秒，最多叠加3层</t>
  </si>
  <si>
    <t>5500100:1_9201:30000</t>
  </si>
  <si>
    <t>护盾技能</t>
  </si>
  <si>
    <t>每隔8秒获得自身生命上限20%的护盾，持续4秒</t>
  </si>
  <si>
    <t>3050001:4000_3050000:1_9201:3000</t>
  </si>
  <si>
    <t>冰霜之刃</t>
  </si>
  <si>
    <t>攻击时附带%s的冰元素伤害</t>
  </si>
  <si>
    <t>3050301:10000_3550100:1_3551000:1_9201:5000</t>
  </si>
  <si>
    <t>冰爆</t>
  </si>
  <si>
    <t>冰元素伤害+%s，攻击有15%%几率使目标冰冻，同时受到冰元素伤害</t>
  </si>
  <si>
    <t>3550400:1_9201:6000</t>
  </si>
  <si>
    <t>冰霜新星</t>
  </si>
  <si>
    <t>每8次攻击释放1次冰霜新星，造成冰元素伤害，并有几率使目标冰冻</t>
  </si>
  <si>
    <t>3050301:10000_3551101:100000_9201:7000</t>
  </si>
  <si>
    <t>强化冰爆</t>
  </si>
  <si>
    <t>冰元素伤害+%s，攻击冰冻的目标时造成额外10%%最大生命值的伤害</t>
  </si>
  <si>
    <t>3550501:3_3551400:1_9201:8000</t>
  </si>
  <si>
    <t>强化冰霜新星</t>
  </si>
  <si>
    <t>释放冰霜新星需要的攻击-%s次，冰霜新星必定使目标冰冻</t>
  </si>
  <si>
    <t>3550206:1500_3550800:1_9201:9000</t>
  </si>
  <si>
    <t>双重冰爆</t>
  </si>
  <si>
    <t>冰冻几率+%s，对已经处于冰冻的目标再次触发冰冻时造成30%%攻击的伤害。</t>
  </si>
  <si>
    <t>3050301:10000_3550600:1_9201:10000</t>
  </si>
  <si>
    <t>双重冰霜新星</t>
  </si>
  <si>
    <t>冰元素伤害+%s，冰霜新星释放次数+1</t>
  </si>
  <si>
    <t>3550206:1500_3551200:1_9201:12000</t>
  </si>
  <si>
    <t>冰霜终结</t>
  </si>
  <si>
    <t>冰冻几率+%s，冰冻时间+%s秒，攻击冰冻目标被会造成50%%的额外伤害。</t>
  </si>
  <si>
    <t>3550206,3551200</t>
  </si>
  <si>
    <t>3050301:20000_9201:12000</t>
  </si>
  <si>
    <t>强化冰霜伤害</t>
  </si>
  <si>
    <t>3060301:12500_3560100:1_9201:5000</t>
  </si>
  <si>
    <t>3060102:15000_3560400:1_9201:7000</t>
  </si>
  <si>
    <t>3060701:17500_3560600:1_9201:10000</t>
  </si>
  <si>
    <t>3560501:3_3560800:1_9201:15000</t>
  </si>
  <si>
    <t>3060701:17500_3561300:1_9201:22000</t>
  </si>
  <si>
    <t>3060301:17500_3560503:1_9201:30000</t>
  </si>
  <si>
    <t>3060102:17500_3561000:1_9201:40000</t>
  </si>
  <si>
    <t>3070301:10000_3570100:1_9201:5000</t>
  </si>
  <si>
    <t>电元素伤害+%s，攻击有15%%几率使目标触电。触电状态下，被攻击会受到35%%攻击的触电伤害，触电状态持续5秒。</t>
  </si>
  <si>
    <t>3570600:1_3570400:1_9201:7000</t>
  </si>
  <si>
    <t>3070301:10000_3570800:1_9201:10000</t>
  </si>
  <si>
    <t>电元素伤害+%s，触电时受到伤害提高20%%</t>
  </si>
  <si>
    <t>3570701:3_3570503:2500_9201:15000</t>
  </si>
  <si>
    <t>释放闪电链需要的攻击-%s次，闪电链每次弹射时伤害不再降低</t>
  </si>
  <si>
    <t>3571000:1_3570201:3000_9201:22000</t>
  </si>
  <si>
    <t>3070301:40000_3570703:1_9201:30000</t>
  </si>
  <si>
    <t>3570201:30000_3571200:1_9201:40000</t>
  </si>
  <si>
    <t>3080001:3000_3080000:1_3580100:1_9201:3000</t>
  </si>
  <si>
    <t>3080301:10000_3080701:4000_9201:5000</t>
  </si>
  <si>
    <t>3580400:1_9201:7000</t>
  </si>
  <si>
    <t>每8次攻击释放1次中毒传染，对周围造成150%攻击力的毒元素伤害，并使目标中毒。</t>
  </si>
  <si>
    <t>3080701:5000_3580600:1_9201:10000</t>
  </si>
  <si>
    <t>3580501:3_3580207:1_9201:15000</t>
  </si>
  <si>
    <t>释放中毒传染需要的攻击-%s次，中毒状态可以叠加2层。</t>
  </si>
  <si>
    <t>3080701:6000_3580800:1_9201:22000</t>
  </si>
  <si>
    <t>中毒伤害+%s，中毒时死亡会使附近任意怪物获得1层瘟疫。瘟疫中的目标每秒受到20%%攻击力的中毒伤害，持续20秒，最多可叠加10层。</t>
  </si>
  <si>
    <t>3080301:40000_3580503:1_9201:30000</t>
  </si>
  <si>
    <t>毒元素伤害+%s，中毒传染释放次数+1</t>
  </si>
  <si>
    <t>3080301:50000_3580208:6700_9201:40000</t>
  </si>
  <si>
    <t>3592200:1_3592201:10_9201:1000</t>
  </si>
  <si>
    <t>击回10</t>
  </si>
  <si>
    <t>3592200:1_3592202:200_9201:1000</t>
  </si>
  <si>
    <t>击回2%</t>
  </si>
  <si>
    <t>3592300:1_3592401:3000_9201:1000</t>
  </si>
  <si>
    <t>击回效果提高30%</t>
  </si>
  <si>
    <t>95000101:1</t>
  </si>
  <si>
    <t>冰弹技能</t>
  </si>
  <si>
    <t>95100101:1</t>
  </si>
  <si>
    <t>陨石技能</t>
  </si>
  <si>
    <t>95200101:1</t>
  </si>
  <si>
    <t>雷电技能</t>
  </si>
  <si>
    <t>5200300:1_5200301:2_9201:1000</t>
  </si>
  <si>
    <t>雷电目标+2</t>
  </si>
  <si>
    <t>5200500:1_5200501:3000_9201:1000</t>
  </si>
  <si>
    <t>雷电伤害+30%</t>
  </si>
  <si>
    <t>5200300:1_5200301:-1_9201:1000</t>
  </si>
  <si>
    <t>雷电目标-1</t>
  </si>
  <si>
    <t>5200500:1_5200501:-1000_9201:1000</t>
  </si>
  <si>
    <t>雷电伤害-10%</t>
  </si>
  <si>
    <t>5000300:1_5000301:4_9201:1000</t>
  </si>
  <si>
    <t>冰弹数量+4</t>
  </si>
  <si>
    <t>5000500:1_5000501:6000_9201:1000</t>
  </si>
  <si>
    <t>冰弹伤害+60%</t>
  </si>
  <si>
    <t>5000700:1_5000701:90_9201:1000</t>
  </si>
  <si>
    <t>冰弹范围+90°</t>
  </si>
  <si>
    <t>5000900:1_5000901:1_5001101:-4000_9201:1000</t>
  </si>
  <si>
    <t>追加1次60%伤害的冰弹</t>
  </si>
  <si>
    <t>5001300:1_9201:1000</t>
  </si>
  <si>
    <t>冰弹命中后产生冰爆</t>
  </si>
  <si>
    <t>5100300:1_5100301:300_5100302:2000_9201:1000</t>
  </si>
  <si>
    <t>陨石范围+0.3米</t>
  </si>
  <si>
    <t>陨石范围+0.3米，陨石特效大小+20%</t>
  </si>
  <si>
    <t>5100500:1_5100501:6000_9201:1000</t>
  </si>
  <si>
    <t>陨石伤害+60%</t>
  </si>
  <si>
    <t>5100700:1_5100701:2_9201:1000</t>
  </si>
  <si>
    <t>陨石数量+2</t>
  </si>
  <si>
    <t>5100900:1_5100901:1250_9201:1000</t>
  </si>
  <si>
    <t>陨石爆炸后产生额外半径1.25米、60%伤害的冲击波</t>
  </si>
  <si>
    <t>5020300:1_5020301:-3000_9201:1000</t>
  </si>
  <si>
    <t>冰弹CD-30%</t>
  </si>
  <si>
    <t>5120300:1_5120301:-5000_9201:1000</t>
  </si>
  <si>
    <t>陨石CD-50%</t>
  </si>
  <si>
    <t>5220300:1_5220301:-4000_9201:1000</t>
  </si>
  <si>
    <t>雷击CD-40%</t>
  </si>
  <si>
    <t>7000100:1_7000101:5000_9201:1000</t>
  </si>
  <si>
    <t>普攻伤害+50%</t>
  </si>
  <si>
    <t>5001500:1_5001501:5000_5001502:1500_9201:4000</t>
  </si>
  <si>
    <t>冰冻</t>
  </si>
  <si>
    <t>寒冰弹有50%概率造成1.5秒冰冻</t>
  </si>
  <si>
    <t>5101100:1_9201:4000</t>
  </si>
  <si>
    <t>陨石燃烧</t>
  </si>
  <si>
    <t>陨石附加燃烧，每秒造成30%的伤害，持续3秒</t>
  </si>
  <si>
    <t>5200700:1_5200701:5000_5200702:1500_9201:4000</t>
  </si>
  <si>
    <t>落雷有50%概率造成1.5秒麻痹</t>
  </si>
  <si>
    <t>920001:1</t>
  </si>
  <si>
    <t>炎域</t>
  </si>
  <si>
    <t>学习炎域技能</t>
  </si>
  <si>
    <t>920011:1_920012:1</t>
  </si>
  <si>
    <t>毒爆</t>
  </si>
  <si>
    <t>学习施加毒爆技能</t>
  </si>
  <si>
    <t>920021:1</t>
  </si>
  <si>
    <t>爆炎冲刺</t>
  </si>
  <si>
    <t>学习爆炎冲刺技能</t>
  </si>
  <si>
    <t>920022:1</t>
  </si>
  <si>
    <t>升龙击</t>
  </si>
  <si>
    <t>学习升龙击技能</t>
  </si>
  <si>
    <t>920023:1</t>
  </si>
  <si>
    <t>爆炎砸地</t>
  </si>
  <si>
    <t>学习爆炎砸地技能</t>
  </si>
  <si>
    <t>920031:1</t>
  </si>
  <si>
    <t>学习闪电链技能</t>
  </si>
  <si>
    <t>920041:1</t>
  </si>
  <si>
    <t>召唤守卫</t>
  </si>
  <si>
    <t>学习守卫技能</t>
  </si>
  <si>
    <t>920031:1_3041501:2</t>
  </si>
  <si>
    <t>4070301:6000_4070701:6000</t>
  </si>
  <si>
    <t>闪电增伤</t>
  </si>
  <si>
    <t>电系伤害+60%</t>
  </si>
  <si>
    <t>1920031:-1200</t>
  </si>
  <si>
    <t>快速充电</t>
  </si>
  <si>
    <t>闪电链冷却-20%</t>
  </si>
  <si>
    <t>5200701:2000</t>
  </si>
  <si>
    <t>强化麻痹</t>
  </si>
  <si>
    <t>闪电链造成麻痹概率+20%</t>
  </si>
  <si>
    <t>5920031:2</t>
  </si>
  <si>
    <t>多重弹射</t>
  </si>
  <si>
    <t>闪电链弹射次数+2</t>
  </si>
  <si>
    <t>920032:1</t>
  </si>
  <si>
    <t>电环</t>
  </si>
  <si>
    <t>释放一圈电环</t>
  </si>
  <si>
    <t>920033:1</t>
  </si>
  <si>
    <t>雷暴云</t>
  </si>
  <si>
    <t>召唤持续3秒的雷暴云，每秒随机劈下闪电对敌人造成伤害</t>
  </si>
  <si>
    <t>7920032:20000_9920032:20000_13920032:1</t>
  </si>
  <si>
    <t>过载</t>
  </si>
  <si>
    <t>电环伤害+80%</t>
  </si>
  <si>
    <t>4920032:6000</t>
  </si>
  <si>
    <t>静电力场</t>
  </si>
  <si>
    <t>电环范围+100%</t>
  </si>
  <si>
    <t>1920033:-4500</t>
  </si>
  <si>
    <t>麻痹时间</t>
  </si>
  <si>
    <t>雷暴云冷却-45%</t>
  </si>
  <si>
    <t>7920031:16000_9920031:16000_13920031:1</t>
  </si>
  <si>
    <t>高能力场</t>
  </si>
  <si>
    <t>闪电链伤害+80%</t>
  </si>
  <si>
    <t>12920031:1500_920034:1</t>
  </si>
  <si>
    <t>连环闪电</t>
  </si>
  <si>
    <t>闪电链每弹射一次，伤害+15%；击杀敌人时再次释放闪电链</t>
  </si>
  <si>
    <t>7000304:8000_5200711:2000_7000314:1_3041501:2</t>
  </si>
  <si>
    <t>高能电刃</t>
  </si>
  <si>
    <t>普攻附加额外闪电伤害，且有15%概率使目标麻痹</t>
  </si>
  <si>
    <t>3041501:2_7000314:1</t>
  </si>
  <si>
    <t>电弧</t>
  </si>
  <si>
    <t>电刃附加电弧，对附近敌人造成溅射伤害</t>
  </si>
  <si>
    <t>5200711:1500</t>
  </si>
  <si>
    <t>电刃造成麻痹概率+15%</t>
  </si>
  <si>
    <t>7000304:1500_7000314:1</t>
  </si>
  <si>
    <t>电能强化</t>
  </si>
  <si>
    <t>电弧伤害+60%</t>
  </si>
  <si>
    <t>920053:1</t>
  </si>
  <si>
    <t>电刃强化</t>
  </si>
  <si>
    <t>每攻击3次，向前方劈出一道超强电刃</t>
  </si>
  <si>
    <t>14920052:1</t>
  </si>
  <si>
    <t>雷神附体</t>
  </si>
  <si>
    <t>攻击时有几率向周围释放电波</t>
  </si>
  <si>
    <t>14920053:1_7920053:-1500_9920053:-1500</t>
  </si>
  <si>
    <t>超级电刃</t>
  </si>
  <si>
    <t>超强电刃数量+1</t>
  </si>
  <si>
    <t>4920053:5000</t>
  </si>
  <si>
    <t>远程打击</t>
  </si>
  <si>
    <t>超强电刃攻击距离+100%</t>
  </si>
  <si>
    <t>8200556:3000</t>
  </si>
  <si>
    <t>雷神降世</t>
  </si>
  <si>
    <t>雷神附体概率+30%</t>
  </si>
  <si>
    <t>7920053:6000_9920053:6000</t>
  </si>
  <si>
    <t>电刃增伤</t>
  </si>
  <si>
    <t>超强电刃伤害+40%</t>
  </si>
  <si>
    <t>920054:1</t>
  </si>
  <si>
    <t>天罚</t>
  </si>
  <si>
    <t>每击杀一个敌人，会劈出一道超强电刃</t>
  </si>
  <si>
    <t>920061:1</t>
  </si>
  <si>
    <t>暴风雪</t>
  </si>
  <si>
    <t>学习暴风雪技能</t>
  </si>
  <si>
    <t>16920061:1</t>
  </si>
  <si>
    <t>极寒领域</t>
  </si>
  <si>
    <t>暴风雪经过的路径留下极寒领域，持续造成伤害</t>
  </si>
  <si>
    <t>920072:1_5001501:800</t>
  </si>
  <si>
    <t>寒冰冻结</t>
  </si>
  <si>
    <t>暴风雪有X%概率冰冻敌人1秒，冰冻结束后产生冰爆</t>
  </si>
  <si>
    <t>3050000:1_5000100:1_5000101:1_9201:3000</t>
  </si>
  <si>
    <t>寒冰弹</t>
  </si>
  <si>
    <t>学习寒冰弹技能</t>
  </si>
  <si>
    <t>5000300:1_5000301:2_5000500:1_5000501:2000_5000700:1_5000701:90_9201:4000</t>
  </si>
  <si>
    <t>强化寒冰弹</t>
  </si>
  <si>
    <t>寒冰弹伤害+20%，寒冰弹数量+2且释放范围提高至180度</t>
  </si>
  <si>
    <t>5000301:2_5000501:2000_5000701:180_9201:5500</t>
  </si>
  <si>
    <t>寒冰弹伤害+20%，寒冰弹数量+2且改为向四周360度发射</t>
  </si>
  <si>
    <t>5000900:1_5000901:1_5001101:-6000_5000903:500_9201:4000</t>
  </si>
  <si>
    <t>追加寒冰弹</t>
  </si>
  <si>
    <t>追加一波40%伤害的寒冰弹</t>
  </si>
  <si>
    <t>5001101:4000_9201:5500</t>
  </si>
  <si>
    <t>追加寒冰弹伤害+100%</t>
  </si>
  <si>
    <t>5001501:5000_9201:5500</t>
  </si>
  <si>
    <t>寒冰弹造成冰冻概率提升至100%</t>
  </si>
  <si>
    <t>5001300:1_5001301:-7500_9201:4000</t>
  </si>
  <si>
    <t>冰弹击中目标后产生冰爆造成25%的伤害</t>
  </si>
  <si>
    <t>5001301:2500_9201:5500</t>
  </si>
  <si>
    <t>冰爆伤害+100%</t>
  </si>
  <si>
    <t>5000500:1_5000501:4000_9201:4000</t>
  </si>
  <si>
    <t>寒冰弹伤害</t>
  </si>
  <si>
    <t>寒冰弹伤害+40%</t>
  </si>
  <si>
    <t>5000501:5000_9201:5500</t>
  </si>
  <si>
    <t>寒冰弹伤害+50%</t>
  </si>
  <si>
    <t>5020300:1_5020301:-3000_9201:4000</t>
  </si>
  <si>
    <t>寒冰弹冷却</t>
  </si>
  <si>
    <t>寒冰弹冷却-25%</t>
  </si>
  <si>
    <t>5020301:-3000_9201:5500</t>
  </si>
  <si>
    <t>3060000:1_5100100:1_5100101:1_5100300:1_5100302:10000_9201:3000</t>
  </si>
  <si>
    <t>火焰陨石</t>
  </si>
  <si>
    <t>学习火焰陨石技能</t>
  </si>
  <si>
    <t>5100300:1_5100301:300_5100302:5000_5100500:1_5100501:3000_9201:4000</t>
  </si>
  <si>
    <t>强化火焰陨石</t>
  </si>
  <si>
    <t>陨石落地爆炸范围+20%，陨石伤害+30%</t>
  </si>
  <si>
    <t>5100301:300_5100302:5000_5100501:3000_9201:5500</t>
  </si>
  <si>
    <t>5100700:1_5100701:1_5100500:1_5100501:-2000_9201:4000</t>
  </si>
  <si>
    <t>火焰陨石数量</t>
  </si>
  <si>
    <t>陨石数量+1，陨石伤害-20%</t>
  </si>
  <si>
    <t>5100701:1_5100501:-1000_9201:5500</t>
  </si>
  <si>
    <t>陨石数量+1，陨石伤害-10%</t>
  </si>
  <si>
    <t>5101100:1_5101201:3000_5101205:3000_9201:4000</t>
  </si>
  <si>
    <t>5101100:1_5101201:4000_9201:5500</t>
  </si>
  <si>
    <t>燃烧伤害提高至70%/秒</t>
  </si>
  <si>
    <t>5100900:1_5100901:1250_5100902:-4000_9201:4000</t>
  </si>
  <si>
    <t>爆炸冲击波</t>
  </si>
  <si>
    <t>陨石落地后产生冲击波造成60%伤害</t>
  </si>
  <si>
    <t>5100902:6000_9201:5500</t>
  </si>
  <si>
    <t>冲击波伤害+100%</t>
  </si>
  <si>
    <t>5100500:1_5100501:4000_9201:4000</t>
  </si>
  <si>
    <t>火焰陨石伤害</t>
  </si>
  <si>
    <t>火焰陨石伤害+40%</t>
  </si>
  <si>
    <t>5100501:5000_9201:5500</t>
  </si>
  <si>
    <t>火焰陨石伤害+50%</t>
  </si>
  <si>
    <t>5120300:1_5120301:-3000_9201:4000</t>
  </si>
  <si>
    <t>火焰陨石冷却</t>
  </si>
  <si>
    <t>火焰陨石冷却-25%</t>
  </si>
  <si>
    <t>5120301:-3000_9201:5500</t>
  </si>
  <si>
    <t>3070000:1_5200100:1_5200101:1_9201:3000</t>
  </si>
  <si>
    <t>落雷</t>
  </si>
  <si>
    <t>学习落雷技能</t>
  </si>
  <si>
    <t>5200300:1_5200301:2_5200500:1_5200501:-1000_9201:4000</t>
  </si>
  <si>
    <t>落雷数量</t>
  </si>
  <si>
    <t>落雷数量+2，落雷伤害-10%</t>
  </si>
  <si>
    <t>5200301:3_5200501:-2000_9201:5500</t>
  </si>
  <si>
    <t>落雷数量+3，落雷伤害-20%</t>
  </si>
  <si>
    <t>5200300:1_5200301:1_5200500:1_5200501:2000_9201:4000</t>
  </si>
  <si>
    <t>落雷威力</t>
  </si>
  <si>
    <t>落雷数量+1，落雷伤害+20%</t>
  </si>
  <si>
    <t>5200301:1_5200501:2000_9201:5500</t>
  </si>
  <si>
    <t>5200701:5000_9201:5500</t>
  </si>
  <si>
    <t>落雷造成麻痹概率提升至100%</t>
  </si>
  <si>
    <t>5200500:1_5200501:4000_9201:4000</t>
  </si>
  <si>
    <t>落雷伤害</t>
  </si>
  <si>
    <t>落雷伤害+40%</t>
  </si>
  <si>
    <t>5200501:5000_9201:5500</t>
  </si>
  <si>
    <t>落雷伤害+50%</t>
  </si>
  <si>
    <t>5220300:1_5220301:-3000_9201:4000</t>
  </si>
  <si>
    <t>落雷冷却</t>
  </si>
  <si>
    <t>落雷冷却-25%</t>
  </si>
  <si>
    <t>5220301:-3000_9201:5500</t>
  </si>
  <si>
    <t>7000100:1_7000101:5000_9201:3000</t>
  </si>
  <si>
    <t>攻击伤害+50%</t>
  </si>
  <si>
    <t>3041501:1_7000100:1_7000101:-500_9201:3000</t>
  </si>
  <si>
    <t>攻击目标数量</t>
  </si>
  <si>
    <t>攻击目标+1，攻击伤害-5%</t>
  </si>
  <si>
    <t>3041501:1_7000101:-500_9201:3000</t>
  </si>
  <si>
    <t>3041501:2_7000101:-1000_9201:5000</t>
  </si>
  <si>
    <t>攻击目标+2，攻击伤害-10%</t>
  </si>
  <si>
    <t>7000101:6000_9201:4000</t>
  </si>
  <si>
    <t>进阶精致之刃</t>
  </si>
  <si>
    <t>攻击伤害+60%</t>
  </si>
  <si>
    <t>7000101:7000_9201:4500</t>
  </si>
  <si>
    <t>攻击伤害+70%</t>
  </si>
  <si>
    <t>7000101:8000_9201:5000</t>
  </si>
  <si>
    <t>攻击伤害+80%</t>
  </si>
  <si>
    <t>3040901:2500_9201:4000</t>
  </si>
  <si>
    <t>强化攻速</t>
  </si>
  <si>
    <t>攻击速度+25%</t>
  </si>
  <si>
    <t>3040901:2500_9201:4500</t>
  </si>
  <si>
    <t>3040901:3000_9201:5000</t>
  </si>
  <si>
    <t>攻击速度+30%</t>
  </si>
  <si>
    <t>强化攻击</t>
  </si>
  <si>
    <t>攻击+30%</t>
  </si>
  <si>
    <t>3040102:4000_9201:4000</t>
  </si>
  <si>
    <t>进阶强化攻击</t>
  </si>
  <si>
    <t>攻击+40%</t>
  </si>
  <si>
    <t>3040102:4000_9201:4500</t>
  </si>
  <si>
    <t>3040102:5000_9201:5500</t>
  </si>
  <si>
    <t>攻击+50%</t>
  </si>
  <si>
    <t>3040102:1000_3041201:800_9201:4000</t>
  </si>
  <si>
    <t>强化暴击</t>
  </si>
  <si>
    <t>攻击+10%，暴击率+8%</t>
  </si>
  <si>
    <t>3040102:1000_3041201:800_9201:4500</t>
  </si>
  <si>
    <t>3041201:1200_3041301:3000_9201:4500</t>
  </si>
  <si>
    <t>暴击率+12%，暴击伤害+30%</t>
  </si>
  <si>
    <t>3050000:1_7000301:1500</t>
  </si>
  <si>
    <t>冰刃</t>
  </si>
  <si>
    <t>攻击附带15%冰属性伤害</t>
  </si>
  <si>
    <t>3050001:4000</t>
  </si>
  <si>
    <t>冰元素强化</t>
  </si>
  <si>
    <t>冰属性伤害+40%</t>
  </si>
  <si>
    <t>3050001:5000</t>
  </si>
  <si>
    <t>冰元素强化+</t>
  </si>
  <si>
    <t>冰属性伤害+50%</t>
  </si>
  <si>
    <t>3050001:6000</t>
  </si>
  <si>
    <t>冰元素强化++</t>
  </si>
  <si>
    <t>冰属性伤害+60%</t>
  </si>
  <si>
    <t>3050001:7500</t>
  </si>
  <si>
    <t>冰元素强化+++</t>
  </si>
  <si>
    <t>冰属性伤害+75%</t>
  </si>
  <si>
    <t>3050001:10000</t>
  </si>
  <si>
    <t>终极冰元素强化</t>
  </si>
  <si>
    <t>冰属性伤害+100%</t>
  </si>
  <si>
    <t>7000501:1_5001501:3000_5001502:1500_9201:3000_3041501:1</t>
  </si>
  <si>
    <t>攻击有30%概率造成1.5秒冰冻</t>
  </si>
  <si>
    <t>5000100:1_5000101:1_5000500:1_9201:3000_3041501:1</t>
  </si>
  <si>
    <t>5000501:5000_9201:3000_3041501:1</t>
  </si>
  <si>
    <t>5020300:1_5020301:-3000_9201:3000_3041501:1</t>
  </si>
  <si>
    <t>寒冰弹冷却-30%</t>
  </si>
  <si>
    <t>5000900:1_5000901:1_5001101:-6500_5000903:500_9201:3000_3041501:1</t>
  </si>
  <si>
    <t>追加一波35%伤害的寒冰弹</t>
  </si>
  <si>
    <t>5000501:10000_5000300:1_5000301:6_5000700:1_5000701:270_9201:3000_3041501:1</t>
  </si>
  <si>
    <t>终极寒冰弹</t>
  </si>
  <si>
    <t>寒冰弹伤害+100%，寒冰弹数量+6且改为向四周360度发射</t>
  </si>
  <si>
    <t>3060000:1_7000302:1500</t>
  </si>
  <si>
    <t>火刃</t>
  </si>
  <si>
    <t>攻击附带15%火属性伤害</t>
  </si>
  <si>
    <t>3060001:4000</t>
  </si>
  <si>
    <t>火元素强化</t>
  </si>
  <si>
    <t>火属性伤害+40%</t>
  </si>
  <si>
    <t>3060001:5000</t>
  </si>
  <si>
    <t>火元素强化+</t>
  </si>
  <si>
    <t>火属性伤害+50%</t>
  </si>
  <si>
    <t>3060001:6000</t>
  </si>
  <si>
    <t>火元素强化++</t>
  </si>
  <si>
    <t>火属性伤害+60%</t>
  </si>
  <si>
    <t>3060001:7500</t>
  </si>
  <si>
    <t>火元素强化+++</t>
  </si>
  <si>
    <t>火属性伤害+75%</t>
  </si>
  <si>
    <t>3060001:10000</t>
  </si>
  <si>
    <t>终极火元素强化</t>
  </si>
  <si>
    <t>火属性伤害+100%</t>
  </si>
  <si>
    <t>7000502:1_5101205:3000_5101201:3000_9201:3000_3041501:1</t>
  </si>
  <si>
    <t>燃烧</t>
  </si>
  <si>
    <t>攻击附加燃烧，每秒造成30%的伤害，持续3秒</t>
  </si>
  <si>
    <t>5100100:1_5100101:1_5100300:1_5100302:12000_9201:3000_3041501:1</t>
  </si>
  <si>
    <t>5100501:5000_9201:3000_3041501:1</t>
  </si>
  <si>
    <t>5120300:1_5120301:-3000_9201:3000_3041501:1</t>
  </si>
  <si>
    <t>火焰陨石冷却-30%</t>
  </si>
  <si>
    <t>5100301:1000_5100302:8000_9201:3000_3041501:1</t>
  </si>
  <si>
    <t>火焰陨石范围</t>
  </si>
  <si>
    <t>陨石落地爆炸范围+40%</t>
  </si>
  <si>
    <t>5100700:1_5100701:2_5100501:5000_9201:3000_3041501:1</t>
  </si>
  <si>
    <t>终极火焰陨石</t>
  </si>
  <si>
    <t>火焰陨石伤害+50%，陨石数量+2</t>
  </si>
  <si>
    <t>3070000:1_7000304:4000_9201:3000</t>
  </si>
  <si>
    <t>电刃</t>
  </si>
  <si>
    <t>攻击附带40%电属性伤害</t>
  </si>
  <si>
    <t>3070001:8000_9201:3000</t>
  </si>
  <si>
    <t>电元素强化</t>
  </si>
  <si>
    <t>电属性伤害+80%</t>
  </si>
  <si>
    <t>3070001:9000_9201:3000</t>
  </si>
  <si>
    <t>电元素强化+</t>
  </si>
  <si>
    <t>电属性伤害+90%</t>
  </si>
  <si>
    <t>3070001:10000_9201:3000</t>
  </si>
  <si>
    <t>电元素强化++</t>
  </si>
  <si>
    <t>电属性伤害+100%</t>
  </si>
  <si>
    <t>3070001:12000_9201:3000</t>
  </si>
  <si>
    <t>电元素强化+++</t>
  </si>
  <si>
    <t>电属性伤害+120%</t>
  </si>
  <si>
    <t>3070001:30000_9201:3000</t>
  </si>
  <si>
    <t>终极电元素强化</t>
  </si>
  <si>
    <t>电属性伤害+300%</t>
  </si>
  <si>
    <t>7000504:1_5200701:4500_5200702:1000_9201:3000_3041501:1</t>
  </si>
  <si>
    <t>麻痹</t>
  </si>
  <si>
    <t>攻击有45%概率造成1秒麻痹</t>
  </si>
  <si>
    <t>5200100:1_5200101:1_5200500:1_9201:3000_3041501:1</t>
  </si>
  <si>
    <t>5200501:5000_9201:3000_3041501:1</t>
  </si>
  <si>
    <t>5220300:1_5220301:-3000_9201:3000_3041501:1</t>
  </si>
  <si>
    <t>落雷冷却-30%</t>
  </si>
  <si>
    <t>5200300:1_5200301:2_9201:3000_3041501:1</t>
  </si>
  <si>
    <t>落雷数量+2</t>
  </si>
  <si>
    <t>5200501:10000_5200301:6_9201:3000_3041501:1</t>
  </si>
  <si>
    <t>终极落雷</t>
  </si>
  <si>
    <t>落雷伤害+100%，落雷数量+6</t>
  </si>
  <si>
    <t>7000305:5000_9201:3000</t>
  </si>
  <si>
    <t>SkillBuffIcon_atlas1</t>
  </si>
  <si>
    <t>强化精致之刃</t>
  </si>
  <si>
    <t>SkillBuffIcon_atlas2</t>
  </si>
  <si>
    <t>7000305:6000_9201:3000</t>
  </si>
  <si>
    <t>强化精致之刃+</t>
  </si>
  <si>
    <t>SkillBuffIcon_atlas3</t>
  </si>
  <si>
    <t>7000305:7500_9201:3000</t>
  </si>
  <si>
    <t>强化精致之刃++</t>
  </si>
  <si>
    <t>攻击伤害+75%</t>
  </si>
  <si>
    <t>SkillBuffIcon_atlas4</t>
  </si>
  <si>
    <t>3041501:1_7000100:1_7000101:-1000_9201:3000</t>
  </si>
  <si>
    <t>分裂攻击</t>
  </si>
  <si>
    <t>攻击目标+1，攻击伤害-10%</t>
  </si>
  <si>
    <t>SkillBuffIcon_atlas5</t>
  </si>
  <si>
    <t>3041501:1_7000101:-1000_9201:3000</t>
  </si>
  <si>
    <t>强化分裂攻击</t>
  </si>
  <si>
    <t>SkillBuffIcon_atlas6</t>
  </si>
  <si>
    <t>3041501:2_7000101:-1500_9201:3000</t>
  </si>
  <si>
    <t>强化分裂攻击+</t>
  </si>
  <si>
    <t>攻击目标+2，攻击伤害-15%</t>
  </si>
  <si>
    <t>SkillBuffIcon_atlas7</t>
  </si>
  <si>
    <t>3041501:3_7000101:-2000_9201:3000</t>
  </si>
  <si>
    <t>强化分裂攻击++</t>
  </si>
  <si>
    <t>攻击目标+3，攻击伤害-20%</t>
  </si>
  <si>
    <t>SkillBuffIcon_atlas8</t>
  </si>
  <si>
    <t>释放闪电链，弹射多次并有20%的概率使敌人进入"麻痹"状态</t>
  </si>
  <si>
    <t>shandianlian</t>
  </si>
  <si>
    <t>3070301:6000_3070701:6000</t>
  </si>
  <si>
    <t>shandianzengshang</t>
  </si>
  <si>
    <t>1920031:-1000</t>
  </si>
  <si>
    <t>闪电链冷却-25%</t>
  </si>
  <si>
    <t>闪电链造成"麻痹"概率+20%</t>
  </si>
  <si>
    <t>mabi</t>
  </si>
  <si>
    <t>5920031:4</t>
  </si>
  <si>
    <t>闪电链弹射次数+4</t>
  </si>
  <si>
    <t>释放一圈电环，对范围内敌人造成电属性伤害</t>
  </si>
  <si>
    <t>dianhuan</t>
  </si>
  <si>
    <t>召唤持续6秒的雷暴云，每秒随机劈下闪电对敌人造成伤害</t>
  </si>
  <si>
    <t>leibaoyun</t>
  </si>
  <si>
    <t>7920032:26400_9920032:26400_13920032:1</t>
  </si>
  <si>
    <t>电环伤害+120%</t>
  </si>
  <si>
    <t>4920032:2000</t>
  </si>
  <si>
    <t>1920033:-2500_11920033:-30</t>
  </si>
  <si>
    <t>雷暴云冷却-25%</t>
  </si>
  <si>
    <t>7920031:14000_9920031:14000_13920031:1</t>
  </si>
  <si>
    <t>闪电链伤害+100%</t>
  </si>
  <si>
    <t>12920031:500_920034:1</t>
  </si>
  <si>
    <t>闪电链每弹射一次，伤害+5%；击杀敌人时再次释放闪电链</t>
  </si>
  <si>
    <t>3070000:1_7000304:8000_5200711:1000</t>
  </si>
  <si>
    <t>普攻附加额外闪电伤害，且有10%概率使目标"麻痹"</t>
  </si>
  <si>
    <t>gaonengdianren</t>
  </si>
  <si>
    <t>920051:1_7000314:1_7920051:5000_9920051:5000</t>
  </si>
  <si>
    <t>dianhu</t>
  </si>
  <si>
    <t>7000314:1_4920051:800</t>
  </si>
  <si>
    <t>电弧+</t>
  </si>
  <si>
    <t>电弧作用范围加强</t>
  </si>
  <si>
    <t>5200711:2000</t>
  </si>
  <si>
    <t>电刃造成"麻痹"概率+20%</t>
  </si>
  <si>
    <t>7920051:4000_9920051:4000_7000314:1</t>
  </si>
  <si>
    <t>电弧伤害+80%</t>
  </si>
  <si>
    <t>每攻击4次，向前方劈出一道超强电刃</t>
  </si>
  <si>
    <t>920052:1_72005201:2000</t>
  </si>
  <si>
    <t>leishenfuti</t>
  </si>
  <si>
    <t>14920053:1</t>
  </si>
  <si>
    <t>4920053:6000</t>
  </si>
  <si>
    <t>72005201:2500</t>
  </si>
  <si>
    <t>电波触发概率+25%</t>
  </si>
  <si>
    <t>7920053:14400_9920053:14400</t>
  </si>
  <si>
    <t>超强电刃伤害+80%</t>
  </si>
  <si>
    <t>召唤持续一段时间的暴风雪，对沿途敌人造成冰霜伤害并有20%的概率造成"减速"效果</t>
  </si>
  <si>
    <t>baofengxue</t>
  </si>
  <si>
    <t>3050301:6000_3050701:6000</t>
  </si>
  <si>
    <t>寒冰增伤</t>
  </si>
  <si>
    <t>冰系技能的伤害+60%</t>
  </si>
  <si>
    <t>bingxizengshang</t>
  </si>
  <si>
    <t>1920061:-2000</t>
  </si>
  <si>
    <t>寒冰冷却</t>
  </si>
  <si>
    <t>暴风雪冷却时间减少25%</t>
  </si>
  <si>
    <t>5001706:2000</t>
  </si>
  <si>
    <t>寒冰减速</t>
  </si>
  <si>
    <t>暴风雪造成"减速"的概率提高20%</t>
  </si>
  <si>
    <t>chihuan</t>
  </si>
  <si>
    <t>10920061:3000</t>
  </si>
  <si>
    <t>无尽暴雪</t>
  </si>
  <si>
    <t>暴风雪持续时间增加3s</t>
  </si>
  <si>
    <t>16920061:1_20920061:1</t>
  </si>
  <si>
    <t>暴风雪途径地区留下一片持续一段时间的极寒领域对敌人造成伤害</t>
  </si>
  <si>
    <t>5001501:2500_920072:1_920071:1</t>
  </si>
  <si>
    <t>暴风雪有25%概率"冰冻"敌人3s，然后产生一次冰爆</t>
  </si>
  <si>
    <t>14920061:1</t>
  </si>
  <si>
    <t>多重风暴</t>
  </si>
  <si>
    <t>暴风雪数量+1</t>
  </si>
  <si>
    <t>4920061:700_20920061:1</t>
  </si>
  <si>
    <t>暴雪范围</t>
  </si>
  <si>
    <t>暴风雪的范围增加100%</t>
  </si>
  <si>
    <t>7920071:18000_9920071:18000</t>
  </si>
  <si>
    <t>冰爆的伤害提高100%</t>
  </si>
  <si>
    <t>19920061:14400_20920061:1</t>
  </si>
  <si>
    <t>严寒</t>
  </si>
  <si>
    <t>极寒领域的伤害增加120%</t>
  </si>
  <si>
    <t>920073:1_920074:1</t>
  </si>
  <si>
    <t>冰风暴</t>
  </si>
  <si>
    <t>击杀敌人会产生一个超级风暴，对周围敌人造成巨量伤害</t>
  </si>
  <si>
    <t>3050000:1_7000301:8000_5001716:1000</t>
  </si>
  <si>
    <t>普攻附加额外的冰霜伤害，并有10%的概率"减速"敌人</t>
  </si>
  <si>
    <t>bingren</t>
  </si>
  <si>
    <t>920084:1_7000311:1_7920084:5000_9920084:5000</t>
  </si>
  <si>
    <t>冰刃强化</t>
  </si>
  <si>
    <t>冰刃附加碎冰效果，对附近敌人造成伤害</t>
  </si>
  <si>
    <t>jianshe</t>
  </si>
  <si>
    <t>4920084:800_13920084:1</t>
  </si>
  <si>
    <t>冰刃强化+</t>
  </si>
  <si>
    <t>碎冰效果距离加强</t>
  </si>
  <si>
    <t>5001716:2000</t>
  </si>
  <si>
    <t>迟缓</t>
  </si>
  <si>
    <t>冰刃造成"减速"的概率提高20%</t>
  </si>
  <si>
    <t>7920084:4000_9920084:4000_13920084:1</t>
  </si>
  <si>
    <t>溅射</t>
  </si>
  <si>
    <t>碎冰的伤害增加80%</t>
  </si>
  <si>
    <t>920081:1</t>
  </si>
  <si>
    <t>冰球</t>
  </si>
  <si>
    <t>召唤一个冰球围绕自己，对接触的敌人产生伤害</t>
  </si>
  <si>
    <t>bingqiu</t>
  </si>
  <si>
    <t>920085:1_920086:1</t>
  </si>
  <si>
    <t>冰雪领域</t>
  </si>
  <si>
    <t>"减速"敌人后产生一冰雪领域，冻敌3s并造成巨量单体伤害</t>
  </si>
  <si>
    <t>bingxuelingyu</t>
  </si>
  <si>
    <t>14920081:1</t>
  </si>
  <si>
    <t>冰球数量</t>
  </si>
  <si>
    <t>召唤冰球的数量+1</t>
  </si>
  <si>
    <t>5001511:2000_13920081:1</t>
  </si>
  <si>
    <t>冰球爆炸</t>
  </si>
  <si>
    <t>冰球有几率冰冻敌人</t>
  </si>
  <si>
    <t>hanbingdongjie</t>
  </si>
  <si>
    <t>7920085:18000_9920085:18000</t>
  </si>
  <si>
    <t>极寒</t>
  </si>
  <si>
    <t>冻结伤害增加100%</t>
  </si>
  <si>
    <t>爆炸增伤</t>
  </si>
  <si>
    <t>冰球令敌人"冰冻"的概率增加20%</t>
  </si>
  <si>
    <t>920082:1</t>
  </si>
  <si>
    <t>被"冻结"的敌人会立即死亡，同时召唤一个冰球</t>
  </si>
  <si>
    <t>3060000:1_7000302:4500</t>
  </si>
  <si>
    <t>召唤火焰陨石攻击敌人，有20%的概率使目标进入"灼烧"状态（临时测试）</t>
  </si>
  <si>
    <t>yunshi</t>
  </si>
  <si>
    <t>火系增伤</t>
  </si>
  <si>
    <t>火系伤害增加60%（临时测试）</t>
  </si>
  <si>
    <t>huoxizengshang</t>
  </si>
  <si>
    <t>陨石冷却</t>
  </si>
  <si>
    <t>陨石的冷却时间减少25%（临时测试）</t>
  </si>
  <si>
    <t>强化灼烧</t>
  </si>
  <si>
    <t>使目标进入"灼烧"状态的概率增加20%（临时测试）</t>
  </si>
  <si>
    <t>qianghuazhuoshao</t>
  </si>
  <si>
    <t>多重陨石</t>
  </si>
  <si>
    <t>召唤的陨石数量+1（临时测试）</t>
  </si>
  <si>
    <t>天火</t>
  </si>
  <si>
    <t>"陨石"击中地面后持续燃烧，并有概率是目标进入灼烧状态（临时测试）</t>
  </si>
  <si>
    <t>陨石散射</t>
  </si>
  <si>
    <t>陨石砸中地面后会散射出2个小火球（临时测试）</t>
  </si>
  <si>
    <t>3060001:7000</t>
  </si>
  <si>
    <t>燃烧伤害增加80%（临时测试）</t>
  </si>
  <si>
    <t>召唤火龙</t>
  </si>
  <si>
    <t>召唤一条三头火龙，向敌人吐息并造成范围伤害（临时测试）</t>
  </si>
  <si>
    <t>zhaohuanhuolong</t>
  </si>
  <si>
    <t>多重散射</t>
  </si>
  <si>
    <t>散射的火球+2（临时测试）</t>
  </si>
  <si>
    <t>3060001:8000</t>
  </si>
  <si>
    <t>双生火龙</t>
  </si>
  <si>
    <t>召唤的火龙数量+1（临时测试）</t>
  </si>
  <si>
    <t>3060001:40000</t>
  </si>
  <si>
    <t>毁天灭地</t>
  </si>
  <si>
    <t>每击杀一个敌人，释放一次爆炸火球（临时测试）</t>
  </si>
  <si>
    <t>huitianmiedi</t>
  </si>
  <si>
    <t>火焰刀</t>
  </si>
  <si>
    <t>普攻附加额外的火焰伤害，并有10%的概率使目标进入"灼烧"状态（临时测试）</t>
  </si>
  <si>
    <t>huoyandao</t>
  </si>
  <si>
    <t>火球增伤</t>
  </si>
  <si>
    <t>火焰溅射</t>
  </si>
  <si>
    <t>火焰刀附加溅射效果，对附近敌人产生溅射伤害（临时测试）</t>
  </si>
  <si>
    <t>huoyanjianshe</t>
  </si>
  <si>
    <t>火焰溅射+</t>
  </si>
  <si>
    <t>溅射效果距离加强（临时测试）</t>
  </si>
  <si>
    <t>强化溅射</t>
  </si>
  <si>
    <t>火焰刀的溅射伤害增加80%（临时测试）</t>
  </si>
  <si>
    <t>火焰冲击</t>
  </si>
  <si>
    <t>向前方斩出一道火焰冲击波（临时测试）</t>
  </si>
  <si>
    <t>huoyanchongji</t>
  </si>
  <si>
    <t>引燃</t>
  </si>
  <si>
    <t>攻击会引燃地面并对敌人产生持续火焰伤害（临时测试）</t>
  </si>
  <si>
    <t>yinran</t>
  </si>
  <si>
    <t>强化冲击</t>
  </si>
  <si>
    <t>冲击波的伤害增加80%（临时测试）</t>
  </si>
  <si>
    <t>冲击范围</t>
  </si>
  <si>
    <t>冲击波的攻击范围增加100%（临时测试）</t>
  </si>
  <si>
    <t>强化引燃</t>
  </si>
  <si>
    <t>引燃的火焰伤害提升80%（临时测试）</t>
  </si>
  <si>
    <t>极速冲击</t>
  </si>
  <si>
    <t>火焰冲击波的冷却时间减少25%（临时测试）</t>
  </si>
  <si>
    <t>毁灭风暴</t>
  </si>
  <si>
    <t>每攻击10次，化身火焰大风车，施展旋风斩攻击敌人，持续10s（临时测试）</t>
  </si>
  <si>
    <t>huimiefengbao</t>
  </si>
  <si>
    <t>3080001:1_7000303:4500</t>
  </si>
  <si>
    <t>毒雾</t>
  </si>
  <si>
    <t>释放一片持续5s的毒雾并造成持续伤害，有20%的概率使目标进入"中毒"状态（临时测试）</t>
  </si>
  <si>
    <t>duwu</t>
  </si>
  <si>
    <t>3080001:4000</t>
  </si>
  <si>
    <t>毒系增伤</t>
  </si>
  <si>
    <t>毒系效果伤害提高60%（临时测试）</t>
  </si>
  <si>
    <t>duxizengshang</t>
  </si>
  <si>
    <t>毒雾冷却</t>
  </si>
  <si>
    <t>毒雾的冷却减少25%（临时测试）</t>
  </si>
  <si>
    <t>5200701:4000</t>
  </si>
  <si>
    <t>强化感染</t>
  </si>
  <si>
    <t>毒雾使目标进入"中毒"状态的概率增加20%（临时测试）</t>
  </si>
  <si>
    <t>qianghuaganran</t>
  </si>
  <si>
    <t>3080001:6000</t>
  </si>
  <si>
    <t>无尽毒雾</t>
  </si>
  <si>
    <t>毒雾的持续时间增加3s（临时测试）</t>
  </si>
  <si>
    <t>毒沼</t>
  </si>
  <si>
    <t>毒雾经过的区域形成毒沼，持续对敌人造成伤害（临时测试）</t>
  </si>
  <si>
    <t>"中毒"的敌人有几率把毒性传染给周围的敌人（临时测试）</t>
  </si>
  <si>
    <t>3080001:7000</t>
  </si>
  <si>
    <t>多重毒雾</t>
  </si>
  <si>
    <t>召唤的毒雾+1（临时测试）</t>
  </si>
  <si>
    <t>毒雾弥漫</t>
  </si>
  <si>
    <t>毒雾的范围增加100%（临时测试）</t>
  </si>
  <si>
    <t>超强感染</t>
  </si>
  <si>
    <t>传染的概率增加20%（临时测试）</t>
  </si>
  <si>
    <t>3080001:8000</t>
  </si>
  <si>
    <t>剧毒领域</t>
  </si>
  <si>
    <t>毒沼的伤害增加80%（临时测试）</t>
  </si>
  <si>
    <t>3080001:40000</t>
  </si>
  <si>
    <t>毒雨</t>
  </si>
  <si>
    <t>每击杀一个敌人会降下一片毒雨对范围内的敌人造成毒性伤害（临时测试）</t>
  </si>
  <si>
    <t>duyu</t>
  </si>
  <si>
    <t>蚀骨毒刃</t>
  </si>
  <si>
    <t>普通附加额外的毒性伤害，并有20%的概率使目标进入"中毒"状态（临时测试）</t>
  </si>
  <si>
    <t>shiguduren</t>
  </si>
  <si>
    <t>毒系效果伤害提升60%（临时测试）</t>
  </si>
  <si>
    <t>淬毒</t>
  </si>
  <si>
    <t>毒刃附加溅射效果，对附近敌人产生溅射伤害（临时测试）</t>
  </si>
  <si>
    <t>cuidu</t>
  </si>
  <si>
    <t>淬毒+</t>
  </si>
  <si>
    <t>多重感染</t>
  </si>
  <si>
    <t>使目标进入"中毒"状态的概率增加20%（临时测试）</t>
  </si>
  <si>
    <t>剧毒迸发</t>
  </si>
  <si>
    <t>蚀骨毒刃的溅射伤害增加80%（临时测试）</t>
  </si>
  <si>
    <t>毒性爆发</t>
  </si>
  <si>
    <t>攻击中毒的敌人有40%的概率使其引爆体内毒药，造成范围伤害（临时测试）</t>
  </si>
  <si>
    <t>duxingbaofa</t>
  </si>
  <si>
    <t>精神错乱</t>
  </si>
  <si>
    <t>中毒的敌人会有几率自相残杀（临时测试）</t>
  </si>
  <si>
    <t>jingshencuoluan</t>
  </si>
  <si>
    <t>剧毒爆发</t>
  </si>
  <si>
    <t>毒性爆发引爆的伤害增加80%（临时测试）</t>
  </si>
  <si>
    <t>流毒</t>
  </si>
  <si>
    <t>中毒的敌人死亡时会留下一滩毒液区域，造成持续伤害（临时测试）</t>
  </si>
  <si>
    <t>liudu</t>
  </si>
  <si>
    <t>癫狂</t>
  </si>
  <si>
    <t>敌人自相残杀的概率增加20%（临时测试）</t>
  </si>
  <si>
    <t>毒液增伤</t>
  </si>
  <si>
    <t>毒液区域的伤害增加80%（临时测试）</t>
  </si>
  <si>
    <t>尸爆</t>
  </si>
  <si>
    <t>中毒的敌人死亡时，会产生一次攻击力200%的范围伤害，并对范围内敌人造成中毒效果（临时测试）</t>
  </si>
  <si>
    <t>shibao</t>
  </si>
  <si>
    <t>890021:80000_890022:3000</t>
  </si>
  <si>
    <t>血瓶掉率</t>
  </si>
  <si>
    <t>血瓶掉落概率提高30%</t>
  </si>
  <si>
    <t>xuepingdiaolvtigao</t>
  </si>
  <si>
    <t>890011:90000</t>
  </si>
  <si>
    <t>血瓶效果</t>
  </si>
  <si>
    <t>血瓶回复效果提高30%</t>
  </si>
  <si>
    <t>huifutigao</t>
  </si>
  <si>
    <t>冰系</t>
  </si>
  <si>
    <r>
      <rPr>
        <sz val="9"/>
        <color theme="1"/>
        <rFont val="宋体"/>
        <charset val="134"/>
      </rPr>
      <t>①</t>
    </r>
    <r>
      <rPr>
        <sz val="9"/>
        <color rgb="FF7030A0"/>
        <rFont val="宋体"/>
        <charset val="134"/>
      </rPr>
      <t>（零档）</t>
    </r>
    <r>
      <rPr>
        <sz val="9"/>
        <color theme="1"/>
        <rFont val="宋体"/>
        <charset val="134"/>
      </rPr>
      <t>普攻附带X%的寒冰伤害，并有X%概率会冰冻目标1秒</t>
    </r>
  </si>
  <si>
    <t>3040101:100</t>
  </si>
  <si>
    <r>
      <rPr>
        <sz val="9"/>
        <color theme="1"/>
        <rFont val="宋体"/>
        <charset val="134"/>
      </rPr>
      <t>②</t>
    </r>
    <r>
      <rPr>
        <sz val="9"/>
        <color rgb="FF7030A0"/>
        <rFont val="宋体"/>
        <charset val="134"/>
      </rPr>
      <t>（零档）</t>
    </r>
    <r>
      <rPr>
        <sz val="9"/>
        <color theme="1"/>
        <rFont val="宋体"/>
        <charset val="134"/>
      </rPr>
      <t>每间隔N秒，释放一次霜冻新星：以周围随机单个敌人为目标释放霜冻新星，造成单次冰系伤害，同时对周围敌人造成小幅溅射伤害，并有X%概率会冰冻目标1秒</t>
    </r>
  </si>
  <si>
    <t>3040101:200</t>
  </si>
  <si>
    <t>受到伤害</t>
  </si>
  <si>
    <r>
      <rPr>
        <sz val="9"/>
        <color theme="1"/>
        <rFont val="宋体"/>
        <charset val="134"/>
      </rPr>
      <t>③</t>
    </r>
    <r>
      <rPr>
        <sz val="9"/>
        <color rgb="FF7030A0"/>
        <rFont val="宋体"/>
        <charset val="134"/>
      </rPr>
      <t>（一档）</t>
    </r>
    <r>
      <rPr>
        <sz val="9"/>
        <color theme="1"/>
        <rFont val="宋体"/>
        <charset val="134"/>
      </rPr>
      <t>普攻附带的寒冰伤害和霜冻新星伤害提高X%</t>
    </r>
  </si>
  <si>
    <t>3040101:800</t>
  </si>
  <si>
    <t>额外伤害</t>
  </si>
  <si>
    <r>
      <rPr>
        <sz val="9"/>
        <color theme="1"/>
        <rFont val="宋体"/>
        <charset val="134"/>
      </rPr>
      <t>④</t>
    </r>
    <r>
      <rPr>
        <sz val="9"/>
        <color rgb="FF7030A0"/>
        <rFont val="宋体"/>
        <charset val="134"/>
      </rPr>
      <t>（一档）</t>
    </r>
    <r>
      <rPr>
        <sz val="9"/>
        <color theme="1"/>
        <rFont val="宋体"/>
        <charset val="134"/>
      </rPr>
      <t>冰冻概率提高X%</t>
    </r>
  </si>
  <si>
    <t>3040101:1600</t>
  </si>
  <si>
    <t>受到额外伤害</t>
  </si>
  <si>
    <r>
      <rPr>
        <sz val="9"/>
        <color theme="1"/>
        <rFont val="宋体"/>
        <charset val="134"/>
      </rPr>
      <t>⑤</t>
    </r>
    <r>
      <rPr>
        <sz val="9"/>
        <color rgb="FF7030A0"/>
        <rFont val="宋体"/>
        <charset val="134"/>
      </rPr>
      <t>（一档）</t>
    </r>
    <r>
      <rPr>
        <sz val="9"/>
        <color theme="1"/>
        <rFont val="宋体"/>
        <charset val="134"/>
      </rPr>
      <t>冰冻持续时长+1秒</t>
    </r>
  </si>
  <si>
    <t>3040101:3200</t>
  </si>
  <si>
    <t>受到冰元素伤害</t>
  </si>
  <si>
    <t>受到火元素伤害</t>
  </si>
  <si>
    <t>受到电元素伤害</t>
  </si>
  <si>
    <t>受到毒元素伤害</t>
  </si>
  <si>
    <r>
      <rPr>
        <sz val="9"/>
        <color theme="1"/>
        <rFont val="宋体"/>
        <charset val="134"/>
      </rPr>
      <t>⑥</t>
    </r>
    <r>
      <rPr>
        <sz val="9"/>
        <color rgb="FF7030A0"/>
        <rFont val="宋体"/>
        <charset val="134"/>
      </rPr>
      <t>（二档）</t>
    </r>
    <r>
      <rPr>
        <sz val="9"/>
        <color theme="1"/>
        <rFont val="宋体"/>
        <charset val="134"/>
      </rPr>
      <t>释放霜冻新星时将会额外释放1次霜冻新星</t>
    </r>
  </si>
  <si>
    <t>3040102:100</t>
  </si>
  <si>
    <t>受到伤害总加成</t>
  </si>
  <si>
    <t>额外冰伤害</t>
  </si>
  <si>
    <t>额外火伤害</t>
  </si>
  <si>
    <t>额外电伤害</t>
  </si>
  <si>
    <t>额外毒伤害</t>
  </si>
  <si>
    <r>
      <rPr>
        <sz val="9"/>
        <color theme="1"/>
        <rFont val="宋体"/>
        <charset val="134"/>
      </rPr>
      <t>⑦</t>
    </r>
    <r>
      <rPr>
        <sz val="9"/>
        <color rgb="FF7030A0"/>
        <rFont val="宋体"/>
        <charset val="134"/>
      </rPr>
      <t>（二档）</t>
    </r>
    <r>
      <rPr>
        <sz val="9"/>
        <color theme="1"/>
        <rFont val="宋体"/>
        <charset val="134"/>
      </rPr>
      <t>冰冻状态下的敌人，若再次受到冰冻，则立即受到X%的冰系伤害</t>
    </r>
  </si>
  <si>
    <t>3040102:200</t>
  </si>
  <si>
    <t>受到额外冰伤害</t>
  </si>
  <si>
    <t>受到额外火伤害</t>
  </si>
  <si>
    <t>受到额外电伤害</t>
  </si>
  <si>
    <t>受到额外毒伤害</t>
  </si>
  <si>
    <r>
      <rPr>
        <sz val="9"/>
        <color theme="1"/>
        <rFont val="宋体"/>
        <charset val="134"/>
      </rPr>
      <t>⑧</t>
    </r>
    <r>
      <rPr>
        <sz val="9"/>
        <color rgb="FF7030A0"/>
        <rFont val="宋体"/>
        <charset val="134"/>
      </rPr>
      <t>（三档）</t>
    </r>
    <r>
      <rPr>
        <sz val="9"/>
        <color theme="1"/>
        <rFont val="宋体"/>
        <charset val="134"/>
      </rPr>
      <t>冰冻概率提高X%，敌人被冰冻时每秒受到其最大生命值X%的冰系伤害</t>
    </r>
  </si>
  <si>
    <t>3040102:800</t>
  </si>
  <si>
    <t>冰元素攻击附加冰冻状态</t>
  </si>
  <si>
    <t>被动技能</t>
  </si>
  <si>
    <r>
      <rPr>
        <sz val="9"/>
        <color theme="1"/>
        <rFont val="宋体"/>
        <charset val="134"/>
      </rPr>
      <t>⑨</t>
    </r>
    <r>
      <rPr>
        <sz val="9"/>
        <color rgb="FF7030A0"/>
        <rFont val="宋体"/>
        <charset val="134"/>
      </rPr>
      <t>（三档）</t>
    </r>
    <r>
      <rPr>
        <sz val="9"/>
        <color theme="1"/>
        <rFont val="宋体"/>
        <charset val="134"/>
      </rPr>
      <t>冻结状态下的敌人受到伤害时有X%概率被秒杀</t>
    </r>
  </si>
  <si>
    <t>3040102:1600</t>
  </si>
  <si>
    <t>击中怪物回血</t>
  </si>
  <si>
    <t>冰冻状态</t>
  </si>
  <si>
    <t>逻辑id</t>
  </si>
  <si>
    <t>3040102:3200</t>
  </si>
  <si>
    <t>冰冻状态的命中几率</t>
  </si>
  <si>
    <t>参数-命中率</t>
  </si>
  <si>
    <t>3040201:100</t>
  </si>
  <si>
    <t>冰冻持续时间</t>
  </si>
  <si>
    <t>参数-持续时间</t>
  </si>
  <si>
    <t>3040201:200</t>
  </si>
  <si>
    <t>移动速度</t>
  </si>
  <si>
    <t>霜冻新星额外释放霜冻新星</t>
  </si>
  <si>
    <t>3040201:800</t>
  </si>
  <si>
    <t>攻击数量</t>
  </si>
  <si>
    <t>释放霜冻新星时额外触发霜冻新星</t>
  </si>
  <si>
    <t>3040201:1600</t>
  </si>
  <si>
    <t>额外触发霜冻新星几率</t>
  </si>
  <si>
    <t>参数-参数1</t>
  </si>
  <si>
    <t>3040201:3200</t>
  </si>
  <si>
    <t>额外触发霜冻新星次数</t>
  </si>
  <si>
    <t>参数-参数2</t>
  </si>
  <si>
    <t>3040202:100</t>
  </si>
  <si>
    <t>双重冰冻额外伤害</t>
  </si>
  <si>
    <t>3040202:200</t>
  </si>
  <si>
    <t>双重冰冻额外伤害系数</t>
  </si>
  <si>
    <t>效果-伤害系数参数1</t>
  </si>
  <si>
    <t>3040202:800</t>
  </si>
  <si>
    <t>双重冰冻额外伤害固定值</t>
  </si>
  <si>
    <t>效果-伤害系数参数2</t>
  </si>
  <si>
    <t>3040202:1600</t>
  </si>
  <si>
    <t>3040202:3200</t>
  </si>
  <si>
    <t>冰冻时额外持续伤害</t>
  </si>
  <si>
    <t>3040301:100</t>
  </si>
  <si>
    <t>冰冻持续伤害系数</t>
  </si>
  <si>
    <t>3040301:200</t>
  </si>
  <si>
    <t>冰冻持续伤害固定值</t>
  </si>
  <si>
    <t>3040301:800</t>
  </si>
  <si>
    <t>3040301:1600</t>
  </si>
  <si>
    <t>3040301:3200</t>
  </si>
  <si>
    <t>3040501:100</t>
  </si>
  <si>
    <t>3040501:200</t>
  </si>
  <si>
    <t>3040501:800</t>
  </si>
  <si>
    <t>3040501:1600</t>
  </si>
  <si>
    <t>3040501:3200</t>
  </si>
  <si>
    <t>3040701:100</t>
  </si>
  <si>
    <t>强化狂暴</t>
  </si>
  <si>
    <t>3040701:200</t>
  </si>
  <si>
    <t>3040701:800</t>
  </si>
  <si>
    <t>3040701:1600</t>
  </si>
  <si>
    <t>3040701:3200</t>
  </si>
  <si>
    <t>3040901:100</t>
  </si>
  <si>
    <t>3040901:200</t>
  </si>
  <si>
    <t>3040901:800</t>
  </si>
  <si>
    <t>3040901:1600</t>
  </si>
  <si>
    <t>3040901:3200</t>
  </si>
  <si>
    <t>3041001:100</t>
  </si>
  <si>
    <t>3041001:200</t>
  </si>
  <si>
    <t>3041001:800</t>
  </si>
  <si>
    <t>3041001:1600</t>
  </si>
  <si>
    <t>3041001:3200</t>
  </si>
  <si>
    <t>3041101:10</t>
  </si>
  <si>
    <t>3041101:20</t>
  </si>
  <si>
    <t>3041101:80</t>
  </si>
  <si>
    <t>3041101:160</t>
  </si>
  <si>
    <t>3041101:320</t>
  </si>
  <si>
    <t>3041201:100</t>
  </si>
  <si>
    <t>3041201:200</t>
  </si>
  <si>
    <t>3041201:800</t>
  </si>
  <si>
    <t>3041201:1600</t>
  </si>
  <si>
    <t>3041201:3200</t>
  </si>
  <si>
    <t>3041301:100</t>
  </si>
  <si>
    <t>3041301:200</t>
  </si>
  <si>
    <t>3041301:800</t>
  </si>
  <si>
    <t>3041301:1600</t>
  </si>
  <si>
    <t>3041301:3200</t>
  </si>
  <si>
    <t>3041401:100</t>
  </si>
  <si>
    <t>3041401:200</t>
  </si>
  <si>
    <t>3041401:800</t>
  </si>
  <si>
    <t>3041401:1600</t>
  </si>
  <si>
    <t>3041401:3200</t>
  </si>
  <si>
    <t>3050000:1</t>
  </si>
  <si>
    <t>3050001:100</t>
  </si>
  <si>
    <t>3050001:200</t>
  </si>
  <si>
    <t>3050001:800</t>
  </si>
  <si>
    <t>3050001:1600</t>
  </si>
  <si>
    <t>3050001:3200</t>
  </si>
  <si>
    <t>3050101:100</t>
  </si>
  <si>
    <t>3050101:200</t>
  </si>
  <si>
    <t>3050101:800</t>
  </si>
  <si>
    <t>3050101:1600</t>
  </si>
  <si>
    <t>3050101:3200</t>
  </si>
  <si>
    <t>3050102:100</t>
  </si>
  <si>
    <t>3050102:200</t>
  </si>
  <si>
    <t>3050102:800</t>
  </si>
  <si>
    <t>3050102:1600</t>
  </si>
  <si>
    <t>3050102:3200</t>
  </si>
  <si>
    <t>3050301:100</t>
  </si>
  <si>
    <t>3050301:200</t>
  </si>
  <si>
    <t>3050301:800</t>
  </si>
  <si>
    <t>3050301:1600</t>
  </si>
  <si>
    <t>3050301:3200</t>
  </si>
  <si>
    <t>3050501:100</t>
  </si>
  <si>
    <t>3050501:200</t>
  </si>
  <si>
    <t>3050501:800</t>
  </si>
  <si>
    <t>3050501:1600</t>
  </si>
  <si>
    <t>3050501:3200</t>
  </si>
  <si>
    <t>3060000:1</t>
  </si>
  <si>
    <t>3060001:100</t>
  </si>
  <si>
    <t>3060001:200</t>
  </si>
  <si>
    <t>3060001:800</t>
  </si>
  <si>
    <t>3060001:1600</t>
  </si>
  <si>
    <t>3060001:3200</t>
  </si>
  <si>
    <t>3060101:100</t>
  </si>
  <si>
    <t>3060101:200</t>
  </si>
  <si>
    <t>3060101:800</t>
  </si>
  <si>
    <t>3060101:1600</t>
  </si>
  <si>
    <t>3060101:3200</t>
  </si>
  <si>
    <t>3060102:100</t>
  </si>
  <si>
    <t>3060102:200</t>
  </si>
  <si>
    <t>3060102:800</t>
  </si>
  <si>
    <t>3060102:1600</t>
  </si>
  <si>
    <t>3060102:3200</t>
  </si>
  <si>
    <t>3060301:100</t>
  </si>
  <si>
    <t>3060301:200</t>
  </si>
  <si>
    <t>3060301:800</t>
  </si>
  <si>
    <t>3060301:1600</t>
  </si>
  <si>
    <t>3060301:3200</t>
  </si>
  <si>
    <t>3060501:100</t>
  </si>
  <si>
    <t>3060501:200</t>
  </si>
  <si>
    <t>3060501:800</t>
  </si>
  <si>
    <t>3060501:1600</t>
  </si>
  <si>
    <t>3060501:3200</t>
  </si>
  <si>
    <t>3070000:1</t>
  </si>
  <si>
    <t>3070001:100</t>
  </si>
  <si>
    <t>3070001:200</t>
  </si>
  <si>
    <t>3070001:800</t>
  </si>
  <si>
    <t>3070001:1600</t>
  </si>
  <si>
    <t>3070001:3200</t>
  </si>
  <si>
    <t>3070101:100</t>
  </si>
  <si>
    <t>3070101:200</t>
  </si>
  <si>
    <t>3070101:800</t>
  </si>
  <si>
    <t>3070101:1600</t>
  </si>
  <si>
    <t>3070101:3200</t>
  </si>
  <si>
    <t>3070102:100</t>
  </si>
  <si>
    <t>3070102:200</t>
  </si>
  <si>
    <t>3070102:800</t>
  </si>
  <si>
    <t>3070102:1600</t>
  </si>
  <si>
    <t>3070102:3200</t>
  </si>
  <si>
    <t>3070301:100</t>
  </si>
  <si>
    <t>3070301:200</t>
  </si>
  <si>
    <t>3070301:800</t>
  </si>
  <si>
    <t>3070301:1600</t>
  </si>
  <si>
    <t>3070301:3200</t>
  </si>
  <si>
    <t>3070501:100</t>
  </si>
  <si>
    <t>3070501:200</t>
  </si>
  <si>
    <t>3070501:800</t>
  </si>
  <si>
    <t>3070501:1600</t>
  </si>
  <si>
    <t>3070501:3200</t>
  </si>
  <si>
    <t>3080000:1</t>
  </si>
  <si>
    <t>3080001:100</t>
  </si>
  <si>
    <t>3080001:200</t>
  </si>
  <si>
    <t>3080001:800</t>
  </si>
  <si>
    <t>3080001:1600</t>
  </si>
  <si>
    <t>3080001:3200</t>
  </si>
  <si>
    <t>3080101:100</t>
  </si>
  <si>
    <t>3080101:200</t>
  </si>
  <si>
    <t>3080101:800</t>
  </si>
  <si>
    <t>3080101:1600</t>
  </si>
  <si>
    <t>3080101:3200</t>
  </si>
  <si>
    <t>3080102:100</t>
  </si>
  <si>
    <t>3080102:200</t>
  </si>
  <si>
    <t>3080102:800</t>
  </si>
  <si>
    <t>3080102:1600</t>
  </si>
  <si>
    <t>3080102:3200</t>
  </si>
  <si>
    <t>3080301:100</t>
  </si>
  <si>
    <t>3080301:200</t>
  </si>
  <si>
    <t>3080301:800</t>
  </si>
  <si>
    <t>3080301:1600</t>
  </si>
  <si>
    <t>3080301:3200</t>
  </si>
  <si>
    <t>3080501:100</t>
  </si>
  <si>
    <t>3080501:200</t>
  </si>
  <si>
    <t>3080501:800</t>
  </si>
  <si>
    <t>3080501:1600</t>
  </si>
  <si>
    <t>3080501:3200</t>
  </si>
  <si>
    <t>自动·冰霜新星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</si>
</sst>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9"/>
      <color theme="1"/>
      <name val="宋体"/>
      <charset val="134"/>
    </font>
    <font>
      <b/>
      <sz val="9"/>
      <color rgb="FF3F3F76"/>
      <name val="宋体"/>
      <charset val="134"/>
    </font>
    <font>
      <sz val="9"/>
      <color rgb="FF3F3F76"/>
      <name val="宋体"/>
      <charset val="134"/>
    </font>
    <font>
      <sz val="9"/>
      <color theme="1"/>
      <name val="微软雅黑"/>
      <charset val="134"/>
    </font>
    <font>
      <b/>
      <sz val="11"/>
      <color rgb="FF3F3F76"/>
      <name val="微软雅黑"/>
      <charset val="134"/>
    </font>
    <font>
      <sz val="9"/>
      <color theme="0" tint="-0.14990691854609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宋体"/>
      <charset val="134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7030A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7" tint="0.79989013336588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6" fillId="15" borderId="8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1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/>
    <xf numFmtId="0" fontId="1" fillId="4" borderId="0" xfId="0" applyFont="1" applyFill="1"/>
    <xf numFmtId="0" fontId="2" fillId="5" borderId="1" xfId="16" applyFont="1" applyFill="1" applyBorder="1">
      <alignment vertical="center"/>
    </xf>
    <xf numFmtId="0" fontId="3" fillId="5" borderId="1" xfId="16" applyFont="1" applyFill="1" applyBorder="1">
      <alignment vertical="center"/>
    </xf>
    <xf numFmtId="0" fontId="1" fillId="0" borderId="0" xfId="0" applyFont="1" applyAlignment="1">
      <alignment vertical="center"/>
    </xf>
    <xf numFmtId="0" fontId="1" fillId="6" borderId="0" xfId="0" applyFont="1" applyFill="1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5" borderId="1" xfId="16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/>
    </xf>
    <xf numFmtId="49" fontId="4" fillId="6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center"/>
    </xf>
    <xf numFmtId="49" fontId="4" fillId="7" borderId="0" xfId="0" applyNumberFormat="1" applyFont="1" applyFill="1" applyAlignment="1">
      <alignment horizontal="center"/>
    </xf>
    <xf numFmtId="3" fontId="4" fillId="7" borderId="0" xfId="0" applyNumberFormat="1" applyFont="1" applyFill="1" applyAlignment="1">
      <alignment horizontal="center"/>
    </xf>
    <xf numFmtId="0" fontId="6" fillId="8" borderId="0" xfId="0" applyFont="1" applyFill="1" applyAlignment="1">
      <alignment horizontal="center"/>
    </xf>
    <xf numFmtId="49" fontId="6" fillId="8" borderId="0" xfId="0" applyNumberFormat="1" applyFont="1" applyFill="1" applyAlignment="1">
      <alignment horizontal="center"/>
    </xf>
    <xf numFmtId="0" fontId="4" fillId="9" borderId="0" xfId="0" applyFont="1" applyFill="1" applyAlignment="1">
      <alignment horizontal="center"/>
    </xf>
    <xf numFmtId="49" fontId="4" fillId="9" borderId="0" xfId="0" applyNumberFormat="1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49" fontId="4" fillId="10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49" fontId="4" fillId="11" borderId="0" xfId="0" applyNumberFormat="1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49" fontId="4" fillId="12" borderId="0" xfId="0" applyNumberFormat="1" applyFont="1" applyFill="1" applyAlignment="1">
      <alignment horizontal="center"/>
    </xf>
    <xf numFmtId="3" fontId="6" fillId="8" borderId="0" xfId="0" applyNumberFormat="1" applyFont="1" applyFill="1" applyAlignment="1">
      <alignment horizontal="center"/>
    </xf>
    <xf numFmtId="3" fontId="4" fillId="9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left"/>
    </xf>
    <xf numFmtId="20" fontId="4" fillId="0" borderId="0" xfId="0" applyNumberFormat="1" applyFont="1" applyAlignment="1">
      <alignment horizontal="center"/>
    </xf>
    <xf numFmtId="0" fontId="4" fillId="0" borderId="0" xfId="0" applyFont="1" applyAlignment="1" quotePrefix="1">
      <alignment horizontal="center" vertical="center"/>
    </xf>
    <xf numFmtId="0" fontId="4" fillId="7" borderId="0" xfId="0" applyFont="1" applyFill="1" applyAlignment="1" quotePrefix="1">
      <alignment horizontal="center"/>
    </xf>
    <xf numFmtId="0" fontId="6" fillId="8" borderId="0" xfId="0" applyFont="1" applyFill="1" applyAlignment="1" quotePrefix="1">
      <alignment horizontal="center"/>
    </xf>
    <xf numFmtId="0" fontId="4" fillId="9" borderId="0" xfId="0" applyFont="1" applyFill="1" applyAlignment="1" quotePrefix="1">
      <alignment horizontal="center"/>
    </xf>
    <xf numFmtId="3" fontId="4" fillId="9" borderId="0" xfId="0" applyNumberFormat="1" applyFont="1" applyFill="1" applyAlignment="1" quotePrefix="1">
      <alignment horizontal="center"/>
    </xf>
    <xf numFmtId="0" fontId="4" fillId="10" borderId="0" xfId="0" applyFont="1" applyFill="1" applyAlignment="1" quotePrefix="1">
      <alignment horizontal="center"/>
    </xf>
    <xf numFmtId="0" fontId="4" fillId="2" borderId="0" xfId="0" applyFont="1" applyFill="1" applyAlignment="1" quotePrefix="1">
      <alignment horizontal="center"/>
    </xf>
    <xf numFmtId="0" fontId="4" fillId="11" borderId="0" xfId="0" applyFont="1" applyFill="1" applyAlignment="1" quotePrefix="1">
      <alignment horizontal="center"/>
    </xf>
    <xf numFmtId="49" fontId="4" fillId="11" borderId="0" xfId="0" applyNumberFormat="1" applyFont="1" applyFill="1" applyAlignment="1" quotePrefix="1">
      <alignment horizontal="center"/>
    </xf>
    <xf numFmtId="0" fontId="4" fillId="6" borderId="0" xfId="0" applyFont="1" applyFill="1" applyAlignment="1" quotePrefix="1">
      <alignment horizontal="center"/>
    </xf>
    <xf numFmtId="20" fontId="4" fillId="0" borderId="0" xfId="0" applyNumberFormat="1" applyFont="1" applyAlignment="1" quotePrefix="1">
      <alignment horizontal="center"/>
    </xf>
    <xf numFmtId="0" fontId="4" fillId="0" borderId="0" xfId="0" applyFont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472"/>
  <sheetViews>
    <sheetView tabSelected="1" topLeftCell="E1" workbookViewId="0">
      <pane ySplit="4" topLeftCell="A449" activePane="bottomLeft" state="frozen"/>
      <selection/>
      <selection pane="bottomLeft" activeCell="J479" sqref="J479"/>
    </sheetView>
  </sheetViews>
  <sheetFormatPr defaultColWidth="9" defaultRowHeight="14.25"/>
  <cols>
    <col min="1" max="1" width="15.5" style="13" customWidth="1"/>
    <col min="2" max="2" width="12.375" style="13" customWidth="1"/>
    <col min="3" max="3" width="14.875" style="13" customWidth="1"/>
    <col min="4" max="4" width="9.5" style="13" customWidth="1"/>
    <col min="5" max="5" width="17.25" style="14" customWidth="1"/>
    <col min="6" max="6" width="13.875" style="13" customWidth="1"/>
    <col min="7" max="7" width="9.5" style="13" customWidth="1"/>
    <col min="8" max="8" width="65.875" style="13" customWidth="1"/>
    <col min="9" max="9" width="18" style="13" customWidth="1"/>
    <col min="10" max="10" width="37.875" style="13" customWidth="1"/>
    <col min="11" max="13" width="18.875" style="13" customWidth="1"/>
    <col min="14" max="16384" width="9" style="13"/>
  </cols>
  <sheetData>
    <row r="1" spans="1:13">
      <c r="A1" s="15" t="s">
        <v>0</v>
      </c>
      <c r="B1" s="15"/>
      <c r="C1" s="15"/>
      <c r="D1" s="15"/>
      <c r="E1" s="16"/>
      <c r="F1" s="17"/>
      <c r="G1" s="17"/>
      <c r="H1" s="17"/>
      <c r="I1" s="17"/>
      <c r="J1" s="17"/>
      <c r="K1" s="17"/>
      <c r="L1" s="17"/>
      <c r="M1" s="17"/>
    </row>
    <row r="2" spans="1:13">
      <c r="A2" s="15" t="s">
        <v>1</v>
      </c>
      <c r="B2" s="17" t="s">
        <v>2</v>
      </c>
      <c r="C2" s="17" t="s">
        <v>2</v>
      </c>
      <c r="D2" s="17" t="s">
        <v>2</v>
      </c>
      <c r="E2" s="16" t="s">
        <v>3</v>
      </c>
      <c r="F2" s="17" t="s">
        <v>2</v>
      </c>
      <c r="G2" s="17" t="s">
        <v>2</v>
      </c>
      <c r="H2" s="17" t="s">
        <v>4</v>
      </c>
      <c r="I2" s="17" t="s">
        <v>5</v>
      </c>
      <c r="J2" s="17" t="s">
        <v>5</v>
      </c>
      <c r="K2" s="17" t="s">
        <v>3</v>
      </c>
      <c r="L2" s="17" t="s">
        <v>6</v>
      </c>
      <c r="M2" s="17" t="s">
        <v>6</v>
      </c>
    </row>
    <row r="3" spans="1:13">
      <c r="A3" s="15" t="s">
        <v>7</v>
      </c>
      <c r="B3" s="17" t="s">
        <v>8</v>
      </c>
      <c r="C3" s="17" t="s">
        <v>9</v>
      </c>
      <c r="D3" s="17" t="s">
        <v>10</v>
      </c>
      <c r="E3" s="16" t="s">
        <v>11</v>
      </c>
      <c r="F3" s="17" t="s">
        <v>12</v>
      </c>
      <c r="G3" s="17" t="s">
        <v>13</v>
      </c>
      <c r="H3" s="17" t="s">
        <v>14</v>
      </c>
      <c r="I3" s="17" t="s">
        <v>15</v>
      </c>
      <c r="J3" s="17" t="s">
        <v>16</v>
      </c>
      <c r="K3" s="17" t="s">
        <v>17</v>
      </c>
      <c r="L3" s="17" t="s">
        <v>18</v>
      </c>
      <c r="M3" s="17" t="s">
        <v>19</v>
      </c>
    </row>
    <row r="4" spans="1:13">
      <c r="A4" s="15" t="s">
        <v>20</v>
      </c>
      <c r="B4" s="18" t="s">
        <v>21</v>
      </c>
      <c r="C4" s="18" t="s">
        <v>22</v>
      </c>
      <c r="D4" s="18" t="s">
        <v>23</v>
      </c>
      <c r="E4" s="16" t="s">
        <v>24</v>
      </c>
      <c r="F4" s="18" t="s">
        <v>25</v>
      </c>
      <c r="G4" s="18" t="s">
        <v>26</v>
      </c>
      <c r="H4" s="18" t="s">
        <v>27</v>
      </c>
      <c r="I4" s="18" t="s">
        <v>28</v>
      </c>
      <c r="J4" s="18" t="s">
        <v>29</v>
      </c>
      <c r="K4" s="18" t="s">
        <v>30</v>
      </c>
      <c r="L4" s="18" t="s">
        <v>31</v>
      </c>
      <c r="M4" s="18" t="s">
        <v>32</v>
      </c>
    </row>
    <row r="5" ht="15" spans="1:13">
      <c r="A5" s="17">
        <v>1010201</v>
      </c>
      <c r="B5" s="17">
        <v>101</v>
      </c>
      <c r="C5" s="17">
        <v>2</v>
      </c>
      <c r="D5" s="17">
        <v>1</v>
      </c>
      <c r="E5" s="16" t="s">
        <v>33</v>
      </c>
      <c r="F5" s="17">
        <v>1</v>
      </c>
      <c r="G5" s="17">
        <v>100</v>
      </c>
      <c r="H5" s="19" t="s">
        <v>34</v>
      </c>
      <c r="I5" s="17" t="s">
        <v>35</v>
      </c>
      <c r="J5" s="17" t="s">
        <v>36</v>
      </c>
      <c r="K5" s="17">
        <v>3040102</v>
      </c>
      <c r="L5" s="17" t="s">
        <v>37</v>
      </c>
      <c r="M5" s="17">
        <v>3600002</v>
      </c>
    </row>
    <row r="6" ht="15" spans="1:13">
      <c r="A6" s="17">
        <v>1010202</v>
      </c>
      <c r="B6" s="17">
        <v>101</v>
      </c>
      <c r="C6" s="17">
        <v>2</v>
      </c>
      <c r="D6" s="17">
        <v>2</v>
      </c>
      <c r="E6" s="16" t="s">
        <v>38</v>
      </c>
      <c r="F6" s="17">
        <v>1</v>
      </c>
      <c r="G6" s="17">
        <v>100</v>
      </c>
      <c r="H6" s="19" t="s">
        <v>39</v>
      </c>
      <c r="I6" s="17" t="s">
        <v>35</v>
      </c>
      <c r="J6" s="17" t="s">
        <v>36</v>
      </c>
      <c r="K6" s="17">
        <v>3040102</v>
      </c>
      <c r="L6" s="17" t="s">
        <v>37</v>
      </c>
      <c r="M6" s="17">
        <v>3600002</v>
      </c>
    </row>
    <row r="7" ht="15" spans="1:13">
      <c r="A7" s="17">
        <v>1010203</v>
      </c>
      <c r="B7" s="17">
        <v>101</v>
      </c>
      <c r="C7" s="17">
        <v>2</v>
      </c>
      <c r="D7" s="17">
        <v>3</v>
      </c>
      <c r="E7" s="16" t="s">
        <v>40</v>
      </c>
      <c r="F7" s="17">
        <v>1</v>
      </c>
      <c r="G7" s="17">
        <v>100</v>
      </c>
      <c r="H7" s="19" t="s">
        <v>41</v>
      </c>
      <c r="I7" s="17" t="s">
        <v>35</v>
      </c>
      <c r="J7" s="17" t="s">
        <v>36</v>
      </c>
      <c r="K7" s="17">
        <v>3040102</v>
      </c>
      <c r="L7" s="17" t="s">
        <v>37</v>
      </c>
      <c r="M7" s="17">
        <v>3600002</v>
      </c>
    </row>
    <row r="8" ht="15" spans="1:13">
      <c r="A8" s="17">
        <v>1010204</v>
      </c>
      <c r="B8" s="17">
        <v>101</v>
      </c>
      <c r="C8" s="17">
        <v>2</v>
      </c>
      <c r="D8" s="17">
        <v>4</v>
      </c>
      <c r="E8" s="16" t="s">
        <v>42</v>
      </c>
      <c r="F8" s="17">
        <v>1</v>
      </c>
      <c r="G8" s="17">
        <v>100</v>
      </c>
      <c r="H8" s="19" t="s">
        <v>43</v>
      </c>
      <c r="I8" s="17" t="s">
        <v>35</v>
      </c>
      <c r="J8" s="17" t="s">
        <v>36</v>
      </c>
      <c r="K8" s="17">
        <v>3040102</v>
      </c>
      <c r="L8" s="17" t="s">
        <v>37</v>
      </c>
      <c r="M8" s="17">
        <v>3600002</v>
      </c>
    </row>
    <row r="9" ht="15" spans="1:13">
      <c r="A9" s="17">
        <v>1010205</v>
      </c>
      <c r="B9" s="17">
        <v>101</v>
      </c>
      <c r="C9" s="17">
        <v>2</v>
      </c>
      <c r="D9" s="17">
        <v>5</v>
      </c>
      <c r="E9" s="16" t="s">
        <v>44</v>
      </c>
      <c r="F9" s="17">
        <v>1</v>
      </c>
      <c r="G9" s="17">
        <v>100</v>
      </c>
      <c r="H9" s="19" t="s">
        <v>45</v>
      </c>
      <c r="I9" s="17" t="s">
        <v>35</v>
      </c>
      <c r="J9" s="17" t="s">
        <v>36</v>
      </c>
      <c r="K9" s="17">
        <v>3040102</v>
      </c>
      <c r="L9" s="17" t="s">
        <v>37</v>
      </c>
      <c r="M9" s="17">
        <v>3600002</v>
      </c>
    </row>
    <row r="10" ht="15" spans="1:13">
      <c r="A10" s="17">
        <v>1010401</v>
      </c>
      <c r="B10" s="17">
        <v>101</v>
      </c>
      <c r="C10" s="17">
        <v>4</v>
      </c>
      <c r="D10" s="17">
        <v>1</v>
      </c>
      <c r="E10" s="16" t="s">
        <v>33</v>
      </c>
      <c r="F10" s="17">
        <v>3</v>
      </c>
      <c r="G10" s="17">
        <v>100</v>
      </c>
      <c r="H10" s="19" t="s">
        <v>46</v>
      </c>
      <c r="I10" s="17" t="s">
        <v>47</v>
      </c>
      <c r="J10" s="17" t="s">
        <v>48</v>
      </c>
      <c r="K10" s="17">
        <v>3040202</v>
      </c>
      <c r="L10" s="17" t="s">
        <v>37</v>
      </c>
      <c r="M10" s="17">
        <v>3590003</v>
      </c>
    </row>
    <row r="11" ht="15" spans="1:13">
      <c r="A11" s="17">
        <v>1010501</v>
      </c>
      <c r="B11" s="17">
        <v>101</v>
      </c>
      <c r="C11" s="17">
        <v>5</v>
      </c>
      <c r="D11" s="17">
        <v>1</v>
      </c>
      <c r="E11" s="16" t="s">
        <v>33</v>
      </c>
      <c r="F11" s="17">
        <v>1</v>
      </c>
      <c r="G11" s="17">
        <v>100</v>
      </c>
      <c r="H11" s="19" t="s">
        <v>49</v>
      </c>
      <c r="I11" s="17" t="s">
        <v>50</v>
      </c>
      <c r="J11" s="17" t="s">
        <v>51</v>
      </c>
      <c r="K11" s="17">
        <v>3040301</v>
      </c>
      <c r="L11" s="17" t="s">
        <v>37</v>
      </c>
      <c r="M11" s="17">
        <v>3600002</v>
      </c>
    </row>
    <row r="12" ht="15" spans="1:13">
      <c r="A12" s="17">
        <v>1010502</v>
      </c>
      <c r="B12" s="17">
        <v>101</v>
      </c>
      <c r="C12" s="17">
        <v>5</v>
      </c>
      <c r="D12" s="17">
        <v>2</v>
      </c>
      <c r="E12" s="16" t="s">
        <v>52</v>
      </c>
      <c r="F12" s="17">
        <v>1</v>
      </c>
      <c r="G12" s="17">
        <v>100</v>
      </c>
      <c r="H12" s="19" t="s">
        <v>53</v>
      </c>
      <c r="I12" s="17" t="s">
        <v>50</v>
      </c>
      <c r="J12" s="17" t="s">
        <v>51</v>
      </c>
      <c r="K12" s="17">
        <v>3040301</v>
      </c>
      <c r="L12" s="17" t="s">
        <v>37</v>
      </c>
      <c r="M12" s="17">
        <v>3600002</v>
      </c>
    </row>
    <row r="13" ht="15" spans="1:13">
      <c r="A13" s="17">
        <v>1010503</v>
      </c>
      <c r="B13" s="17">
        <v>101</v>
      </c>
      <c r="C13" s="17">
        <v>5</v>
      </c>
      <c r="D13" s="17">
        <v>3</v>
      </c>
      <c r="E13" s="16" t="s">
        <v>54</v>
      </c>
      <c r="F13" s="17">
        <v>1</v>
      </c>
      <c r="G13" s="17">
        <v>100</v>
      </c>
      <c r="H13" s="19" t="s">
        <v>55</v>
      </c>
      <c r="I13" s="17" t="s">
        <v>50</v>
      </c>
      <c r="J13" s="17" t="s">
        <v>51</v>
      </c>
      <c r="K13" s="17">
        <v>3040301</v>
      </c>
      <c r="L13" s="17" t="s">
        <v>37</v>
      </c>
      <c r="M13" s="17">
        <v>3600002</v>
      </c>
    </row>
    <row r="14" ht="15" spans="1:13">
      <c r="A14" s="17">
        <v>1010504</v>
      </c>
      <c r="B14" s="17">
        <v>101</v>
      </c>
      <c r="C14" s="17">
        <v>5</v>
      </c>
      <c r="D14" s="17">
        <v>4</v>
      </c>
      <c r="E14" s="16" t="s">
        <v>56</v>
      </c>
      <c r="F14" s="17">
        <v>1</v>
      </c>
      <c r="G14" s="17">
        <v>100</v>
      </c>
      <c r="H14" s="19" t="s">
        <v>57</v>
      </c>
      <c r="I14" s="17" t="s">
        <v>50</v>
      </c>
      <c r="J14" s="17" t="s">
        <v>51</v>
      </c>
      <c r="K14" s="17">
        <v>3040301</v>
      </c>
      <c r="L14" s="17" t="s">
        <v>37</v>
      </c>
      <c r="M14" s="17">
        <v>3600002</v>
      </c>
    </row>
    <row r="15" ht="15" spans="1:13">
      <c r="A15" s="17">
        <v>1010505</v>
      </c>
      <c r="B15" s="17">
        <v>101</v>
      </c>
      <c r="C15" s="17">
        <v>5</v>
      </c>
      <c r="D15" s="17">
        <v>5</v>
      </c>
      <c r="E15" s="16" t="s">
        <v>58</v>
      </c>
      <c r="F15" s="17">
        <v>1</v>
      </c>
      <c r="G15" s="17">
        <v>100</v>
      </c>
      <c r="H15" s="19" t="s">
        <v>59</v>
      </c>
      <c r="I15" s="17" t="s">
        <v>50</v>
      </c>
      <c r="J15" s="17" t="s">
        <v>51</v>
      </c>
      <c r="K15" s="17">
        <v>3040301</v>
      </c>
      <c r="L15" s="17" t="s">
        <v>37</v>
      </c>
      <c r="M15" s="17">
        <v>3600002</v>
      </c>
    </row>
    <row r="16" ht="15" spans="1:13">
      <c r="A16" s="17">
        <v>1010701</v>
      </c>
      <c r="B16" s="17">
        <v>101</v>
      </c>
      <c r="C16" s="17">
        <v>7</v>
      </c>
      <c r="D16" s="17">
        <v>1</v>
      </c>
      <c r="E16" s="16" t="s">
        <v>33</v>
      </c>
      <c r="F16" s="17">
        <v>1</v>
      </c>
      <c r="G16" s="17">
        <v>100</v>
      </c>
      <c r="H16" s="19" t="s">
        <v>60</v>
      </c>
      <c r="I16" s="17" t="s">
        <v>61</v>
      </c>
      <c r="J16" s="17" t="s">
        <v>62</v>
      </c>
      <c r="K16" s="17">
        <v>3040701</v>
      </c>
      <c r="L16" s="17" t="s">
        <v>37</v>
      </c>
      <c r="M16" s="17">
        <v>3600002</v>
      </c>
    </row>
    <row r="17" ht="15" spans="1:13">
      <c r="A17" s="17">
        <v>1010702</v>
      </c>
      <c r="B17" s="17">
        <v>101</v>
      </c>
      <c r="C17" s="17">
        <v>7</v>
      </c>
      <c r="D17" s="17">
        <v>2</v>
      </c>
      <c r="E17" s="16" t="s">
        <v>63</v>
      </c>
      <c r="F17" s="17">
        <v>1</v>
      </c>
      <c r="G17" s="17">
        <v>100</v>
      </c>
      <c r="H17" s="19" t="s">
        <v>64</v>
      </c>
      <c r="I17" s="17" t="s">
        <v>61</v>
      </c>
      <c r="J17" s="17" t="s">
        <v>62</v>
      </c>
      <c r="K17" s="17">
        <v>3040701</v>
      </c>
      <c r="L17" s="17" t="s">
        <v>37</v>
      </c>
      <c r="M17" s="17">
        <v>3600002</v>
      </c>
    </row>
    <row r="18" ht="15" spans="1:13">
      <c r="A18" s="17">
        <v>1010703</v>
      </c>
      <c r="B18" s="17">
        <v>101</v>
      </c>
      <c r="C18" s="17">
        <v>7</v>
      </c>
      <c r="D18" s="17">
        <v>3</v>
      </c>
      <c r="E18" s="16" t="s">
        <v>65</v>
      </c>
      <c r="F18" s="17">
        <v>1</v>
      </c>
      <c r="G18" s="17">
        <v>100</v>
      </c>
      <c r="H18" s="19" t="s">
        <v>66</v>
      </c>
      <c r="I18" s="17" t="s">
        <v>61</v>
      </c>
      <c r="J18" s="17" t="s">
        <v>62</v>
      </c>
      <c r="K18" s="17">
        <v>3040701</v>
      </c>
      <c r="L18" s="17" t="s">
        <v>37</v>
      </c>
      <c r="M18" s="17">
        <v>3600002</v>
      </c>
    </row>
    <row r="19" ht="15" spans="1:13">
      <c r="A19" s="17">
        <v>1010704</v>
      </c>
      <c r="B19" s="17">
        <v>101</v>
      </c>
      <c r="C19" s="17">
        <v>7</v>
      </c>
      <c r="D19" s="17">
        <v>4</v>
      </c>
      <c r="E19" s="16" t="s">
        <v>67</v>
      </c>
      <c r="F19" s="17">
        <v>1</v>
      </c>
      <c r="G19" s="17">
        <v>100</v>
      </c>
      <c r="H19" s="19" t="s">
        <v>68</v>
      </c>
      <c r="I19" s="17" t="s">
        <v>61</v>
      </c>
      <c r="J19" s="17" t="s">
        <v>62</v>
      </c>
      <c r="K19" s="17">
        <v>3040701</v>
      </c>
      <c r="L19" s="17" t="s">
        <v>37</v>
      </c>
      <c r="M19" s="17">
        <v>3600002</v>
      </c>
    </row>
    <row r="20" ht="15" spans="1:13">
      <c r="A20" s="17">
        <v>1010705</v>
      </c>
      <c r="B20" s="17">
        <v>101</v>
      </c>
      <c r="C20" s="17">
        <v>7</v>
      </c>
      <c r="D20" s="17">
        <v>5</v>
      </c>
      <c r="E20" s="16" t="s">
        <v>69</v>
      </c>
      <c r="F20" s="17">
        <v>1</v>
      </c>
      <c r="G20" s="17">
        <v>100</v>
      </c>
      <c r="H20" s="19" t="s">
        <v>70</v>
      </c>
      <c r="I20" s="17" t="s">
        <v>61</v>
      </c>
      <c r="J20" s="17" t="s">
        <v>62</v>
      </c>
      <c r="K20" s="17">
        <v>3040701</v>
      </c>
      <c r="L20" s="17" t="s">
        <v>37</v>
      </c>
      <c r="M20" s="17">
        <v>3600002</v>
      </c>
    </row>
    <row r="21" ht="15" spans="1:13">
      <c r="A21" s="17">
        <v>1010801</v>
      </c>
      <c r="B21" s="17">
        <v>101</v>
      </c>
      <c r="C21" s="17">
        <v>8</v>
      </c>
      <c r="D21" s="17">
        <v>1</v>
      </c>
      <c r="E21" s="16" t="s">
        <v>33</v>
      </c>
      <c r="F21" s="17">
        <v>1</v>
      </c>
      <c r="G21" s="17">
        <v>100</v>
      </c>
      <c r="H21" s="19" t="s">
        <v>71</v>
      </c>
      <c r="I21" s="17" t="s">
        <v>72</v>
      </c>
      <c r="J21" s="17" t="s">
        <v>73</v>
      </c>
      <c r="K21" s="17">
        <v>3040901</v>
      </c>
      <c r="L21" s="17" t="s">
        <v>37</v>
      </c>
      <c r="M21" s="17">
        <v>3600004</v>
      </c>
    </row>
    <row r="22" ht="15" spans="1:13">
      <c r="A22" s="17">
        <v>1010802</v>
      </c>
      <c r="B22" s="17">
        <v>101</v>
      </c>
      <c r="C22" s="17">
        <v>8</v>
      </c>
      <c r="D22" s="17">
        <v>2</v>
      </c>
      <c r="E22" s="16" t="s">
        <v>74</v>
      </c>
      <c r="F22" s="17">
        <v>1</v>
      </c>
      <c r="G22" s="17">
        <v>100</v>
      </c>
      <c r="H22" s="19" t="s">
        <v>75</v>
      </c>
      <c r="I22" s="17" t="s">
        <v>72</v>
      </c>
      <c r="J22" s="17" t="s">
        <v>73</v>
      </c>
      <c r="K22" s="17">
        <v>3040901</v>
      </c>
      <c r="L22" s="17" t="s">
        <v>37</v>
      </c>
      <c r="M22" s="17">
        <v>3600004</v>
      </c>
    </row>
    <row r="23" ht="15" spans="1:13">
      <c r="A23" s="17">
        <v>1010803</v>
      </c>
      <c r="B23" s="17">
        <v>101</v>
      </c>
      <c r="C23" s="17">
        <v>8</v>
      </c>
      <c r="D23" s="17">
        <v>3</v>
      </c>
      <c r="E23" s="16" t="s">
        <v>76</v>
      </c>
      <c r="F23" s="17">
        <v>1</v>
      </c>
      <c r="G23" s="17">
        <v>100</v>
      </c>
      <c r="H23" s="19" t="s">
        <v>77</v>
      </c>
      <c r="I23" s="17" t="s">
        <v>72</v>
      </c>
      <c r="J23" s="17" t="s">
        <v>73</v>
      </c>
      <c r="K23" s="17">
        <v>3040901</v>
      </c>
      <c r="L23" s="17" t="s">
        <v>37</v>
      </c>
      <c r="M23" s="17">
        <v>3600004</v>
      </c>
    </row>
    <row r="24" ht="15" spans="1:13">
      <c r="A24" s="17">
        <v>1010804</v>
      </c>
      <c r="B24" s="17">
        <v>101</v>
      </c>
      <c r="C24" s="17">
        <v>8</v>
      </c>
      <c r="D24" s="17">
        <v>4</v>
      </c>
      <c r="E24" s="16" t="s">
        <v>78</v>
      </c>
      <c r="F24" s="17">
        <v>1</v>
      </c>
      <c r="G24" s="17">
        <v>100</v>
      </c>
      <c r="H24" s="19" t="s">
        <v>79</v>
      </c>
      <c r="I24" s="17" t="s">
        <v>72</v>
      </c>
      <c r="J24" s="17" t="s">
        <v>73</v>
      </c>
      <c r="K24" s="17">
        <v>3040901</v>
      </c>
      <c r="L24" s="17" t="s">
        <v>37</v>
      </c>
      <c r="M24" s="17">
        <v>3600004</v>
      </c>
    </row>
    <row r="25" ht="15" spans="1:13">
      <c r="A25" s="17">
        <v>1010805</v>
      </c>
      <c r="B25" s="17">
        <v>101</v>
      </c>
      <c r="C25" s="17">
        <v>8</v>
      </c>
      <c r="D25" s="17">
        <v>5</v>
      </c>
      <c r="E25" s="16" t="s">
        <v>80</v>
      </c>
      <c r="F25" s="17">
        <v>1</v>
      </c>
      <c r="G25" s="17">
        <v>100</v>
      </c>
      <c r="H25" s="19" t="s">
        <v>81</v>
      </c>
      <c r="I25" s="17" t="s">
        <v>72</v>
      </c>
      <c r="J25" s="17" t="s">
        <v>73</v>
      </c>
      <c r="K25" s="17">
        <v>3040901</v>
      </c>
      <c r="L25" s="17" t="s">
        <v>37</v>
      </c>
      <c r="M25" s="17">
        <v>3600004</v>
      </c>
    </row>
    <row r="26" ht="15" spans="1:13">
      <c r="A26" s="17">
        <v>1010901</v>
      </c>
      <c r="B26" s="17">
        <v>101</v>
      </c>
      <c r="C26" s="17">
        <v>9</v>
      </c>
      <c r="D26" s="17">
        <v>1</v>
      </c>
      <c r="E26" s="16" t="s">
        <v>33</v>
      </c>
      <c r="F26" s="17">
        <v>1</v>
      </c>
      <c r="G26" s="17">
        <v>100</v>
      </c>
      <c r="H26" s="19" t="s">
        <v>82</v>
      </c>
      <c r="I26" s="17" t="s">
        <v>83</v>
      </c>
      <c r="J26" s="17" t="s">
        <v>84</v>
      </c>
      <c r="K26" s="17">
        <v>3041501</v>
      </c>
      <c r="L26" s="17" t="s">
        <v>37</v>
      </c>
      <c r="M26" s="17">
        <v>3610003</v>
      </c>
    </row>
    <row r="27" ht="15" spans="1:13">
      <c r="A27" s="17">
        <v>10109011</v>
      </c>
      <c r="B27" s="17">
        <v>101</v>
      </c>
      <c r="C27" s="17">
        <v>9</v>
      </c>
      <c r="D27" s="17">
        <v>1</v>
      </c>
      <c r="E27" s="16">
        <v>10109011</v>
      </c>
      <c r="F27" s="17">
        <v>1</v>
      </c>
      <c r="G27" s="17">
        <v>100</v>
      </c>
      <c r="H27" s="19" t="s">
        <v>85</v>
      </c>
      <c r="I27" s="17" t="s">
        <v>83</v>
      </c>
      <c r="J27" s="17" t="s">
        <v>84</v>
      </c>
      <c r="K27" s="17">
        <v>3041501</v>
      </c>
      <c r="L27" s="17" t="s">
        <v>37</v>
      </c>
      <c r="M27" s="17">
        <v>3610003</v>
      </c>
    </row>
    <row r="28" ht="15" spans="1:13">
      <c r="A28" s="17">
        <v>10109012</v>
      </c>
      <c r="B28" s="17">
        <v>101</v>
      </c>
      <c r="C28" s="17">
        <v>9</v>
      </c>
      <c r="D28" s="17">
        <v>1</v>
      </c>
      <c r="E28" s="16">
        <v>10109012</v>
      </c>
      <c r="F28" s="17">
        <v>1</v>
      </c>
      <c r="G28" s="17">
        <v>100</v>
      </c>
      <c r="H28" s="19" t="s">
        <v>86</v>
      </c>
      <c r="I28" s="17" t="s">
        <v>83</v>
      </c>
      <c r="J28" s="17" t="s">
        <v>84</v>
      </c>
      <c r="K28" s="17">
        <v>3041501</v>
      </c>
      <c r="L28" s="17" t="s">
        <v>37</v>
      </c>
      <c r="M28" s="17">
        <v>3610003</v>
      </c>
    </row>
    <row r="29" ht="15" spans="1:13">
      <c r="A29" s="17">
        <v>1010902</v>
      </c>
      <c r="B29" s="17">
        <v>101</v>
      </c>
      <c r="C29" s="17">
        <v>9</v>
      </c>
      <c r="D29" s="17">
        <v>2</v>
      </c>
      <c r="E29" s="16">
        <v>1010902</v>
      </c>
      <c r="F29" s="17">
        <v>1</v>
      </c>
      <c r="G29" s="17">
        <v>100</v>
      </c>
      <c r="H29" s="19" t="s">
        <v>87</v>
      </c>
      <c r="I29" s="17" t="s">
        <v>35</v>
      </c>
      <c r="J29" s="17" t="s">
        <v>36</v>
      </c>
      <c r="K29" s="17">
        <v>3040102</v>
      </c>
      <c r="L29" s="17" t="s">
        <v>37</v>
      </c>
      <c r="M29" s="17">
        <v>3600002</v>
      </c>
    </row>
    <row r="30" ht="15" spans="1:13">
      <c r="A30" s="17">
        <v>1010903</v>
      </c>
      <c r="B30" s="17">
        <v>101</v>
      </c>
      <c r="C30" s="17">
        <v>9</v>
      </c>
      <c r="D30" s="17">
        <v>3</v>
      </c>
      <c r="E30" s="16">
        <v>1010903</v>
      </c>
      <c r="F30" s="17">
        <v>1</v>
      </c>
      <c r="G30" s="17">
        <v>100</v>
      </c>
      <c r="H30" s="19" t="s">
        <v>88</v>
      </c>
      <c r="I30" s="17" t="s">
        <v>35</v>
      </c>
      <c r="J30" s="17" t="s">
        <v>36</v>
      </c>
      <c r="K30" s="17">
        <v>3040102</v>
      </c>
      <c r="L30" s="17" t="s">
        <v>37</v>
      </c>
      <c r="M30" s="17">
        <v>3600002</v>
      </c>
    </row>
    <row r="31" ht="15" spans="1:13">
      <c r="A31" s="17">
        <v>1010904</v>
      </c>
      <c r="B31" s="17">
        <v>101</v>
      </c>
      <c r="C31" s="17">
        <v>9</v>
      </c>
      <c r="D31" s="17">
        <v>4</v>
      </c>
      <c r="E31" s="16">
        <v>1010904</v>
      </c>
      <c r="F31" s="17">
        <v>1</v>
      </c>
      <c r="G31" s="17">
        <v>100</v>
      </c>
      <c r="H31" s="19" t="s">
        <v>89</v>
      </c>
      <c r="I31" s="17" t="s">
        <v>35</v>
      </c>
      <c r="J31" s="17" t="s">
        <v>36</v>
      </c>
      <c r="K31" s="17">
        <v>3040102</v>
      </c>
      <c r="L31" s="17" t="s">
        <v>37</v>
      </c>
      <c r="M31" s="17">
        <v>3600002</v>
      </c>
    </row>
    <row r="32" ht="15" spans="1:13">
      <c r="A32" s="17">
        <v>1010905</v>
      </c>
      <c r="B32" s="17">
        <v>101</v>
      </c>
      <c r="C32" s="17">
        <v>9</v>
      </c>
      <c r="D32" s="17">
        <v>5</v>
      </c>
      <c r="E32" s="16">
        <v>1010905</v>
      </c>
      <c r="F32" s="17">
        <v>1</v>
      </c>
      <c r="G32" s="17">
        <v>100</v>
      </c>
      <c r="H32" s="19" t="s">
        <v>90</v>
      </c>
      <c r="I32" s="17" t="s">
        <v>35</v>
      </c>
      <c r="J32" s="17" t="s">
        <v>36</v>
      </c>
      <c r="K32" s="17">
        <v>3040102</v>
      </c>
      <c r="L32" s="17" t="s">
        <v>37</v>
      </c>
      <c r="M32" s="17">
        <v>3600002</v>
      </c>
    </row>
    <row r="33" ht="15" spans="1:13">
      <c r="A33" s="17">
        <v>1010906</v>
      </c>
      <c r="B33" s="17">
        <v>101</v>
      </c>
      <c r="C33" s="17">
        <v>9</v>
      </c>
      <c r="D33" s="17">
        <v>6</v>
      </c>
      <c r="E33" s="16">
        <v>1010906</v>
      </c>
      <c r="F33" s="17">
        <v>1</v>
      </c>
      <c r="G33" s="17">
        <v>100</v>
      </c>
      <c r="H33" s="19" t="s">
        <v>91</v>
      </c>
      <c r="I33" s="17" t="s">
        <v>35</v>
      </c>
      <c r="J33" s="17" t="s">
        <v>36</v>
      </c>
      <c r="K33" s="17">
        <v>3040102</v>
      </c>
      <c r="L33" s="17" t="s">
        <v>37</v>
      </c>
      <c r="M33" s="17">
        <v>3600002</v>
      </c>
    </row>
    <row r="34" ht="15" spans="1:13">
      <c r="A34" s="17">
        <v>1010907</v>
      </c>
      <c r="B34" s="17">
        <v>101</v>
      </c>
      <c r="C34" s="17">
        <v>9</v>
      </c>
      <c r="D34" s="17">
        <v>7</v>
      </c>
      <c r="E34" s="16">
        <v>1010907</v>
      </c>
      <c r="F34" s="17">
        <v>1</v>
      </c>
      <c r="G34" s="17">
        <v>100</v>
      </c>
      <c r="H34" s="19" t="s">
        <v>92</v>
      </c>
      <c r="I34" s="17" t="s">
        <v>35</v>
      </c>
      <c r="J34" s="17" t="s">
        <v>36</v>
      </c>
      <c r="K34" s="17">
        <v>3040102</v>
      </c>
      <c r="L34" s="17" t="s">
        <v>37</v>
      </c>
      <c r="M34" s="17">
        <v>3600002</v>
      </c>
    </row>
    <row r="35" ht="15" spans="1:13">
      <c r="A35" s="17">
        <v>1010908</v>
      </c>
      <c r="B35" s="17">
        <v>101</v>
      </c>
      <c r="C35" s="17">
        <v>9</v>
      </c>
      <c r="D35" s="17">
        <v>8</v>
      </c>
      <c r="E35" s="16">
        <v>1010908</v>
      </c>
      <c r="F35" s="17">
        <v>1</v>
      </c>
      <c r="G35" s="17">
        <v>100</v>
      </c>
      <c r="H35" s="19" t="s">
        <v>93</v>
      </c>
      <c r="I35" s="17" t="s">
        <v>35</v>
      </c>
      <c r="J35" s="17" t="s">
        <v>36</v>
      </c>
      <c r="K35" s="17">
        <v>3040102</v>
      </c>
      <c r="L35" s="17" t="s">
        <v>37</v>
      </c>
      <c r="M35" s="17">
        <v>3600002</v>
      </c>
    </row>
    <row r="36" ht="15" spans="1:13">
      <c r="A36" s="17">
        <v>1010909</v>
      </c>
      <c r="B36" s="17">
        <v>101</v>
      </c>
      <c r="C36" s="17">
        <v>9</v>
      </c>
      <c r="D36" s="17">
        <v>9</v>
      </c>
      <c r="E36" s="16">
        <v>1010909</v>
      </c>
      <c r="F36" s="17">
        <v>1</v>
      </c>
      <c r="G36" s="17">
        <v>100</v>
      </c>
      <c r="H36" s="19" t="s">
        <v>94</v>
      </c>
      <c r="I36" s="17" t="s">
        <v>35</v>
      </c>
      <c r="J36" s="17" t="s">
        <v>36</v>
      </c>
      <c r="K36" s="17">
        <v>3040102</v>
      </c>
      <c r="L36" s="17" t="s">
        <v>37</v>
      </c>
      <c r="M36" s="17">
        <v>3600002</v>
      </c>
    </row>
    <row r="37" ht="15" spans="1:13">
      <c r="A37" s="17">
        <v>1010910</v>
      </c>
      <c r="B37" s="17">
        <v>101</v>
      </c>
      <c r="C37" s="17">
        <v>9</v>
      </c>
      <c r="D37" s="17">
        <v>10</v>
      </c>
      <c r="E37" s="16">
        <v>1010910</v>
      </c>
      <c r="F37" s="17">
        <v>20</v>
      </c>
      <c r="G37" s="17">
        <v>100</v>
      </c>
      <c r="H37" s="19" t="s">
        <v>95</v>
      </c>
      <c r="I37" s="17" t="s">
        <v>35</v>
      </c>
      <c r="J37" s="17" t="s">
        <v>36</v>
      </c>
      <c r="K37" s="17">
        <v>3040102</v>
      </c>
      <c r="L37" s="17" t="s">
        <v>37</v>
      </c>
      <c r="M37" s="17">
        <v>3600002</v>
      </c>
    </row>
    <row r="38" ht="15" spans="1:13">
      <c r="A38" s="17">
        <v>1011001</v>
      </c>
      <c r="B38" s="17">
        <v>101</v>
      </c>
      <c r="C38" s="17">
        <v>9</v>
      </c>
      <c r="D38" s="17">
        <v>1</v>
      </c>
      <c r="E38" s="16" t="s">
        <v>33</v>
      </c>
      <c r="F38" s="17">
        <v>1</v>
      </c>
      <c r="G38" s="17">
        <v>100</v>
      </c>
      <c r="H38" s="19" t="s">
        <v>96</v>
      </c>
      <c r="I38" s="17" t="s">
        <v>97</v>
      </c>
      <c r="J38" s="17" t="s">
        <v>98</v>
      </c>
      <c r="K38" s="17">
        <v>3041001</v>
      </c>
      <c r="L38" s="17" t="s">
        <v>37</v>
      </c>
      <c r="M38" s="17">
        <v>3610001</v>
      </c>
    </row>
    <row r="39" ht="15" spans="1:13">
      <c r="A39" s="17">
        <v>1011002</v>
      </c>
      <c r="B39" s="17">
        <v>101</v>
      </c>
      <c r="C39" s="17">
        <v>9</v>
      </c>
      <c r="D39" s="17">
        <v>2</v>
      </c>
      <c r="E39" s="41" t="s">
        <v>99</v>
      </c>
      <c r="F39" s="17">
        <v>1</v>
      </c>
      <c r="G39" s="17">
        <v>100</v>
      </c>
      <c r="H39" s="19" t="s">
        <v>100</v>
      </c>
      <c r="I39" s="17" t="s">
        <v>97</v>
      </c>
      <c r="J39" s="17" t="s">
        <v>98</v>
      </c>
      <c r="K39" s="17">
        <v>3041001</v>
      </c>
      <c r="L39" s="17" t="s">
        <v>37</v>
      </c>
      <c r="M39" s="17">
        <v>3610001</v>
      </c>
    </row>
    <row r="40" ht="15" spans="1:13">
      <c r="A40" s="17">
        <v>1011003</v>
      </c>
      <c r="B40" s="17">
        <v>101</v>
      </c>
      <c r="C40" s="17">
        <v>9</v>
      </c>
      <c r="D40" s="17">
        <v>3</v>
      </c>
      <c r="E40" s="16">
        <v>1011002</v>
      </c>
      <c r="F40" s="17">
        <v>1</v>
      </c>
      <c r="G40" s="17">
        <v>100</v>
      </c>
      <c r="H40" s="19" t="s">
        <v>101</v>
      </c>
      <c r="I40" s="17" t="s">
        <v>97</v>
      </c>
      <c r="J40" s="17" t="s">
        <v>98</v>
      </c>
      <c r="K40" s="17">
        <v>3041001</v>
      </c>
      <c r="L40" s="17" t="s">
        <v>37</v>
      </c>
      <c r="M40" s="17">
        <v>3610001</v>
      </c>
    </row>
    <row r="41" ht="15" spans="1:13">
      <c r="A41" s="17">
        <v>1011004</v>
      </c>
      <c r="B41" s="17">
        <v>101</v>
      </c>
      <c r="C41" s="17">
        <v>9</v>
      </c>
      <c r="D41" s="17">
        <v>4</v>
      </c>
      <c r="E41" s="16">
        <v>1011003</v>
      </c>
      <c r="F41" s="17">
        <v>1</v>
      </c>
      <c r="G41" s="17">
        <v>100</v>
      </c>
      <c r="H41" s="19" t="s">
        <v>102</v>
      </c>
      <c r="I41" s="17" t="s">
        <v>97</v>
      </c>
      <c r="J41" s="17" t="s">
        <v>98</v>
      </c>
      <c r="K41" s="17">
        <v>3041001</v>
      </c>
      <c r="L41" s="17" t="s">
        <v>37</v>
      </c>
      <c r="M41" s="17">
        <v>3610001</v>
      </c>
    </row>
    <row r="42" ht="15" spans="1:13">
      <c r="A42" s="17">
        <v>1011005</v>
      </c>
      <c r="B42" s="17">
        <v>101</v>
      </c>
      <c r="C42" s="17">
        <v>9</v>
      </c>
      <c r="D42" s="17">
        <v>5</v>
      </c>
      <c r="E42" s="16">
        <v>1011004</v>
      </c>
      <c r="F42" s="17">
        <v>1</v>
      </c>
      <c r="G42" s="17">
        <v>100</v>
      </c>
      <c r="H42" s="19" t="s">
        <v>103</v>
      </c>
      <c r="I42" s="17" t="s">
        <v>97</v>
      </c>
      <c r="J42" s="17" t="s">
        <v>98</v>
      </c>
      <c r="K42" s="17">
        <v>3041001</v>
      </c>
      <c r="L42" s="17" t="s">
        <v>37</v>
      </c>
      <c r="M42" s="17">
        <v>3610001</v>
      </c>
    </row>
    <row r="43" ht="15" spans="1:13">
      <c r="A43" s="17">
        <v>1011101</v>
      </c>
      <c r="B43" s="17">
        <v>101</v>
      </c>
      <c r="C43" s="17">
        <v>11</v>
      </c>
      <c r="D43" s="17">
        <v>1</v>
      </c>
      <c r="E43" s="16" t="s">
        <v>33</v>
      </c>
      <c r="F43" s="17">
        <v>1</v>
      </c>
      <c r="G43" s="17">
        <v>100</v>
      </c>
      <c r="H43" s="19" t="s">
        <v>104</v>
      </c>
      <c r="I43" s="17" t="s">
        <v>105</v>
      </c>
      <c r="J43" s="17" t="s">
        <v>106</v>
      </c>
      <c r="K43" s="17">
        <v>3041201</v>
      </c>
      <c r="L43" s="17" t="s">
        <v>37</v>
      </c>
      <c r="M43" s="17">
        <v>3600003</v>
      </c>
    </row>
    <row r="44" ht="15" spans="1:13">
      <c r="A44" s="17">
        <v>1011102</v>
      </c>
      <c r="B44" s="17">
        <v>101</v>
      </c>
      <c r="C44" s="17">
        <v>11</v>
      </c>
      <c r="D44" s="17">
        <v>2</v>
      </c>
      <c r="E44" s="16" t="s">
        <v>107</v>
      </c>
      <c r="F44" s="17">
        <v>1</v>
      </c>
      <c r="G44" s="17">
        <v>100</v>
      </c>
      <c r="H44" s="19" t="s">
        <v>108</v>
      </c>
      <c r="I44" s="17" t="s">
        <v>105</v>
      </c>
      <c r="J44" s="17" t="s">
        <v>106</v>
      </c>
      <c r="K44" s="17">
        <v>3041201</v>
      </c>
      <c r="L44" s="17" t="s">
        <v>37</v>
      </c>
      <c r="M44" s="17">
        <v>3600003</v>
      </c>
    </row>
    <row r="45" ht="15" spans="1:13">
      <c r="A45" s="17">
        <v>1011103</v>
      </c>
      <c r="B45" s="17">
        <v>101</v>
      </c>
      <c r="C45" s="17">
        <v>11</v>
      </c>
      <c r="D45" s="17">
        <v>3</v>
      </c>
      <c r="E45" s="16" t="s">
        <v>109</v>
      </c>
      <c r="F45" s="17">
        <v>1</v>
      </c>
      <c r="G45" s="17">
        <v>100</v>
      </c>
      <c r="H45" s="19" t="s">
        <v>110</v>
      </c>
      <c r="I45" s="17" t="s">
        <v>105</v>
      </c>
      <c r="J45" s="17" t="s">
        <v>106</v>
      </c>
      <c r="K45" s="17">
        <v>3041201</v>
      </c>
      <c r="L45" s="17" t="s">
        <v>37</v>
      </c>
      <c r="M45" s="17">
        <v>3600003</v>
      </c>
    </row>
    <row r="46" ht="15" spans="1:13">
      <c r="A46" s="17">
        <v>1011104</v>
      </c>
      <c r="B46" s="17">
        <v>101</v>
      </c>
      <c r="C46" s="17">
        <v>11</v>
      </c>
      <c r="D46" s="17">
        <v>4</v>
      </c>
      <c r="E46" s="16" t="s">
        <v>111</v>
      </c>
      <c r="F46" s="17">
        <v>1</v>
      </c>
      <c r="G46" s="17">
        <v>100</v>
      </c>
      <c r="H46" s="19" t="s">
        <v>112</v>
      </c>
      <c r="I46" s="17" t="s">
        <v>105</v>
      </c>
      <c r="J46" s="17" t="s">
        <v>106</v>
      </c>
      <c r="K46" s="17">
        <v>3041201</v>
      </c>
      <c r="L46" s="17" t="s">
        <v>37</v>
      </c>
      <c r="M46" s="17">
        <v>3600003</v>
      </c>
    </row>
    <row r="47" ht="15" spans="1:13">
      <c r="A47" s="17">
        <v>1011105</v>
      </c>
      <c r="B47" s="17">
        <v>101</v>
      </c>
      <c r="C47" s="17">
        <v>11</v>
      </c>
      <c r="D47" s="17">
        <v>5</v>
      </c>
      <c r="E47" s="16" t="s">
        <v>113</v>
      </c>
      <c r="F47" s="17">
        <v>1</v>
      </c>
      <c r="G47" s="17">
        <v>100</v>
      </c>
      <c r="H47" s="19" t="s">
        <v>114</v>
      </c>
      <c r="I47" s="17" t="s">
        <v>105</v>
      </c>
      <c r="J47" s="17" t="s">
        <v>106</v>
      </c>
      <c r="K47" s="17">
        <v>3041201</v>
      </c>
      <c r="L47" s="17" t="s">
        <v>37</v>
      </c>
      <c r="M47" s="17">
        <v>3600003</v>
      </c>
    </row>
    <row r="48" ht="15" spans="1:13">
      <c r="A48" s="17">
        <v>1011201</v>
      </c>
      <c r="B48" s="17">
        <v>101</v>
      </c>
      <c r="C48" s="17">
        <v>12</v>
      </c>
      <c r="D48" s="17">
        <v>1</v>
      </c>
      <c r="E48" s="16" t="s">
        <v>33</v>
      </c>
      <c r="F48" s="17">
        <v>1</v>
      </c>
      <c r="G48" s="17">
        <v>100</v>
      </c>
      <c r="H48" s="19" t="s">
        <v>115</v>
      </c>
      <c r="I48" s="17" t="s">
        <v>116</v>
      </c>
      <c r="J48" s="17" t="s">
        <v>117</v>
      </c>
      <c r="K48" s="17">
        <v>3041301</v>
      </c>
      <c r="L48" s="17" t="s">
        <v>37</v>
      </c>
      <c r="M48" s="17">
        <v>3600003</v>
      </c>
    </row>
    <row r="49" ht="15" spans="1:13">
      <c r="A49" s="17">
        <v>1011202</v>
      </c>
      <c r="B49" s="17">
        <v>101</v>
      </c>
      <c r="C49" s="17">
        <v>12</v>
      </c>
      <c r="D49" s="17">
        <v>2</v>
      </c>
      <c r="E49" s="16" t="s">
        <v>118</v>
      </c>
      <c r="F49" s="17">
        <v>1</v>
      </c>
      <c r="G49" s="17">
        <v>100</v>
      </c>
      <c r="H49" s="19" t="s">
        <v>119</v>
      </c>
      <c r="I49" s="17" t="s">
        <v>116</v>
      </c>
      <c r="J49" s="17" t="s">
        <v>117</v>
      </c>
      <c r="K49" s="17">
        <v>3041301</v>
      </c>
      <c r="L49" s="17" t="s">
        <v>37</v>
      </c>
      <c r="M49" s="17">
        <v>3600003</v>
      </c>
    </row>
    <row r="50" ht="15" spans="1:13">
      <c r="A50" s="17">
        <v>1011203</v>
      </c>
      <c r="B50" s="17">
        <v>101</v>
      </c>
      <c r="C50" s="17">
        <v>12</v>
      </c>
      <c r="D50" s="17">
        <v>3</v>
      </c>
      <c r="E50" s="16" t="s">
        <v>120</v>
      </c>
      <c r="F50" s="17">
        <v>1</v>
      </c>
      <c r="G50" s="17">
        <v>100</v>
      </c>
      <c r="H50" s="19" t="s">
        <v>121</v>
      </c>
      <c r="I50" s="17" t="s">
        <v>116</v>
      </c>
      <c r="J50" s="17" t="s">
        <v>117</v>
      </c>
      <c r="K50" s="17">
        <v>3041301</v>
      </c>
      <c r="L50" s="17" t="s">
        <v>37</v>
      </c>
      <c r="M50" s="17">
        <v>3600003</v>
      </c>
    </row>
    <row r="51" ht="15" spans="1:13">
      <c r="A51" s="17">
        <v>1011204</v>
      </c>
      <c r="B51" s="17">
        <v>101</v>
      </c>
      <c r="C51" s="17">
        <v>12</v>
      </c>
      <c r="D51" s="17">
        <v>4</v>
      </c>
      <c r="E51" s="16" t="s">
        <v>122</v>
      </c>
      <c r="F51" s="17">
        <v>1</v>
      </c>
      <c r="G51" s="17">
        <v>100</v>
      </c>
      <c r="H51" s="19" t="s">
        <v>123</v>
      </c>
      <c r="I51" s="17" t="s">
        <v>116</v>
      </c>
      <c r="J51" s="17" t="s">
        <v>117</v>
      </c>
      <c r="K51" s="17">
        <v>3041301</v>
      </c>
      <c r="L51" s="17" t="s">
        <v>37</v>
      </c>
      <c r="M51" s="17">
        <v>3600003</v>
      </c>
    </row>
    <row r="52" ht="15" spans="1:13">
      <c r="A52" s="17">
        <v>1011205</v>
      </c>
      <c r="B52" s="17">
        <v>101</v>
      </c>
      <c r="C52" s="17">
        <v>12</v>
      </c>
      <c r="D52" s="17">
        <v>5</v>
      </c>
      <c r="E52" s="16" t="s">
        <v>124</v>
      </c>
      <c r="F52" s="17">
        <v>1</v>
      </c>
      <c r="G52" s="17">
        <v>100</v>
      </c>
      <c r="H52" s="19" t="s">
        <v>125</v>
      </c>
      <c r="I52" s="17" t="s">
        <v>116</v>
      </c>
      <c r="J52" s="17" t="s">
        <v>117</v>
      </c>
      <c r="K52" s="17">
        <v>3041301</v>
      </c>
      <c r="L52" s="17" t="s">
        <v>37</v>
      </c>
      <c r="M52" s="17">
        <v>3600003</v>
      </c>
    </row>
    <row r="53" ht="15" spans="1:13">
      <c r="A53" s="17">
        <v>2010101</v>
      </c>
      <c r="B53" s="17">
        <v>201</v>
      </c>
      <c r="C53" s="17">
        <v>1</v>
      </c>
      <c r="D53" s="17">
        <v>1</v>
      </c>
      <c r="E53" s="16" t="s">
        <v>33</v>
      </c>
      <c r="F53" s="17">
        <v>1</v>
      </c>
      <c r="G53" s="17">
        <v>100</v>
      </c>
      <c r="H53" s="19" t="s">
        <v>126</v>
      </c>
      <c r="I53" s="17" t="s">
        <v>127</v>
      </c>
      <c r="J53" s="17" t="s">
        <v>128</v>
      </c>
      <c r="K53" s="17">
        <v>3050001</v>
      </c>
      <c r="L53" s="17" t="s">
        <v>37</v>
      </c>
      <c r="M53" s="17">
        <v>3550001</v>
      </c>
    </row>
    <row r="54" ht="15" spans="1:13">
      <c r="A54" s="17">
        <v>2010102</v>
      </c>
      <c r="B54" s="17">
        <v>201</v>
      </c>
      <c r="C54" s="17">
        <v>1</v>
      </c>
      <c r="D54" s="17">
        <v>2</v>
      </c>
      <c r="E54" s="16" t="s">
        <v>129</v>
      </c>
      <c r="F54" s="17">
        <v>1</v>
      </c>
      <c r="G54" s="17">
        <v>100</v>
      </c>
      <c r="H54" s="19" t="s">
        <v>130</v>
      </c>
      <c r="I54" s="17" t="s">
        <v>127</v>
      </c>
      <c r="J54" s="17" t="s">
        <v>128</v>
      </c>
      <c r="K54" s="17">
        <v>3050001</v>
      </c>
      <c r="L54" s="17" t="s">
        <v>37</v>
      </c>
      <c r="M54" s="17">
        <v>3550001</v>
      </c>
    </row>
    <row r="55" ht="15" spans="1:13">
      <c r="A55" s="17">
        <v>2010103</v>
      </c>
      <c r="B55" s="17">
        <v>201</v>
      </c>
      <c r="C55" s="17">
        <v>1</v>
      </c>
      <c r="D55" s="17">
        <v>3</v>
      </c>
      <c r="E55" s="16" t="s">
        <v>131</v>
      </c>
      <c r="F55" s="17">
        <v>1</v>
      </c>
      <c r="G55" s="17">
        <v>100</v>
      </c>
      <c r="H55" s="19" t="s">
        <v>132</v>
      </c>
      <c r="I55" s="17" t="s">
        <v>127</v>
      </c>
      <c r="J55" s="17" t="s">
        <v>128</v>
      </c>
      <c r="K55" s="17">
        <v>3050001</v>
      </c>
      <c r="L55" s="17" t="s">
        <v>37</v>
      </c>
      <c r="M55" s="17">
        <v>3550001</v>
      </c>
    </row>
    <row r="56" ht="15" spans="1:13">
      <c r="A56" s="17">
        <v>2010104</v>
      </c>
      <c r="B56" s="17">
        <v>201</v>
      </c>
      <c r="C56" s="17">
        <v>1</v>
      </c>
      <c r="D56" s="17">
        <v>4</v>
      </c>
      <c r="E56" s="16" t="s">
        <v>133</v>
      </c>
      <c r="F56" s="17">
        <v>1</v>
      </c>
      <c r="G56" s="17">
        <v>100</v>
      </c>
      <c r="H56" s="19" t="s">
        <v>134</v>
      </c>
      <c r="I56" s="17" t="s">
        <v>127</v>
      </c>
      <c r="J56" s="17" t="s">
        <v>128</v>
      </c>
      <c r="K56" s="17">
        <v>3050001</v>
      </c>
      <c r="L56" s="17" t="s">
        <v>37</v>
      </c>
      <c r="M56" s="17">
        <v>3550001</v>
      </c>
    </row>
    <row r="57" ht="15" spans="1:13">
      <c r="A57" s="17">
        <v>2010105</v>
      </c>
      <c r="B57" s="17">
        <v>201</v>
      </c>
      <c r="C57" s="17">
        <v>1</v>
      </c>
      <c r="D57" s="17">
        <v>5</v>
      </c>
      <c r="E57" s="16" t="s">
        <v>135</v>
      </c>
      <c r="F57" s="17">
        <v>1</v>
      </c>
      <c r="G57" s="17">
        <v>100</v>
      </c>
      <c r="H57" s="19" t="s">
        <v>136</v>
      </c>
      <c r="I57" s="17" t="s">
        <v>127</v>
      </c>
      <c r="J57" s="17" t="s">
        <v>128</v>
      </c>
      <c r="K57" s="17">
        <v>3050001</v>
      </c>
      <c r="L57" s="17" t="s">
        <v>37</v>
      </c>
      <c r="M57" s="17">
        <v>3550001</v>
      </c>
    </row>
    <row r="58" ht="15" spans="1:13">
      <c r="A58" s="17">
        <v>2010301</v>
      </c>
      <c r="B58" s="17">
        <v>201</v>
      </c>
      <c r="C58" s="17">
        <v>3</v>
      </c>
      <c r="D58" s="17">
        <v>1</v>
      </c>
      <c r="E58" s="16" t="s">
        <v>137</v>
      </c>
      <c r="F58" s="17">
        <v>1</v>
      </c>
      <c r="G58" s="17">
        <v>100</v>
      </c>
      <c r="H58" s="19" t="s">
        <v>138</v>
      </c>
      <c r="I58" s="17" t="s">
        <v>139</v>
      </c>
      <c r="J58" s="17" t="s">
        <v>140</v>
      </c>
      <c r="K58" s="17">
        <v>3050102</v>
      </c>
      <c r="L58" s="17" t="s">
        <v>37</v>
      </c>
      <c r="M58" s="17">
        <v>3550001</v>
      </c>
    </row>
    <row r="59" ht="15" spans="1:13">
      <c r="A59" s="17">
        <v>2010302</v>
      </c>
      <c r="B59" s="17">
        <v>201</v>
      </c>
      <c r="C59" s="17">
        <v>3</v>
      </c>
      <c r="D59" s="17">
        <v>2</v>
      </c>
      <c r="E59" s="16" t="s">
        <v>141</v>
      </c>
      <c r="F59" s="17">
        <v>1</v>
      </c>
      <c r="G59" s="17">
        <v>100</v>
      </c>
      <c r="H59" s="19" t="s">
        <v>142</v>
      </c>
      <c r="I59" s="17" t="s">
        <v>139</v>
      </c>
      <c r="J59" s="17" t="s">
        <v>140</v>
      </c>
      <c r="K59" s="17">
        <v>3050102</v>
      </c>
      <c r="L59" s="17" t="s">
        <v>37</v>
      </c>
      <c r="M59" s="17">
        <v>3550001</v>
      </c>
    </row>
    <row r="60" ht="15" spans="1:13">
      <c r="A60" s="17">
        <v>2010303</v>
      </c>
      <c r="B60" s="17">
        <v>201</v>
      </c>
      <c r="C60" s="17">
        <v>3</v>
      </c>
      <c r="D60" s="17">
        <v>3</v>
      </c>
      <c r="E60" s="16" t="s">
        <v>143</v>
      </c>
      <c r="F60" s="17">
        <v>1</v>
      </c>
      <c r="G60" s="17">
        <v>100</v>
      </c>
      <c r="H60" s="19" t="s">
        <v>144</v>
      </c>
      <c r="I60" s="17" t="s">
        <v>139</v>
      </c>
      <c r="J60" s="17" t="s">
        <v>140</v>
      </c>
      <c r="K60" s="17">
        <v>3050102</v>
      </c>
      <c r="L60" s="17" t="s">
        <v>37</v>
      </c>
      <c r="M60" s="17">
        <v>3550001</v>
      </c>
    </row>
    <row r="61" ht="15" spans="1:13">
      <c r="A61" s="17">
        <v>2010304</v>
      </c>
      <c r="B61" s="17">
        <v>201</v>
      </c>
      <c r="C61" s="17">
        <v>3</v>
      </c>
      <c r="D61" s="17">
        <v>4</v>
      </c>
      <c r="E61" s="16" t="s">
        <v>145</v>
      </c>
      <c r="F61" s="17">
        <v>1</v>
      </c>
      <c r="G61" s="17">
        <v>100</v>
      </c>
      <c r="H61" s="19" t="s">
        <v>146</v>
      </c>
      <c r="I61" s="17" t="s">
        <v>139</v>
      </c>
      <c r="J61" s="17" t="s">
        <v>140</v>
      </c>
      <c r="K61" s="17">
        <v>3050102</v>
      </c>
      <c r="L61" s="17" t="s">
        <v>37</v>
      </c>
      <c r="M61" s="17">
        <v>3550001</v>
      </c>
    </row>
    <row r="62" ht="15" spans="1:13">
      <c r="A62" s="17">
        <v>2010305</v>
      </c>
      <c r="B62" s="17">
        <v>201</v>
      </c>
      <c r="C62" s="17">
        <v>3</v>
      </c>
      <c r="D62" s="17">
        <v>5</v>
      </c>
      <c r="E62" s="16" t="s">
        <v>147</v>
      </c>
      <c r="F62" s="17">
        <v>1</v>
      </c>
      <c r="G62" s="17">
        <v>100</v>
      </c>
      <c r="H62" s="19" t="s">
        <v>148</v>
      </c>
      <c r="I62" s="17" t="s">
        <v>139</v>
      </c>
      <c r="J62" s="17" t="s">
        <v>140</v>
      </c>
      <c r="K62" s="17">
        <v>3050102</v>
      </c>
      <c r="L62" s="17" t="s">
        <v>37</v>
      </c>
      <c r="M62" s="17">
        <v>3550001</v>
      </c>
    </row>
    <row r="63" ht="15" spans="1:13">
      <c r="A63" s="17">
        <v>2010401</v>
      </c>
      <c r="B63" s="17">
        <v>201</v>
      </c>
      <c r="C63" s="17">
        <v>4</v>
      </c>
      <c r="D63" s="17">
        <v>1</v>
      </c>
      <c r="E63" s="16" t="s">
        <v>137</v>
      </c>
      <c r="F63" s="17">
        <v>1</v>
      </c>
      <c r="G63" s="17">
        <v>100</v>
      </c>
      <c r="H63" s="19" t="s">
        <v>149</v>
      </c>
      <c r="I63" s="17" t="s">
        <v>150</v>
      </c>
      <c r="J63" s="17" t="s">
        <v>151</v>
      </c>
      <c r="K63" s="17">
        <v>3050301</v>
      </c>
      <c r="L63" s="17" t="s">
        <v>37</v>
      </c>
      <c r="M63" s="17">
        <v>3550001</v>
      </c>
    </row>
    <row r="64" ht="15" spans="1:13">
      <c r="A64" s="17">
        <v>2010402</v>
      </c>
      <c r="B64" s="17">
        <v>201</v>
      </c>
      <c r="C64" s="17">
        <v>4</v>
      </c>
      <c r="D64" s="17">
        <v>2</v>
      </c>
      <c r="E64" s="16" t="s">
        <v>152</v>
      </c>
      <c r="F64" s="17">
        <v>1</v>
      </c>
      <c r="G64" s="17">
        <v>100</v>
      </c>
      <c r="H64" s="19" t="s">
        <v>153</v>
      </c>
      <c r="I64" s="17" t="s">
        <v>150</v>
      </c>
      <c r="J64" s="17" t="s">
        <v>151</v>
      </c>
      <c r="K64" s="17">
        <v>3050301</v>
      </c>
      <c r="L64" s="17" t="s">
        <v>37</v>
      </c>
      <c r="M64" s="17">
        <v>3550001</v>
      </c>
    </row>
    <row r="65" ht="15" spans="1:13">
      <c r="A65" s="17">
        <v>2010403</v>
      </c>
      <c r="B65" s="17">
        <v>201</v>
      </c>
      <c r="C65" s="17">
        <v>4</v>
      </c>
      <c r="D65" s="17">
        <v>3</v>
      </c>
      <c r="E65" s="16" t="s">
        <v>154</v>
      </c>
      <c r="F65" s="17">
        <v>1</v>
      </c>
      <c r="G65" s="17">
        <v>100</v>
      </c>
      <c r="H65" s="19" t="s">
        <v>155</v>
      </c>
      <c r="I65" s="17" t="s">
        <v>150</v>
      </c>
      <c r="J65" s="17" t="s">
        <v>151</v>
      </c>
      <c r="K65" s="17">
        <v>3050301</v>
      </c>
      <c r="L65" s="17" t="s">
        <v>37</v>
      </c>
      <c r="M65" s="17">
        <v>3550001</v>
      </c>
    </row>
    <row r="66" ht="15" spans="1:13">
      <c r="A66" s="17">
        <v>2010404</v>
      </c>
      <c r="B66" s="17">
        <v>201</v>
      </c>
      <c r="C66" s="17">
        <v>4</v>
      </c>
      <c r="D66" s="17">
        <v>4</v>
      </c>
      <c r="E66" s="16" t="s">
        <v>156</v>
      </c>
      <c r="F66" s="17">
        <v>1</v>
      </c>
      <c r="G66" s="17">
        <v>100</v>
      </c>
      <c r="H66" s="19" t="s">
        <v>157</v>
      </c>
      <c r="I66" s="17" t="s">
        <v>150</v>
      </c>
      <c r="J66" s="17" t="s">
        <v>151</v>
      </c>
      <c r="K66" s="17">
        <v>3050301</v>
      </c>
      <c r="L66" s="17" t="s">
        <v>37</v>
      </c>
      <c r="M66" s="17">
        <v>3550001</v>
      </c>
    </row>
    <row r="67" ht="15" spans="1:13">
      <c r="A67" s="17">
        <v>2010405</v>
      </c>
      <c r="B67" s="17">
        <v>201</v>
      </c>
      <c r="C67" s="17">
        <v>4</v>
      </c>
      <c r="D67" s="17">
        <v>5</v>
      </c>
      <c r="E67" s="16" t="s">
        <v>158</v>
      </c>
      <c r="F67" s="17">
        <v>1</v>
      </c>
      <c r="G67" s="17">
        <v>100</v>
      </c>
      <c r="H67" s="19" t="s">
        <v>159</v>
      </c>
      <c r="I67" s="17" t="s">
        <v>150</v>
      </c>
      <c r="J67" s="17" t="s">
        <v>151</v>
      </c>
      <c r="K67" s="17">
        <v>3050301</v>
      </c>
      <c r="L67" s="17" t="s">
        <v>37</v>
      </c>
      <c r="M67" s="17">
        <v>3550001</v>
      </c>
    </row>
    <row r="68" ht="15" spans="1:13">
      <c r="A68" s="17">
        <v>3010101</v>
      </c>
      <c r="B68" s="17">
        <v>301</v>
      </c>
      <c r="C68" s="17">
        <v>1</v>
      </c>
      <c r="D68" s="17">
        <v>1</v>
      </c>
      <c r="E68" s="16" t="s">
        <v>33</v>
      </c>
      <c r="F68" s="17">
        <v>1</v>
      </c>
      <c r="G68" s="17">
        <v>100</v>
      </c>
      <c r="H68" s="19" t="s">
        <v>160</v>
      </c>
      <c r="I68" s="17" t="s">
        <v>161</v>
      </c>
      <c r="J68" s="17" t="s">
        <v>162</v>
      </c>
      <c r="K68" s="17">
        <v>3060001</v>
      </c>
      <c r="L68" s="17" t="s">
        <v>37</v>
      </c>
      <c r="M68" s="17">
        <v>3560001</v>
      </c>
    </row>
    <row r="69" ht="15" spans="1:13">
      <c r="A69" s="17">
        <v>3010102</v>
      </c>
      <c r="B69" s="17">
        <v>301</v>
      </c>
      <c r="C69" s="17">
        <v>1</v>
      </c>
      <c r="D69" s="17">
        <v>2</v>
      </c>
      <c r="E69" s="16" t="s">
        <v>163</v>
      </c>
      <c r="F69" s="17">
        <v>1</v>
      </c>
      <c r="G69" s="17">
        <v>100</v>
      </c>
      <c r="H69" s="19" t="s">
        <v>164</v>
      </c>
      <c r="I69" s="17" t="s">
        <v>161</v>
      </c>
      <c r="J69" s="17" t="s">
        <v>162</v>
      </c>
      <c r="K69" s="17">
        <v>3060001</v>
      </c>
      <c r="L69" s="17" t="s">
        <v>37</v>
      </c>
      <c r="M69" s="17">
        <v>3560001</v>
      </c>
    </row>
    <row r="70" ht="15" spans="1:13">
      <c r="A70" s="17">
        <v>3010103</v>
      </c>
      <c r="B70" s="17">
        <v>301</v>
      </c>
      <c r="C70" s="17">
        <v>1</v>
      </c>
      <c r="D70" s="17">
        <v>3</v>
      </c>
      <c r="E70" s="16" t="s">
        <v>165</v>
      </c>
      <c r="F70" s="17">
        <v>1</v>
      </c>
      <c r="G70" s="17">
        <v>100</v>
      </c>
      <c r="H70" s="19" t="s">
        <v>166</v>
      </c>
      <c r="I70" s="17" t="s">
        <v>161</v>
      </c>
      <c r="J70" s="17" t="s">
        <v>162</v>
      </c>
      <c r="K70" s="17">
        <v>3060001</v>
      </c>
      <c r="L70" s="17" t="s">
        <v>37</v>
      </c>
      <c r="M70" s="17">
        <v>3560001</v>
      </c>
    </row>
    <row r="71" ht="15" spans="1:13">
      <c r="A71" s="17">
        <v>3010104</v>
      </c>
      <c r="B71" s="17">
        <v>301</v>
      </c>
      <c r="C71" s="17">
        <v>1</v>
      </c>
      <c r="D71" s="17">
        <v>4</v>
      </c>
      <c r="E71" s="16" t="s">
        <v>167</v>
      </c>
      <c r="F71" s="17">
        <v>1</v>
      </c>
      <c r="G71" s="17">
        <v>100</v>
      </c>
      <c r="H71" s="19" t="s">
        <v>168</v>
      </c>
      <c r="I71" s="17" t="s">
        <v>161</v>
      </c>
      <c r="J71" s="17" t="s">
        <v>162</v>
      </c>
      <c r="K71" s="17">
        <v>3060001</v>
      </c>
      <c r="L71" s="17" t="s">
        <v>37</v>
      </c>
      <c r="M71" s="17">
        <v>3560001</v>
      </c>
    </row>
    <row r="72" ht="15" spans="1:13">
      <c r="A72" s="17">
        <v>3010105</v>
      </c>
      <c r="B72" s="17">
        <v>301</v>
      </c>
      <c r="C72" s="17">
        <v>1</v>
      </c>
      <c r="D72" s="17">
        <v>5</v>
      </c>
      <c r="E72" s="16" t="s">
        <v>169</v>
      </c>
      <c r="F72" s="17">
        <v>1</v>
      </c>
      <c r="G72" s="17">
        <v>100</v>
      </c>
      <c r="H72" s="19" t="s">
        <v>170</v>
      </c>
      <c r="I72" s="17" t="s">
        <v>161</v>
      </c>
      <c r="J72" s="17" t="s">
        <v>162</v>
      </c>
      <c r="K72" s="17">
        <v>3060001</v>
      </c>
      <c r="L72" s="17" t="s">
        <v>37</v>
      </c>
      <c r="M72" s="17">
        <v>3560001</v>
      </c>
    </row>
    <row r="73" ht="15" spans="1:13">
      <c r="A73" s="17">
        <v>3010301</v>
      </c>
      <c r="B73" s="17">
        <v>301</v>
      </c>
      <c r="C73" s="17">
        <v>3</v>
      </c>
      <c r="D73" s="17">
        <v>1</v>
      </c>
      <c r="E73" s="16" t="s">
        <v>171</v>
      </c>
      <c r="F73" s="17">
        <v>1</v>
      </c>
      <c r="G73" s="17">
        <v>100</v>
      </c>
      <c r="H73" s="19" t="s">
        <v>172</v>
      </c>
      <c r="I73" s="17" t="s">
        <v>173</v>
      </c>
      <c r="J73" s="17" t="s">
        <v>174</v>
      </c>
      <c r="K73" s="17">
        <v>3060102</v>
      </c>
      <c r="L73" s="17" t="s">
        <v>37</v>
      </c>
      <c r="M73" s="17">
        <v>3560001</v>
      </c>
    </row>
    <row r="74" ht="15" spans="1:13">
      <c r="A74" s="17">
        <v>3010302</v>
      </c>
      <c r="B74" s="17">
        <v>301</v>
      </c>
      <c r="C74" s="17">
        <v>3</v>
      </c>
      <c r="D74" s="17">
        <v>2</v>
      </c>
      <c r="E74" s="16" t="s">
        <v>175</v>
      </c>
      <c r="F74" s="17">
        <v>1</v>
      </c>
      <c r="G74" s="17">
        <v>100</v>
      </c>
      <c r="H74" s="19" t="s">
        <v>176</v>
      </c>
      <c r="I74" s="17" t="s">
        <v>173</v>
      </c>
      <c r="J74" s="17" t="s">
        <v>174</v>
      </c>
      <c r="K74" s="17">
        <v>3060102</v>
      </c>
      <c r="L74" s="17" t="s">
        <v>37</v>
      </c>
      <c r="M74" s="17">
        <v>3560001</v>
      </c>
    </row>
    <row r="75" ht="15" spans="1:13">
      <c r="A75" s="17">
        <v>3010303</v>
      </c>
      <c r="B75" s="17">
        <v>301</v>
      </c>
      <c r="C75" s="17">
        <v>3</v>
      </c>
      <c r="D75" s="17">
        <v>3</v>
      </c>
      <c r="E75" s="16" t="s">
        <v>177</v>
      </c>
      <c r="F75" s="17">
        <v>1</v>
      </c>
      <c r="G75" s="17">
        <v>100</v>
      </c>
      <c r="H75" s="19" t="s">
        <v>178</v>
      </c>
      <c r="I75" s="17" t="s">
        <v>173</v>
      </c>
      <c r="J75" s="17" t="s">
        <v>174</v>
      </c>
      <c r="K75" s="17">
        <v>3060102</v>
      </c>
      <c r="L75" s="17" t="s">
        <v>37</v>
      </c>
      <c r="M75" s="17">
        <v>3560001</v>
      </c>
    </row>
    <row r="76" ht="15" spans="1:13">
      <c r="A76" s="17">
        <v>3010304</v>
      </c>
      <c r="B76" s="17">
        <v>301</v>
      </c>
      <c r="C76" s="17">
        <v>3</v>
      </c>
      <c r="D76" s="17">
        <v>4</v>
      </c>
      <c r="E76" s="16" t="s">
        <v>179</v>
      </c>
      <c r="F76" s="17">
        <v>1</v>
      </c>
      <c r="G76" s="17">
        <v>100</v>
      </c>
      <c r="H76" s="19" t="s">
        <v>180</v>
      </c>
      <c r="I76" s="17" t="s">
        <v>173</v>
      </c>
      <c r="J76" s="17" t="s">
        <v>174</v>
      </c>
      <c r="K76" s="17">
        <v>3060102</v>
      </c>
      <c r="L76" s="17" t="s">
        <v>37</v>
      </c>
      <c r="M76" s="17">
        <v>3560001</v>
      </c>
    </row>
    <row r="77" ht="15" spans="1:13">
      <c r="A77" s="17">
        <v>3010305</v>
      </c>
      <c r="B77" s="17">
        <v>301</v>
      </c>
      <c r="C77" s="17">
        <v>3</v>
      </c>
      <c r="D77" s="17">
        <v>5</v>
      </c>
      <c r="E77" s="16" t="s">
        <v>181</v>
      </c>
      <c r="F77" s="17">
        <v>1</v>
      </c>
      <c r="G77" s="17">
        <v>100</v>
      </c>
      <c r="H77" s="19" t="s">
        <v>182</v>
      </c>
      <c r="I77" s="17" t="s">
        <v>173</v>
      </c>
      <c r="J77" s="17" t="s">
        <v>174</v>
      </c>
      <c r="K77" s="17">
        <v>3060102</v>
      </c>
      <c r="L77" s="17" t="s">
        <v>37</v>
      </c>
      <c r="M77" s="17">
        <v>3560001</v>
      </c>
    </row>
    <row r="78" ht="15" spans="1:13">
      <c r="A78" s="17">
        <v>3010401</v>
      </c>
      <c r="B78" s="17">
        <v>301</v>
      </c>
      <c r="C78" s="17">
        <v>4</v>
      </c>
      <c r="D78" s="17">
        <v>1</v>
      </c>
      <c r="E78" s="16" t="s">
        <v>171</v>
      </c>
      <c r="F78" s="17">
        <v>1</v>
      </c>
      <c r="G78" s="17">
        <v>100</v>
      </c>
      <c r="H78" s="19" t="s">
        <v>183</v>
      </c>
      <c r="I78" s="17" t="s">
        <v>184</v>
      </c>
      <c r="J78" s="17" t="s">
        <v>185</v>
      </c>
      <c r="K78" s="17">
        <v>3060301</v>
      </c>
      <c r="L78" s="17" t="s">
        <v>37</v>
      </c>
      <c r="M78" s="17">
        <v>3560001</v>
      </c>
    </row>
    <row r="79" ht="15" spans="1:13">
      <c r="A79" s="17">
        <v>3010402</v>
      </c>
      <c r="B79" s="17">
        <v>301</v>
      </c>
      <c r="C79" s="17">
        <v>4</v>
      </c>
      <c r="D79" s="17">
        <v>2</v>
      </c>
      <c r="E79" s="16" t="s">
        <v>186</v>
      </c>
      <c r="F79" s="17">
        <v>1</v>
      </c>
      <c r="G79" s="17">
        <v>100</v>
      </c>
      <c r="H79" s="19" t="s">
        <v>187</v>
      </c>
      <c r="I79" s="17" t="s">
        <v>184</v>
      </c>
      <c r="J79" s="17" t="s">
        <v>185</v>
      </c>
      <c r="K79" s="17">
        <v>3060301</v>
      </c>
      <c r="L79" s="17" t="s">
        <v>37</v>
      </c>
      <c r="M79" s="17">
        <v>3560001</v>
      </c>
    </row>
    <row r="80" ht="15" spans="1:13">
      <c r="A80" s="17">
        <v>3010403</v>
      </c>
      <c r="B80" s="17">
        <v>301</v>
      </c>
      <c r="C80" s="17">
        <v>4</v>
      </c>
      <c r="D80" s="17">
        <v>3</v>
      </c>
      <c r="E80" s="16" t="s">
        <v>188</v>
      </c>
      <c r="F80" s="17">
        <v>1</v>
      </c>
      <c r="G80" s="17">
        <v>100</v>
      </c>
      <c r="H80" s="19" t="s">
        <v>189</v>
      </c>
      <c r="I80" s="17" t="s">
        <v>184</v>
      </c>
      <c r="J80" s="17" t="s">
        <v>185</v>
      </c>
      <c r="K80" s="17">
        <v>3060301</v>
      </c>
      <c r="L80" s="17" t="s">
        <v>37</v>
      </c>
      <c r="M80" s="17">
        <v>3560001</v>
      </c>
    </row>
    <row r="81" ht="15" spans="1:13">
      <c r="A81" s="17">
        <v>3010404</v>
      </c>
      <c r="B81" s="17">
        <v>301</v>
      </c>
      <c r="C81" s="17">
        <v>4</v>
      </c>
      <c r="D81" s="17">
        <v>4</v>
      </c>
      <c r="E81" s="16" t="s">
        <v>190</v>
      </c>
      <c r="F81" s="17">
        <v>1</v>
      </c>
      <c r="G81" s="17">
        <v>100</v>
      </c>
      <c r="H81" s="19" t="s">
        <v>191</v>
      </c>
      <c r="I81" s="17" t="s">
        <v>184</v>
      </c>
      <c r="J81" s="17" t="s">
        <v>185</v>
      </c>
      <c r="K81" s="17">
        <v>3060301</v>
      </c>
      <c r="L81" s="17" t="s">
        <v>37</v>
      </c>
      <c r="M81" s="17">
        <v>3560001</v>
      </c>
    </row>
    <row r="82" ht="15" spans="1:13">
      <c r="A82" s="17">
        <v>3010405</v>
      </c>
      <c r="B82" s="17">
        <v>301</v>
      </c>
      <c r="C82" s="17">
        <v>4</v>
      </c>
      <c r="D82" s="17">
        <v>5</v>
      </c>
      <c r="E82" s="16" t="s">
        <v>192</v>
      </c>
      <c r="F82" s="17">
        <v>1</v>
      </c>
      <c r="G82" s="17">
        <v>100</v>
      </c>
      <c r="H82" s="19" t="s">
        <v>193</v>
      </c>
      <c r="I82" s="17" t="s">
        <v>184</v>
      </c>
      <c r="J82" s="17" t="s">
        <v>185</v>
      </c>
      <c r="K82" s="17">
        <v>3060301</v>
      </c>
      <c r="L82" s="17" t="s">
        <v>37</v>
      </c>
      <c r="M82" s="17">
        <v>3560001</v>
      </c>
    </row>
    <row r="83" ht="15" spans="1:13">
      <c r="A83" s="17">
        <v>4010101</v>
      </c>
      <c r="B83" s="17">
        <v>401</v>
      </c>
      <c r="C83" s="17">
        <v>1</v>
      </c>
      <c r="D83" s="17">
        <v>1</v>
      </c>
      <c r="E83" s="16" t="s">
        <v>33</v>
      </c>
      <c r="F83" s="17">
        <v>1</v>
      </c>
      <c r="G83" s="17">
        <v>100</v>
      </c>
      <c r="H83" s="19" t="s">
        <v>194</v>
      </c>
      <c r="I83" s="17" t="s">
        <v>195</v>
      </c>
      <c r="J83" s="17" t="s">
        <v>196</v>
      </c>
      <c r="K83" s="17">
        <v>3070001</v>
      </c>
      <c r="L83" s="17" t="s">
        <v>37</v>
      </c>
      <c r="M83" s="17">
        <v>3570001</v>
      </c>
    </row>
    <row r="84" ht="15" spans="1:13">
      <c r="A84" s="17">
        <v>4010102</v>
      </c>
      <c r="B84" s="17">
        <v>401</v>
      </c>
      <c r="C84" s="17">
        <v>1</v>
      </c>
      <c r="D84" s="17">
        <v>2</v>
      </c>
      <c r="E84" s="16" t="s">
        <v>197</v>
      </c>
      <c r="F84" s="17">
        <v>1</v>
      </c>
      <c r="G84" s="17">
        <v>100</v>
      </c>
      <c r="H84" s="19" t="s">
        <v>198</v>
      </c>
      <c r="I84" s="17" t="s">
        <v>195</v>
      </c>
      <c r="J84" s="17" t="s">
        <v>196</v>
      </c>
      <c r="K84" s="17">
        <v>3070001</v>
      </c>
      <c r="L84" s="17" t="s">
        <v>37</v>
      </c>
      <c r="M84" s="17">
        <v>3570001</v>
      </c>
    </row>
    <row r="85" ht="15" spans="1:13">
      <c r="A85" s="17">
        <v>4010103</v>
      </c>
      <c r="B85" s="17">
        <v>401</v>
      </c>
      <c r="C85" s="17">
        <v>1</v>
      </c>
      <c r="D85" s="17">
        <v>3</v>
      </c>
      <c r="E85" s="16" t="s">
        <v>199</v>
      </c>
      <c r="F85" s="17">
        <v>1</v>
      </c>
      <c r="G85" s="17">
        <v>100</v>
      </c>
      <c r="H85" s="19" t="s">
        <v>200</v>
      </c>
      <c r="I85" s="17" t="s">
        <v>195</v>
      </c>
      <c r="J85" s="17" t="s">
        <v>196</v>
      </c>
      <c r="K85" s="17">
        <v>3070001</v>
      </c>
      <c r="L85" s="17" t="s">
        <v>37</v>
      </c>
      <c r="M85" s="17">
        <v>3570001</v>
      </c>
    </row>
    <row r="86" ht="15" spans="1:13">
      <c r="A86" s="17">
        <v>4010104</v>
      </c>
      <c r="B86" s="17">
        <v>401</v>
      </c>
      <c r="C86" s="17">
        <v>1</v>
      </c>
      <c r="D86" s="17">
        <v>4</v>
      </c>
      <c r="E86" s="16" t="s">
        <v>201</v>
      </c>
      <c r="F86" s="17">
        <v>1</v>
      </c>
      <c r="G86" s="17">
        <v>100</v>
      </c>
      <c r="H86" s="19" t="s">
        <v>202</v>
      </c>
      <c r="I86" s="17" t="s">
        <v>195</v>
      </c>
      <c r="J86" s="17" t="s">
        <v>196</v>
      </c>
      <c r="K86" s="17">
        <v>3070001</v>
      </c>
      <c r="L86" s="17" t="s">
        <v>37</v>
      </c>
      <c r="M86" s="17">
        <v>3570001</v>
      </c>
    </row>
    <row r="87" ht="15" spans="1:13">
      <c r="A87" s="17">
        <v>4010105</v>
      </c>
      <c r="B87" s="17">
        <v>401</v>
      </c>
      <c r="C87" s="17">
        <v>1</v>
      </c>
      <c r="D87" s="17">
        <v>5</v>
      </c>
      <c r="E87" s="16" t="s">
        <v>203</v>
      </c>
      <c r="F87" s="17">
        <v>1</v>
      </c>
      <c r="G87" s="17">
        <v>100</v>
      </c>
      <c r="H87" s="19" t="s">
        <v>204</v>
      </c>
      <c r="I87" s="17" t="s">
        <v>195</v>
      </c>
      <c r="J87" s="17" t="s">
        <v>196</v>
      </c>
      <c r="K87" s="17">
        <v>3070001</v>
      </c>
      <c r="L87" s="17" t="s">
        <v>37</v>
      </c>
      <c r="M87" s="17">
        <v>3570001</v>
      </c>
    </row>
    <row r="88" ht="15" spans="1:13">
      <c r="A88" s="17">
        <v>4010301</v>
      </c>
      <c r="B88" s="17">
        <v>401</v>
      </c>
      <c r="C88" s="17">
        <v>3</v>
      </c>
      <c r="D88" s="17">
        <v>1</v>
      </c>
      <c r="E88" s="16" t="s">
        <v>205</v>
      </c>
      <c r="F88" s="17">
        <v>1</v>
      </c>
      <c r="G88" s="17">
        <v>100</v>
      </c>
      <c r="H88" s="19" t="s">
        <v>206</v>
      </c>
      <c r="I88" s="17" t="s">
        <v>207</v>
      </c>
      <c r="J88" s="17" t="s">
        <v>208</v>
      </c>
      <c r="K88" s="17">
        <v>3070102</v>
      </c>
      <c r="L88" s="17" t="s">
        <v>37</v>
      </c>
      <c r="M88" s="17">
        <v>3570001</v>
      </c>
    </row>
    <row r="89" ht="15" spans="1:13">
      <c r="A89" s="17">
        <v>4010302</v>
      </c>
      <c r="B89" s="17">
        <v>401</v>
      </c>
      <c r="C89" s="17">
        <v>3</v>
      </c>
      <c r="D89" s="17">
        <v>2</v>
      </c>
      <c r="E89" s="16" t="s">
        <v>209</v>
      </c>
      <c r="F89" s="17">
        <v>1</v>
      </c>
      <c r="G89" s="17">
        <v>100</v>
      </c>
      <c r="H89" s="19" t="s">
        <v>210</v>
      </c>
      <c r="I89" s="17" t="s">
        <v>207</v>
      </c>
      <c r="J89" s="17" t="s">
        <v>208</v>
      </c>
      <c r="K89" s="17">
        <v>3070102</v>
      </c>
      <c r="L89" s="17" t="s">
        <v>37</v>
      </c>
      <c r="M89" s="17">
        <v>3570001</v>
      </c>
    </row>
    <row r="90" ht="15" spans="1:13">
      <c r="A90" s="17">
        <v>4010303</v>
      </c>
      <c r="B90" s="17">
        <v>401</v>
      </c>
      <c r="C90" s="17">
        <v>3</v>
      </c>
      <c r="D90" s="17">
        <v>3</v>
      </c>
      <c r="E90" s="16" t="s">
        <v>211</v>
      </c>
      <c r="F90" s="17">
        <v>1</v>
      </c>
      <c r="G90" s="17">
        <v>100</v>
      </c>
      <c r="H90" s="19" t="s">
        <v>212</v>
      </c>
      <c r="I90" s="17" t="s">
        <v>207</v>
      </c>
      <c r="J90" s="17" t="s">
        <v>208</v>
      </c>
      <c r="K90" s="17">
        <v>3070102</v>
      </c>
      <c r="L90" s="17" t="s">
        <v>37</v>
      </c>
      <c r="M90" s="17">
        <v>3570001</v>
      </c>
    </row>
    <row r="91" ht="15" spans="1:13">
      <c r="A91" s="17">
        <v>4010304</v>
      </c>
      <c r="B91" s="17">
        <v>401</v>
      </c>
      <c r="C91" s="17">
        <v>3</v>
      </c>
      <c r="D91" s="17">
        <v>4</v>
      </c>
      <c r="E91" s="16" t="s">
        <v>213</v>
      </c>
      <c r="F91" s="17">
        <v>1</v>
      </c>
      <c r="G91" s="17">
        <v>100</v>
      </c>
      <c r="H91" s="19" t="s">
        <v>214</v>
      </c>
      <c r="I91" s="17" t="s">
        <v>207</v>
      </c>
      <c r="J91" s="17" t="s">
        <v>208</v>
      </c>
      <c r="K91" s="17">
        <v>3070102</v>
      </c>
      <c r="L91" s="17" t="s">
        <v>37</v>
      </c>
      <c r="M91" s="17">
        <v>3570001</v>
      </c>
    </row>
    <row r="92" ht="15" spans="1:13">
      <c r="A92" s="17">
        <v>4010305</v>
      </c>
      <c r="B92" s="17">
        <v>401</v>
      </c>
      <c r="C92" s="17">
        <v>3</v>
      </c>
      <c r="D92" s="17">
        <v>5</v>
      </c>
      <c r="E92" s="16" t="s">
        <v>215</v>
      </c>
      <c r="F92" s="17">
        <v>1</v>
      </c>
      <c r="G92" s="17">
        <v>100</v>
      </c>
      <c r="H92" s="19" t="s">
        <v>216</v>
      </c>
      <c r="I92" s="17" t="s">
        <v>207</v>
      </c>
      <c r="J92" s="17" t="s">
        <v>208</v>
      </c>
      <c r="K92" s="17">
        <v>3070102</v>
      </c>
      <c r="L92" s="17" t="s">
        <v>37</v>
      </c>
      <c r="M92" s="17">
        <v>3570001</v>
      </c>
    </row>
    <row r="93" ht="15" spans="1:13">
      <c r="A93" s="17">
        <v>4010401</v>
      </c>
      <c r="B93" s="17">
        <v>401</v>
      </c>
      <c r="C93" s="17">
        <v>4</v>
      </c>
      <c r="D93" s="17">
        <v>1</v>
      </c>
      <c r="E93" s="16" t="s">
        <v>205</v>
      </c>
      <c r="F93" s="17">
        <v>1</v>
      </c>
      <c r="G93" s="17">
        <v>100</v>
      </c>
      <c r="H93" s="19" t="s">
        <v>217</v>
      </c>
      <c r="I93" s="17" t="s">
        <v>218</v>
      </c>
      <c r="J93" s="17" t="s">
        <v>219</v>
      </c>
      <c r="K93" s="17">
        <v>3070301</v>
      </c>
      <c r="L93" s="17" t="s">
        <v>37</v>
      </c>
      <c r="M93" s="17">
        <v>3570001</v>
      </c>
    </row>
    <row r="94" ht="15" spans="1:13">
      <c r="A94" s="17">
        <v>4010402</v>
      </c>
      <c r="B94" s="17">
        <v>401</v>
      </c>
      <c r="C94" s="17">
        <v>4</v>
      </c>
      <c r="D94" s="17">
        <v>2</v>
      </c>
      <c r="E94" s="16" t="s">
        <v>220</v>
      </c>
      <c r="F94" s="17">
        <v>1</v>
      </c>
      <c r="G94" s="17">
        <v>100</v>
      </c>
      <c r="H94" s="19" t="s">
        <v>221</v>
      </c>
      <c r="I94" s="17" t="s">
        <v>218</v>
      </c>
      <c r="J94" s="17" t="s">
        <v>219</v>
      </c>
      <c r="K94" s="17">
        <v>3070301</v>
      </c>
      <c r="L94" s="17" t="s">
        <v>37</v>
      </c>
      <c r="M94" s="17">
        <v>3570001</v>
      </c>
    </row>
    <row r="95" ht="15" spans="1:13">
      <c r="A95" s="17">
        <v>4010403</v>
      </c>
      <c r="B95" s="17">
        <v>401</v>
      </c>
      <c r="C95" s="17">
        <v>4</v>
      </c>
      <c r="D95" s="17">
        <v>3</v>
      </c>
      <c r="E95" s="16" t="s">
        <v>222</v>
      </c>
      <c r="F95" s="17">
        <v>1</v>
      </c>
      <c r="G95" s="17">
        <v>100</v>
      </c>
      <c r="H95" s="19" t="s">
        <v>223</v>
      </c>
      <c r="I95" s="17" t="s">
        <v>218</v>
      </c>
      <c r="J95" s="17" t="s">
        <v>219</v>
      </c>
      <c r="K95" s="17">
        <v>3070301</v>
      </c>
      <c r="L95" s="17" t="s">
        <v>37</v>
      </c>
      <c r="M95" s="17">
        <v>3570001</v>
      </c>
    </row>
    <row r="96" ht="15" spans="1:13">
      <c r="A96" s="17">
        <v>4010404</v>
      </c>
      <c r="B96" s="17">
        <v>401</v>
      </c>
      <c r="C96" s="17">
        <v>4</v>
      </c>
      <c r="D96" s="17">
        <v>4</v>
      </c>
      <c r="E96" s="16" t="s">
        <v>224</v>
      </c>
      <c r="F96" s="17">
        <v>1</v>
      </c>
      <c r="G96" s="17">
        <v>100</v>
      </c>
      <c r="H96" s="19" t="s">
        <v>225</v>
      </c>
      <c r="I96" s="17" t="s">
        <v>218</v>
      </c>
      <c r="J96" s="17" t="s">
        <v>219</v>
      </c>
      <c r="K96" s="17">
        <v>3070301</v>
      </c>
      <c r="L96" s="17" t="s">
        <v>37</v>
      </c>
      <c r="M96" s="17">
        <v>3570001</v>
      </c>
    </row>
    <row r="97" ht="15" spans="1:13">
      <c r="A97" s="17">
        <v>4010405</v>
      </c>
      <c r="B97" s="17">
        <v>401</v>
      </c>
      <c r="C97" s="17">
        <v>4</v>
      </c>
      <c r="D97" s="17">
        <v>5</v>
      </c>
      <c r="E97" s="16" t="s">
        <v>226</v>
      </c>
      <c r="F97" s="17">
        <v>1</v>
      </c>
      <c r="G97" s="17">
        <v>100</v>
      </c>
      <c r="H97" s="19" t="s">
        <v>227</v>
      </c>
      <c r="I97" s="17" t="s">
        <v>218</v>
      </c>
      <c r="J97" s="17" t="s">
        <v>219</v>
      </c>
      <c r="K97" s="17">
        <v>3070301</v>
      </c>
      <c r="L97" s="17" t="s">
        <v>37</v>
      </c>
      <c r="M97" s="17">
        <v>3570001</v>
      </c>
    </row>
    <row r="98" ht="15" spans="1:13">
      <c r="A98" s="17">
        <v>5010101</v>
      </c>
      <c r="B98" s="17">
        <v>501</v>
      </c>
      <c r="C98" s="17">
        <v>1</v>
      </c>
      <c r="D98" s="17">
        <v>1</v>
      </c>
      <c r="E98" s="16" t="s">
        <v>33</v>
      </c>
      <c r="F98" s="17">
        <v>1</v>
      </c>
      <c r="G98" s="17">
        <v>100</v>
      </c>
      <c r="H98" s="19" t="s">
        <v>228</v>
      </c>
      <c r="I98" s="17" t="s">
        <v>229</v>
      </c>
      <c r="J98" s="17" t="s">
        <v>230</v>
      </c>
      <c r="K98" s="17">
        <v>3080001</v>
      </c>
      <c r="L98" s="17" t="s">
        <v>37</v>
      </c>
      <c r="M98" s="17">
        <v>3580001</v>
      </c>
    </row>
    <row r="99" ht="15" spans="1:13">
      <c r="A99" s="17">
        <v>5010102</v>
      </c>
      <c r="B99" s="17">
        <v>501</v>
      </c>
      <c r="C99" s="17">
        <v>1</v>
      </c>
      <c r="D99" s="17">
        <v>2</v>
      </c>
      <c r="E99" s="16" t="s">
        <v>231</v>
      </c>
      <c r="F99" s="17">
        <v>1</v>
      </c>
      <c r="G99" s="17">
        <v>100</v>
      </c>
      <c r="H99" s="19" t="s">
        <v>232</v>
      </c>
      <c r="I99" s="17" t="s">
        <v>229</v>
      </c>
      <c r="J99" s="17" t="s">
        <v>230</v>
      </c>
      <c r="K99" s="17">
        <v>3080001</v>
      </c>
      <c r="L99" s="17" t="s">
        <v>37</v>
      </c>
      <c r="M99" s="17">
        <v>3580001</v>
      </c>
    </row>
    <row r="100" ht="15" spans="1:13">
      <c r="A100" s="17">
        <v>5010103</v>
      </c>
      <c r="B100" s="17">
        <v>501</v>
      </c>
      <c r="C100" s="17">
        <v>1</v>
      </c>
      <c r="D100" s="17">
        <v>3</v>
      </c>
      <c r="E100" s="16" t="s">
        <v>233</v>
      </c>
      <c r="F100" s="17">
        <v>1</v>
      </c>
      <c r="G100" s="17">
        <v>100</v>
      </c>
      <c r="H100" s="19" t="s">
        <v>234</v>
      </c>
      <c r="I100" s="17" t="s">
        <v>229</v>
      </c>
      <c r="J100" s="17" t="s">
        <v>230</v>
      </c>
      <c r="K100" s="17">
        <v>3080001</v>
      </c>
      <c r="L100" s="17" t="s">
        <v>37</v>
      </c>
      <c r="M100" s="17">
        <v>3580001</v>
      </c>
    </row>
    <row r="101" ht="15" spans="1:13">
      <c r="A101" s="17">
        <v>5010104</v>
      </c>
      <c r="B101" s="17">
        <v>501</v>
      </c>
      <c r="C101" s="17">
        <v>1</v>
      </c>
      <c r="D101" s="17">
        <v>4</v>
      </c>
      <c r="E101" s="16" t="s">
        <v>235</v>
      </c>
      <c r="F101" s="17">
        <v>1</v>
      </c>
      <c r="G101" s="17">
        <v>100</v>
      </c>
      <c r="H101" s="19" t="s">
        <v>236</v>
      </c>
      <c r="I101" s="17" t="s">
        <v>229</v>
      </c>
      <c r="J101" s="17" t="s">
        <v>230</v>
      </c>
      <c r="K101" s="17">
        <v>3080001</v>
      </c>
      <c r="L101" s="17" t="s">
        <v>37</v>
      </c>
      <c r="M101" s="17">
        <v>3580001</v>
      </c>
    </row>
    <row r="102" ht="15" spans="1:13">
      <c r="A102" s="17">
        <v>5010105</v>
      </c>
      <c r="B102" s="17">
        <v>501</v>
      </c>
      <c r="C102" s="17">
        <v>1</v>
      </c>
      <c r="D102" s="17">
        <v>5</v>
      </c>
      <c r="E102" s="16" t="s">
        <v>237</v>
      </c>
      <c r="F102" s="17">
        <v>1</v>
      </c>
      <c r="G102" s="17">
        <v>100</v>
      </c>
      <c r="H102" s="19" t="s">
        <v>238</v>
      </c>
      <c r="I102" s="17" t="s">
        <v>229</v>
      </c>
      <c r="J102" s="17" t="s">
        <v>230</v>
      </c>
      <c r="K102" s="17">
        <v>3080001</v>
      </c>
      <c r="L102" s="17" t="s">
        <v>37</v>
      </c>
      <c r="M102" s="17">
        <v>3580001</v>
      </c>
    </row>
    <row r="103" ht="15" spans="1:13">
      <c r="A103" s="17">
        <v>5010301</v>
      </c>
      <c r="B103" s="17">
        <v>501</v>
      </c>
      <c r="C103" s="17">
        <v>3</v>
      </c>
      <c r="D103" s="17">
        <v>1</v>
      </c>
      <c r="E103" s="16" t="s">
        <v>239</v>
      </c>
      <c r="F103" s="17">
        <v>1</v>
      </c>
      <c r="G103" s="17">
        <v>100</v>
      </c>
      <c r="H103" s="19" t="s">
        <v>240</v>
      </c>
      <c r="I103" s="17" t="s">
        <v>241</v>
      </c>
      <c r="J103" s="17" t="s">
        <v>242</v>
      </c>
      <c r="K103" s="17">
        <v>3080102</v>
      </c>
      <c r="L103" s="17" t="s">
        <v>37</v>
      </c>
      <c r="M103" s="17">
        <v>3580001</v>
      </c>
    </row>
    <row r="104" ht="15" spans="1:13">
      <c r="A104" s="17">
        <v>5010302</v>
      </c>
      <c r="B104" s="17">
        <v>501</v>
      </c>
      <c r="C104" s="17">
        <v>3</v>
      </c>
      <c r="D104" s="17">
        <v>2</v>
      </c>
      <c r="E104" s="16" t="s">
        <v>243</v>
      </c>
      <c r="F104" s="17">
        <v>1</v>
      </c>
      <c r="G104" s="17">
        <v>100</v>
      </c>
      <c r="H104" s="19" t="s">
        <v>244</v>
      </c>
      <c r="I104" s="17" t="s">
        <v>241</v>
      </c>
      <c r="J104" s="17" t="s">
        <v>242</v>
      </c>
      <c r="K104" s="17">
        <v>3080102</v>
      </c>
      <c r="L104" s="17" t="s">
        <v>37</v>
      </c>
      <c r="M104" s="17">
        <v>3580001</v>
      </c>
    </row>
    <row r="105" ht="15" spans="1:13">
      <c r="A105" s="17">
        <v>5010303</v>
      </c>
      <c r="B105" s="17">
        <v>501</v>
      </c>
      <c r="C105" s="17">
        <v>3</v>
      </c>
      <c r="D105" s="17">
        <v>3</v>
      </c>
      <c r="E105" s="16" t="s">
        <v>245</v>
      </c>
      <c r="F105" s="17">
        <v>1</v>
      </c>
      <c r="G105" s="17">
        <v>100</v>
      </c>
      <c r="H105" s="19" t="s">
        <v>246</v>
      </c>
      <c r="I105" s="17" t="s">
        <v>241</v>
      </c>
      <c r="J105" s="17" t="s">
        <v>242</v>
      </c>
      <c r="K105" s="17">
        <v>3080102</v>
      </c>
      <c r="L105" s="17" t="s">
        <v>37</v>
      </c>
      <c r="M105" s="17">
        <v>3580001</v>
      </c>
    </row>
    <row r="106" ht="15" spans="1:13">
      <c r="A106" s="17">
        <v>5010304</v>
      </c>
      <c r="B106" s="17">
        <v>501</v>
      </c>
      <c r="C106" s="17">
        <v>3</v>
      </c>
      <c r="D106" s="17">
        <v>4</v>
      </c>
      <c r="E106" s="16" t="s">
        <v>247</v>
      </c>
      <c r="F106" s="17">
        <v>1</v>
      </c>
      <c r="G106" s="17">
        <v>100</v>
      </c>
      <c r="H106" s="19" t="s">
        <v>248</v>
      </c>
      <c r="I106" s="17" t="s">
        <v>241</v>
      </c>
      <c r="J106" s="17" t="s">
        <v>242</v>
      </c>
      <c r="K106" s="17">
        <v>3080102</v>
      </c>
      <c r="L106" s="17" t="s">
        <v>37</v>
      </c>
      <c r="M106" s="17">
        <v>3580001</v>
      </c>
    </row>
    <row r="107" ht="15" spans="1:13">
      <c r="A107" s="17">
        <v>5010305</v>
      </c>
      <c r="B107" s="17">
        <v>501</v>
      </c>
      <c r="C107" s="17">
        <v>3</v>
      </c>
      <c r="D107" s="17">
        <v>5</v>
      </c>
      <c r="E107" s="16" t="s">
        <v>249</v>
      </c>
      <c r="F107" s="17">
        <v>1</v>
      </c>
      <c r="G107" s="17">
        <v>100</v>
      </c>
      <c r="H107" s="19" t="s">
        <v>250</v>
      </c>
      <c r="I107" s="17" t="s">
        <v>241</v>
      </c>
      <c r="J107" s="17" t="s">
        <v>242</v>
      </c>
      <c r="K107" s="17">
        <v>3080102</v>
      </c>
      <c r="L107" s="17" t="s">
        <v>37</v>
      </c>
      <c r="M107" s="17">
        <v>3580001</v>
      </c>
    </row>
    <row r="108" ht="15" spans="1:13">
      <c r="A108" s="17">
        <v>5010401</v>
      </c>
      <c r="B108" s="17">
        <v>501</v>
      </c>
      <c r="C108" s="17">
        <v>4</v>
      </c>
      <c r="D108" s="17">
        <v>1</v>
      </c>
      <c r="E108" s="16" t="s">
        <v>239</v>
      </c>
      <c r="F108" s="17">
        <v>1</v>
      </c>
      <c r="G108" s="17">
        <v>100</v>
      </c>
      <c r="H108" s="19" t="s">
        <v>251</v>
      </c>
      <c r="I108" s="17" t="s">
        <v>252</v>
      </c>
      <c r="J108" s="17" t="s">
        <v>253</v>
      </c>
      <c r="K108" s="17">
        <v>3080301</v>
      </c>
      <c r="L108" s="17" t="s">
        <v>37</v>
      </c>
      <c r="M108" s="17">
        <v>3580001</v>
      </c>
    </row>
    <row r="109" ht="15" spans="1:13">
      <c r="A109" s="17">
        <v>5010402</v>
      </c>
      <c r="B109" s="17">
        <v>501</v>
      </c>
      <c r="C109" s="17">
        <v>4</v>
      </c>
      <c r="D109" s="17">
        <v>2</v>
      </c>
      <c r="E109" s="16" t="s">
        <v>254</v>
      </c>
      <c r="F109" s="17">
        <v>1</v>
      </c>
      <c r="G109" s="17">
        <v>100</v>
      </c>
      <c r="H109" s="19" t="s">
        <v>255</v>
      </c>
      <c r="I109" s="17" t="s">
        <v>252</v>
      </c>
      <c r="J109" s="17" t="s">
        <v>253</v>
      </c>
      <c r="K109" s="17">
        <v>3080301</v>
      </c>
      <c r="L109" s="17" t="s">
        <v>37</v>
      </c>
      <c r="M109" s="17">
        <v>3580001</v>
      </c>
    </row>
    <row r="110" ht="15" spans="1:13">
      <c r="A110" s="17">
        <v>5010403</v>
      </c>
      <c r="B110" s="17">
        <v>501</v>
      </c>
      <c r="C110" s="17">
        <v>4</v>
      </c>
      <c r="D110" s="17">
        <v>3</v>
      </c>
      <c r="E110" s="16" t="s">
        <v>256</v>
      </c>
      <c r="F110" s="17">
        <v>1</v>
      </c>
      <c r="G110" s="17">
        <v>100</v>
      </c>
      <c r="H110" s="19" t="s">
        <v>257</v>
      </c>
      <c r="I110" s="17" t="s">
        <v>252</v>
      </c>
      <c r="J110" s="17" t="s">
        <v>253</v>
      </c>
      <c r="K110" s="17">
        <v>3080301</v>
      </c>
      <c r="L110" s="17" t="s">
        <v>37</v>
      </c>
      <c r="M110" s="17">
        <v>3580001</v>
      </c>
    </row>
    <row r="111" ht="15" spans="1:13">
      <c r="A111" s="17">
        <v>5010404</v>
      </c>
      <c r="B111" s="17">
        <v>501</v>
      </c>
      <c r="C111" s="17">
        <v>4</v>
      </c>
      <c r="D111" s="17">
        <v>4</v>
      </c>
      <c r="E111" s="16" t="s">
        <v>258</v>
      </c>
      <c r="F111" s="17">
        <v>1</v>
      </c>
      <c r="G111" s="17">
        <v>100</v>
      </c>
      <c r="H111" s="19" t="s">
        <v>259</v>
      </c>
      <c r="I111" s="17" t="s">
        <v>252</v>
      </c>
      <c r="J111" s="17" t="s">
        <v>253</v>
      </c>
      <c r="K111" s="17">
        <v>3080301</v>
      </c>
      <c r="L111" s="17" t="s">
        <v>37</v>
      </c>
      <c r="M111" s="17">
        <v>3580001</v>
      </c>
    </row>
    <row r="112" ht="15" spans="1:13">
      <c r="A112" s="17">
        <v>5010405</v>
      </c>
      <c r="B112" s="17">
        <v>501</v>
      </c>
      <c r="C112" s="17">
        <v>4</v>
      </c>
      <c r="D112" s="17">
        <v>5</v>
      </c>
      <c r="E112" s="16" t="s">
        <v>260</v>
      </c>
      <c r="F112" s="17">
        <v>1</v>
      </c>
      <c r="G112" s="17">
        <v>100</v>
      </c>
      <c r="H112" s="19" t="s">
        <v>261</v>
      </c>
      <c r="I112" s="17" t="s">
        <v>252</v>
      </c>
      <c r="J112" s="17" t="s">
        <v>253</v>
      </c>
      <c r="K112" s="17">
        <v>3080301</v>
      </c>
      <c r="L112" s="17" t="s">
        <v>37</v>
      </c>
      <c r="M112" s="17">
        <v>3580001</v>
      </c>
    </row>
    <row r="113" spans="1:13">
      <c r="A113" s="20">
        <v>900010101</v>
      </c>
      <c r="B113" s="20">
        <v>90001</v>
      </c>
      <c r="C113" s="20">
        <v>1</v>
      </c>
      <c r="D113" s="20">
        <v>1</v>
      </c>
      <c r="E113" s="21" t="s">
        <v>33</v>
      </c>
      <c r="F113" s="20">
        <v>1</v>
      </c>
      <c r="G113" s="20">
        <v>500</v>
      </c>
      <c r="H113" s="20" t="s">
        <v>87</v>
      </c>
      <c r="I113" s="20" t="s">
        <v>35</v>
      </c>
      <c r="J113" s="20" t="s">
        <v>36</v>
      </c>
      <c r="K113" s="20">
        <v>3040102</v>
      </c>
      <c r="L113" s="20" t="s">
        <v>37</v>
      </c>
      <c r="M113" s="20">
        <v>3550001</v>
      </c>
    </row>
    <row r="114" spans="1:13">
      <c r="A114" s="20">
        <v>900010202</v>
      </c>
      <c r="B114" s="20">
        <v>90001</v>
      </c>
      <c r="C114" s="20">
        <v>2</v>
      </c>
      <c r="D114" s="20">
        <v>2</v>
      </c>
      <c r="E114" s="21">
        <v>900010202</v>
      </c>
      <c r="F114" s="20">
        <v>1</v>
      </c>
      <c r="G114" s="20">
        <v>500</v>
      </c>
      <c r="H114" s="20" t="s">
        <v>39</v>
      </c>
      <c r="I114" s="20" t="s">
        <v>35</v>
      </c>
      <c r="J114" s="20" t="s">
        <v>36</v>
      </c>
      <c r="K114" s="20">
        <v>3040102</v>
      </c>
      <c r="L114" s="20" t="s">
        <v>37</v>
      </c>
      <c r="M114" s="20">
        <v>3550002</v>
      </c>
    </row>
    <row r="115" spans="1:13">
      <c r="A115" s="20">
        <v>900010302</v>
      </c>
      <c r="B115" s="20">
        <v>90001</v>
      </c>
      <c r="C115" s="20">
        <v>3</v>
      </c>
      <c r="D115" s="20">
        <v>2</v>
      </c>
      <c r="E115" s="21">
        <v>900010302</v>
      </c>
      <c r="F115" s="20">
        <v>1</v>
      </c>
      <c r="G115" s="20">
        <v>500</v>
      </c>
      <c r="H115" s="20" t="s">
        <v>262</v>
      </c>
      <c r="I115" s="20" t="s">
        <v>35</v>
      </c>
      <c r="J115" s="20" t="s">
        <v>36</v>
      </c>
      <c r="K115" s="20">
        <v>3040102</v>
      </c>
      <c r="L115" s="20" t="s">
        <v>37</v>
      </c>
      <c r="M115" s="20">
        <v>3550003</v>
      </c>
    </row>
    <row r="116" spans="1:13">
      <c r="A116" s="20">
        <v>900010403</v>
      </c>
      <c r="B116" s="20">
        <v>90001</v>
      </c>
      <c r="C116" s="20">
        <v>4</v>
      </c>
      <c r="D116" s="20">
        <v>3</v>
      </c>
      <c r="E116" s="21">
        <v>900010403</v>
      </c>
      <c r="F116" s="20">
        <v>1</v>
      </c>
      <c r="G116" s="20">
        <v>500</v>
      </c>
      <c r="H116" s="20" t="s">
        <v>41</v>
      </c>
      <c r="I116" s="20" t="s">
        <v>35</v>
      </c>
      <c r="J116" s="20" t="s">
        <v>36</v>
      </c>
      <c r="K116" s="20">
        <v>3040102</v>
      </c>
      <c r="L116" s="20" t="s">
        <v>37</v>
      </c>
      <c r="M116" s="20">
        <v>3550002</v>
      </c>
    </row>
    <row r="117" spans="1:13">
      <c r="A117" s="20">
        <v>900010503</v>
      </c>
      <c r="B117" s="20">
        <v>90001</v>
      </c>
      <c r="C117" s="20">
        <v>5</v>
      </c>
      <c r="D117" s="20">
        <v>3</v>
      </c>
      <c r="E117" s="21">
        <v>900010503</v>
      </c>
      <c r="F117" s="20">
        <v>1</v>
      </c>
      <c r="G117" s="20">
        <v>500</v>
      </c>
      <c r="H117" s="20" t="s">
        <v>263</v>
      </c>
      <c r="I117" s="20" t="s">
        <v>35</v>
      </c>
      <c r="J117" s="20" t="s">
        <v>36</v>
      </c>
      <c r="K117" s="20">
        <v>3040102</v>
      </c>
      <c r="L117" s="20" t="s">
        <v>37</v>
      </c>
      <c r="M117" s="20">
        <v>3550003</v>
      </c>
    </row>
    <row r="118" spans="1:13">
      <c r="A118" s="20">
        <v>900010604</v>
      </c>
      <c r="B118" s="20">
        <v>90001</v>
      </c>
      <c r="C118" s="20">
        <v>6</v>
      </c>
      <c r="D118" s="20">
        <v>4</v>
      </c>
      <c r="E118" s="21">
        <v>900010604</v>
      </c>
      <c r="F118" s="20">
        <v>1</v>
      </c>
      <c r="G118" s="20">
        <v>500</v>
      </c>
      <c r="H118" s="20" t="s">
        <v>264</v>
      </c>
      <c r="I118" s="20" t="s">
        <v>35</v>
      </c>
      <c r="J118" s="20" t="s">
        <v>36</v>
      </c>
      <c r="K118" s="20">
        <v>3040102</v>
      </c>
      <c r="L118" s="20" t="s">
        <v>37</v>
      </c>
      <c r="M118" s="20">
        <v>3550002</v>
      </c>
    </row>
    <row r="119" spans="1:13">
      <c r="A119" s="20">
        <v>900010704</v>
      </c>
      <c r="B119" s="20">
        <v>90001</v>
      </c>
      <c r="C119" s="20">
        <v>7</v>
      </c>
      <c r="D119" s="20">
        <v>4</v>
      </c>
      <c r="E119" s="21">
        <v>900010704</v>
      </c>
      <c r="F119" s="20">
        <v>1</v>
      </c>
      <c r="G119" s="20">
        <v>500</v>
      </c>
      <c r="H119" s="20" t="s">
        <v>43</v>
      </c>
      <c r="I119" s="20" t="s">
        <v>35</v>
      </c>
      <c r="J119" s="20" t="s">
        <v>36</v>
      </c>
      <c r="K119" s="20">
        <v>3040102</v>
      </c>
      <c r="L119" s="20" t="s">
        <v>37</v>
      </c>
      <c r="M119" s="20">
        <v>3550003</v>
      </c>
    </row>
    <row r="120" spans="1:13">
      <c r="A120" s="20">
        <v>900010805</v>
      </c>
      <c r="B120" s="20">
        <v>90001</v>
      </c>
      <c r="C120" s="20">
        <v>8</v>
      </c>
      <c r="D120" s="20">
        <v>5</v>
      </c>
      <c r="E120" s="21">
        <v>900010805</v>
      </c>
      <c r="F120" s="20">
        <v>20</v>
      </c>
      <c r="G120" s="20">
        <v>500</v>
      </c>
      <c r="H120" s="20" t="s">
        <v>95</v>
      </c>
      <c r="I120" s="20" t="s">
        <v>35</v>
      </c>
      <c r="J120" s="20" t="s">
        <v>36</v>
      </c>
      <c r="K120" s="20">
        <v>3040102</v>
      </c>
      <c r="L120" s="20" t="s">
        <v>37</v>
      </c>
      <c r="M120" s="20">
        <v>3550002</v>
      </c>
    </row>
    <row r="121" spans="1:13">
      <c r="A121" s="22">
        <v>901010101</v>
      </c>
      <c r="B121" s="22">
        <v>90101</v>
      </c>
      <c r="C121" s="22">
        <v>1</v>
      </c>
      <c r="D121" s="22">
        <v>1</v>
      </c>
      <c r="E121" s="23" t="s">
        <v>33</v>
      </c>
      <c r="F121" s="22">
        <v>1</v>
      </c>
      <c r="G121" s="22">
        <v>500</v>
      </c>
      <c r="H121" s="22" t="s">
        <v>265</v>
      </c>
      <c r="I121" s="22" t="s">
        <v>266</v>
      </c>
      <c r="J121" s="22" t="s">
        <v>267</v>
      </c>
      <c r="K121" s="22">
        <v>3060001</v>
      </c>
      <c r="L121" s="22" t="s">
        <v>37</v>
      </c>
      <c r="M121" s="22">
        <v>3560001</v>
      </c>
    </row>
    <row r="122" spans="1:13">
      <c r="A122" s="22">
        <v>901010202</v>
      </c>
      <c r="B122" s="22">
        <v>90101</v>
      </c>
      <c r="C122" s="22">
        <v>2</v>
      </c>
      <c r="D122" s="22">
        <v>2</v>
      </c>
      <c r="E122" s="23">
        <v>901010202</v>
      </c>
      <c r="F122" s="22">
        <v>1</v>
      </c>
      <c r="G122" s="22">
        <v>500</v>
      </c>
      <c r="H122" s="22" t="s">
        <v>268</v>
      </c>
      <c r="I122" s="22" t="s">
        <v>269</v>
      </c>
      <c r="J122" s="22" t="s">
        <v>270</v>
      </c>
      <c r="K122" s="22">
        <v>3060102</v>
      </c>
      <c r="L122" s="22" t="s">
        <v>37</v>
      </c>
      <c r="M122" s="22">
        <v>3560002</v>
      </c>
    </row>
    <row r="123" spans="1:13">
      <c r="A123" s="22">
        <v>901010302</v>
      </c>
      <c r="B123" s="22">
        <v>90101</v>
      </c>
      <c r="C123" s="22">
        <v>3</v>
      </c>
      <c r="D123" s="22">
        <v>2</v>
      </c>
      <c r="E123" s="23">
        <v>901010302</v>
      </c>
      <c r="F123" s="22">
        <v>1</v>
      </c>
      <c r="G123" s="22">
        <v>500</v>
      </c>
      <c r="H123" s="22" t="s">
        <v>182</v>
      </c>
      <c r="I123" s="22" t="s">
        <v>271</v>
      </c>
      <c r="J123" s="22" t="s">
        <v>272</v>
      </c>
      <c r="K123" s="22"/>
      <c r="L123" s="22" t="s">
        <v>37</v>
      </c>
      <c r="M123" s="22">
        <v>3560003</v>
      </c>
    </row>
    <row r="124" spans="1:13">
      <c r="A124" s="22">
        <v>901010403</v>
      </c>
      <c r="B124" s="22">
        <v>90101</v>
      </c>
      <c r="C124" s="22">
        <v>4</v>
      </c>
      <c r="D124" s="22">
        <v>3</v>
      </c>
      <c r="E124" s="23">
        <v>901010403</v>
      </c>
      <c r="F124" s="22">
        <v>1</v>
      </c>
      <c r="G124" s="22">
        <v>500</v>
      </c>
      <c r="H124" s="22" t="s">
        <v>273</v>
      </c>
      <c r="I124" s="22" t="s">
        <v>274</v>
      </c>
      <c r="J124" s="22" t="s">
        <v>275</v>
      </c>
      <c r="K124" s="42" t="s">
        <v>276</v>
      </c>
      <c r="L124" s="22" t="s">
        <v>37</v>
      </c>
      <c r="M124" s="22">
        <v>3560002</v>
      </c>
    </row>
    <row r="125" spans="1:13">
      <c r="A125" s="22">
        <v>901010503</v>
      </c>
      <c r="B125" s="22">
        <v>90101</v>
      </c>
      <c r="C125" s="22">
        <v>5</v>
      </c>
      <c r="D125" s="22">
        <v>3</v>
      </c>
      <c r="E125" s="23">
        <v>901010503</v>
      </c>
      <c r="F125" s="22">
        <v>1</v>
      </c>
      <c r="G125" s="22">
        <v>500</v>
      </c>
      <c r="H125" s="22" t="s">
        <v>277</v>
      </c>
      <c r="I125" s="22" t="s">
        <v>278</v>
      </c>
      <c r="J125" s="22" t="s">
        <v>279</v>
      </c>
      <c r="K125" s="22"/>
      <c r="L125" s="22" t="s">
        <v>37</v>
      </c>
      <c r="M125" s="22">
        <v>3560003</v>
      </c>
    </row>
    <row r="126" spans="1:13">
      <c r="A126" s="22">
        <v>901010604</v>
      </c>
      <c r="B126" s="22">
        <v>90101</v>
      </c>
      <c r="C126" s="22">
        <v>6</v>
      </c>
      <c r="D126" s="22">
        <v>4</v>
      </c>
      <c r="E126" s="23">
        <v>901010604</v>
      </c>
      <c r="F126" s="22">
        <v>1</v>
      </c>
      <c r="G126" s="22">
        <v>500</v>
      </c>
      <c r="H126" s="22" t="s">
        <v>280</v>
      </c>
      <c r="I126" s="22" t="s">
        <v>281</v>
      </c>
      <c r="J126" s="22" t="s">
        <v>282</v>
      </c>
      <c r="K126" s="22">
        <v>3060102</v>
      </c>
      <c r="L126" s="22" t="s">
        <v>37</v>
      </c>
      <c r="M126" s="22">
        <v>3560002</v>
      </c>
    </row>
    <row r="127" spans="1:13">
      <c r="A127" s="22">
        <v>901010704</v>
      </c>
      <c r="B127" s="22">
        <v>90101</v>
      </c>
      <c r="C127" s="22">
        <v>7</v>
      </c>
      <c r="D127" s="22">
        <v>4</v>
      </c>
      <c r="E127" s="23">
        <v>901010704</v>
      </c>
      <c r="F127" s="22">
        <v>1</v>
      </c>
      <c r="G127" s="22">
        <v>500</v>
      </c>
      <c r="H127" s="22" t="s">
        <v>283</v>
      </c>
      <c r="I127" s="22" t="s">
        <v>284</v>
      </c>
      <c r="J127" s="22" t="s">
        <v>285</v>
      </c>
      <c r="K127" s="22">
        <v>3060102</v>
      </c>
      <c r="L127" s="22" t="s">
        <v>37</v>
      </c>
      <c r="M127" s="22">
        <v>3560003</v>
      </c>
    </row>
    <row r="128" spans="1:13">
      <c r="A128" s="22">
        <v>901010805</v>
      </c>
      <c r="B128" s="22">
        <v>90101</v>
      </c>
      <c r="C128" s="22">
        <v>8</v>
      </c>
      <c r="D128" s="22">
        <v>5</v>
      </c>
      <c r="E128" s="23">
        <v>901010805</v>
      </c>
      <c r="F128" s="22">
        <v>30</v>
      </c>
      <c r="G128" s="22">
        <v>500</v>
      </c>
      <c r="H128" s="22" t="s">
        <v>286</v>
      </c>
      <c r="I128" s="22" t="s">
        <v>287</v>
      </c>
      <c r="J128" s="22" t="s">
        <v>288</v>
      </c>
      <c r="K128" s="24"/>
      <c r="L128" s="22" t="s">
        <v>37</v>
      </c>
      <c r="M128" s="22">
        <v>3560004</v>
      </c>
    </row>
    <row r="129" spans="1:13">
      <c r="A129" s="25">
        <v>902010101</v>
      </c>
      <c r="B129" s="25">
        <v>90201</v>
      </c>
      <c r="C129" s="25">
        <v>1</v>
      </c>
      <c r="D129" s="25">
        <v>1</v>
      </c>
      <c r="E129" s="26" t="s">
        <v>33</v>
      </c>
      <c r="F129" s="25">
        <v>1</v>
      </c>
      <c r="G129" s="25">
        <v>500</v>
      </c>
      <c r="H129" s="25" t="s">
        <v>289</v>
      </c>
      <c r="I129" s="25" t="s">
        <v>290</v>
      </c>
      <c r="J129" s="25" t="s">
        <v>291</v>
      </c>
      <c r="K129" s="25">
        <v>3070001</v>
      </c>
      <c r="L129" s="25" t="s">
        <v>37</v>
      </c>
      <c r="M129" s="25">
        <v>3570001</v>
      </c>
    </row>
    <row r="130" spans="1:13">
      <c r="A130" s="25">
        <v>902010202</v>
      </c>
      <c r="B130" s="25">
        <v>90201</v>
      </c>
      <c r="C130" s="25">
        <v>2</v>
      </c>
      <c r="D130" s="25">
        <v>2</v>
      </c>
      <c r="E130" s="26">
        <v>902010202</v>
      </c>
      <c r="F130" s="25">
        <v>1</v>
      </c>
      <c r="G130" s="25">
        <v>500</v>
      </c>
      <c r="H130" s="25" t="s">
        <v>214</v>
      </c>
      <c r="I130" s="25" t="s">
        <v>292</v>
      </c>
      <c r="J130" s="25" t="s">
        <v>293</v>
      </c>
      <c r="K130" s="43" t="s">
        <v>294</v>
      </c>
      <c r="L130" s="25" t="s">
        <v>37</v>
      </c>
      <c r="M130" s="25">
        <v>3570002</v>
      </c>
    </row>
    <row r="131" spans="1:13">
      <c r="A131" s="25">
        <v>902010302</v>
      </c>
      <c r="B131" s="25">
        <v>90201</v>
      </c>
      <c r="C131" s="25">
        <v>3</v>
      </c>
      <c r="D131" s="25">
        <v>2</v>
      </c>
      <c r="E131" s="26">
        <v>902010302</v>
      </c>
      <c r="F131" s="25">
        <v>1</v>
      </c>
      <c r="G131" s="25">
        <v>500</v>
      </c>
      <c r="H131" s="25" t="s">
        <v>295</v>
      </c>
      <c r="I131" s="25" t="s">
        <v>296</v>
      </c>
      <c r="J131" s="25" t="s">
        <v>297</v>
      </c>
      <c r="K131" s="25"/>
      <c r="L131" s="25" t="s">
        <v>37</v>
      </c>
      <c r="M131" s="25">
        <v>3570003</v>
      </c>
    </row>
    <row r="132" spans="1:13">
      <c r="A132" s="25">
        <v>902010403</v>
      </c>
      <c r="B132" s="25">
        <v>90201</v>
      </c>
      <c r="C132" s="25">
        <v>4</v>
      </c>
      <c r="D132" s="25">
        <v>3</v>
      </c>
      <c r="E132" s="26">
        <v>902010403</v>
      </c>
      <c r="F132" s="25">
        <v>1</v>
      </c>
      <c r="G132" s="25">
        <v>500</v>
      </c>
      <c r="H132" s="25" t="s">
        <v>298</v>
      </c>
      <c r="I132" s="25" t="s">
        <v>299</v>
      </c>
      <c r="J132" s="25" t="s">
        <v>300</v>
      </c>
      <c r="K132" s="43" t="s">
        <v>294</v>
      </c>
      <c r="L132" s="25" t="s">
        <v>37</v>
      </c>
      <c r="M132" s="25">
        <v>3570002</v>
      </c>
    </row>
    <row r="133" spans="1:13">
      <c r="A133" s="25">
        <v>902010503</v>
      </c>
      <c r="B133" s="25">
        <v>90201</v>
      </c>
      <c r="C133" s="25">
        <v>5</v>
      </c>
      <c r="D133" s="25">
        <v>3</v>
      </c>
      <c r="E133" s="26">
        <v>902010503</v>
      </c>
      <c r="F133" s="25">
        <v>1</v>
      </c>
      <c r="G133" s="25">
        <v>500</v>
      </c>
      <c r="H133" s="25" t="s">
        <v>301</v>
      </c>
      <c r="I133" s="25" t="s">
        <v>302</v>
      </c>
      <c r="J133" s="25" t="s">
        <v>303</v>
      </c>
      <c r="K133" s="25"/>
      <c r="L133" s="25" t="s">
        <v>37</v>
      </c>
      <c r="M133" s="25">
        <v>3570003</v>
      </c>
    </row>
    <row r="134" spans="1:13">
      <c r="A134" s="25">
        <v>902010604</v>
      </c>
      <c r="B134" s="25">
        <v>90201</v>
      </c>
      <c r="C134" s="25">
        <v>6</v>
      </c>
      <c r="D134" s="25">
        <v>4</v>
      </c>
      <c r="E134" s="26">
        <v>902010604</v>
      </c>
      <c r="F134" s="25">
        <v>1</v>
      </c>
      <c r="G134" s="25">
        <v>500</v>
      </c>
      <c r="H134" s="25" t="s">
        <v>304</v>
      </c>
      <c r="I134" s="25" t="s">
        <v>305</v>
      </c>
      <c r="J134" s="25" t="s">
        <v>306</v>
      </c>
      <c r="K134" s="25">
        <v>3070102</v>
      </c>
      <c r="L134" s="25" t="s">
        <v>37</v>
      </c>
      <c r="M134" s="25">
        <v>3570002</v>
      </c>
    </row>
    <row r="135" spans="1:13">
      <c r="A135" s="25">
        <v>902010704</v>
      </c>
      <c r="B135" s="25">
        <v>90201</v>
      </c>
      <c r="C135" s="25">
        <v>7</v>
      </c>
      <c r="D135" s="25">
        <v>4</v>
      </c>
      <c r="E135" s="26">
        <v>902010704</v>
      </c>
      <c r="F135" s="25">
        <v>1</v>
      </c>
      <c r="G135" s="25">
        <v>500</v>
      </c>
      <c r="H135" s="25" t="s">
        <v>307</v>
      </c>
      <c r="I135" s="25" t="s">
        <v>308</v>
      </c>
      <c r="J135" s="25" t="s">
        <v>309</v>
      </c>
      <c r="K135" s="25">
        <v>3070102</v>
      </c>
      <c r="L135" s="25" t="s">
        <v>37</v>
      </c>
      <c r="M135" s="25">
        <v>3570003</v>
      </c>
    </row>
    <row r="136" spans="1:13">
      <c r="A136" s="25">
        <v>902010805</v>
      </c>
      <c r="B136" s="25">
        <v>90201</v>
      </c>
      <c r="C136" s="25">
        <v>8</v>
      </c>
      <c r="D136" s="25">
        <v>5</v>
      </c>
      <c r="E136" s="26">
        <v>902010805</v>
      </c>
      <c r="F136" s="25">
        <v>1</v>
      </c>
      <c r="G136" s="25">
        <v>500</v>
      </c>
      <c r="H136" s="25" t="s">
        <v>310</v>
      </c>
      <c r="I136" s="25" t="s">
        <v>311</v>
      </c>
      <c r="J136" s="25" t="s">
        <v>312</v>
      </c>
      <c r="K136" s="37"/>
      <c r="L136" s="25" t="s">
        <v>37</v>
      </c>
      <c r="M136" s="25">
        <v>3570001</v>
      </c>
    </row>
    <row r="137" spans="1:13">
      <c r="A137" s="27">
        <v>903010101</v>
      </c>
      <c r="B137" s="27">
        <v>90301</v>
      </c>
      <c r="C137" s="27">
        <v>1</v>
      </c>
      <c r="D137" s="27">
        <v>1</v>
      </c>
      <c r="E137" s="28" t="s">
        <v>33</v>
      </c>
      <c r="F137" s="27">
        <v>1</v>
      </c>
      <c r="G137" s="27">
        <v>500</v>
      </c>
      <c r="H137" s="27" t="s">
        <v>313</v>
      </c>
      <c r="I137" s="27" t="s">
        <v>314</v>
      </c>
      <c r="J137" s="27" t="s">
        <v>315</v>
      </c>
      <c r="K137" s="27">
        <v>3080001</v>
      </c>
      <c r="L137" s="27" t="s">
        <v>37</v>
      </c>
      <c r="M137" s="27">
        <v>3580001</v>
      </c>
    </row>
    <row r="138" spans="1:13">
      <c r="A138" s="27">
        <v>903010202</v>
      </c>
      <c r="B138" s="27">
        <v>90301</v>
      </c>
      <c r="C138" s="27">
        <v>2</v>
      </c>
      <c r="D138" s="27">
        <v>2</v>
      </c>
      <c r="E138" s="28">
        <v>903010202</v>
      </c>
      <c r="F138" s="27">
        <v>1</v>
      </c>
      <c r="G138" s="27">
        <v>500</v>
      </c>
      <c r="H138" s="27" t="s">
        <v>248</v>
      </c>
      <c r="I138" s="27" t="s">
        <v>316</v>
      </c>
      <c r="J138" s="27" t="s">
        <v>317</v>
      </c>
      <c r="K138" s="44" t="s">
        <v>318</v>
      </c>
      <c r="L138" s="27" t="s">
        <v>37</v>
      </c>
      <c r="M138" s="27">
        <v>3580002</v>
      </c>
    </row>
    <row r="139" spans="1:13">
      <c r="A139" s="27">
        <v>903010302</v>
      </c>
      <c r="B139" s="27">
        <v>90301</v>
      </c>
      <c r="C139" s="27">
        <v>3</v>
      </c>
      <c r="D139" s="27">
        <v>2</v>
      </c>
      <c r="E139" s="28">
        <v>903010302</v>
      </c>
      <c r="F139" s="27">
        <v>1</v>
      </c>
      <c r="G139" s="27">
        <v>500</v>
      </c>
      <c r="H139" s="27" t="s">
        <v>319</v>
      </c>
      <c r="I139" s="27" t="s">
        <v>320</v>
      </c>
      <c r="J139" s="27" t="s">
        <v>321</v>
      </c>
      <c r="K139" s="27">
        <v>3080102</v>
      </c>
      <c r="L139" s="27" t="s">
        <v>37</v>
      </c>
      <c r="M139" s="27">
        <v>3580003</v>
      </c>
    </row>
    <row r="140" spans="1:13">
      <c r="A140" s="27">
        <v>903010403</v>
      </c>
      <c r="B140" s="27">
        <v>90301</v>
      </c>
      <c r="C140" s="27">
        <v>4</v>
      </c>
      <c r="D140" s="27">
        <v>3</v>
      </c>
      <c r="E140" s="28">
        <v>903010403</v>
      </c>
      <c r="F140" s="27">
        <v>1</v>
      </c>
      <c r="G140" s="27">
        <v>500</v>
      </c>
      <c r="H140" s="27" t="s">
        <v>322</v>
      </c>
      <c r="I140" s="27" t="s">
        <v>323</v>
      </c>
      <c r="J140" s="27" t="s">
        <v>324</v>
      </c>
      <c r="K140" s="27">
        <v>3080102</v>
      </c>
      <c r="L140" s="27" t="s">
        <v>37</v>
      </c>
      <c r="M140" s="27">
        <v>3580002</v>
      </c>
    </row>
    <row r="141" spans="1:13">
      <c r="A141" s="27">
        <v>903010503</v>
      </c>
      <c r="B141" s="27">
        <v>90301</v>
      </c>
      <c r="C141" s="27">
        <v>5</v>
      </c>
      <c r="D141" s="27">
        <v>3</v>
      </c>
      <c r="E141" s="28">
        <v>903010503</v>
      </c>
      <c r="F141" s="27">
        <v>1</v>
      </c>
      <c r="G141" s="27">
        <v>500</v>
      </c>
      <c r="H141" s="27" t="s">
        <v>325</v>
      </c>
      <c r="I141" s="27" t="s">
        <v>326</v>
      </c>
      <c r="J141" s="27" t="s">
        <v>327</v>
      </c>
      <c r="K141" s="27">
        <v>3080102</v>
      </c>
      <c r="L141" s="27" t="s">
        <v>37</v>
      </c>
      <c r="M141" s="27">
        <v>3580003</v>
      </c>
    </row>
    <row r="142" spans="1:13">
      <c r="A142" s="27">
        <v>903010604</v>
      </c>
      <c r="B142" s="27">
        <v>90301</v>
      </c>
      <c r="C142" s="27">
        <v>6</v>
      </c>
      <c r="D142" s="27">
        <v>4</v>
      </c>
      <c r="E142" s="28">
        <v>903010604</v>
      </c>
      <c r="F142" s="27">
        <v>1</v>
      </c>
      <c r="G142" s="27">
        <v>500</v>
      </c>
      <c r="H142" s="27" t="s">
        <v>328</v>
      </c>
      <c r="I142" s="27" t="s">
        <v>329</v>
      </c>
      <c r="J142" s="27" t="s">
        <v>330</v>
      </c>
      <c r="K142" s="27">
        <v>3080102</v>
      </c>
      <c r="L142" s="27" t="s">
        <v>37</v>
      </c>
      <c r="M142" s="27">
        <v>3580002</v>
      </c>
    </row>
    <row r="143" spans="1:13">
      <c r="A143" s="27">
        <v>903010704</v>
      </c>
      <c r="B143" s="27">
        <v>90301</v>
      </c>
      <c r="C143" s="27">
        <v>7</v>
      </c>
      <c r="D143" s="27">
        <v>4</v>
      </c>
      <c r="E143" s="28">
        <v>903010704</v>
      </c>
      <c r="F143" s="27">
        <v>1</v>
      </c>
      <c r="G143" s="27">
        <v>500</v>
      </c>
      <c r="H143" s="27" t="s">
        <v>331</v>
      </c>
      <c r="I143" s="27" t="s">
        <v>332</v>
      </c>
      <c r="J143" s="27" t="s">
        <v>333</v>
      </c>
      <c r="K143" s="27">
        <v>3080102</v>
      </c>
      <c r="L143" s="27" t="s">
        <v>37</v>
      </c>
      <c r="M143" s="27">
        <v>3580003</v>
      </c>
    </row>
    <row r="144" spans="1:13">
      <c r="A144" s="27">
        <v>903010805</v>
      </c>
      <c r="B144" s="27">
        <v>90301</v>
      </c>
      <c r="C144" s="27">
        <v>8</v>
      </c>
      <c r="D144" s="27">
        <v>5</v>
      </c>
      <c r="E144" s="28">
        <v>903010805</v>
      </c>
      <c r="F144" s="27">
        <v>1</v>
      </c>
      <c r="G144" s="27">
        <v>500</v>
      </c>
      <c r="H144" s="27" t="s">
        <v>334</v>
      </c>
      <c r="I144" s="27" t="s">
        <v>335</v>
      </c>
      <c r="J144" s="27" t="s">
        <v>336</v>
      </c>
      <c r="K144" s="45" t="s">
        <v>337</v>
      </c>
      <c r="L144" s="27" t="s">
        <v>37</v>
      </c>
      <c r="M144" s="27">
        <v>3580001</v>
      </c>
    </row>
    <row r="145" spans="1:13">
      <c r="A145" s="29">
        <v>904010101</v>
      </c>
      <c r="B145" s="29">
        <v>90401</v>
      </c>
      <c r="C145" s="29">
        <v>1</v>
      </c>
      <c r="D145" s="29">
        <v>1</v>
      </c>
      <c r="E145" s="30">
        <v>0</v>
      </c>
      <c r="F145" s="29">
        <v>1</v>
      </c>
      <c r="G145" s="29">
        <v>500</v>
      </c>
      <c r="H145" s="46" t="s">
        <v>338</v>
      </c>
      <c r="I145" s="29" t="s">
        <v>339</v>
      </c>
      <c r="J145" s="29" t="s">
        <v>340</v>
      </c>
      <c r="K145" s="46" t="s">
        <v>341</v>
      </c>
      <c r="L145" s="29" t="s">
        <v>37</v>
      </c>
      <c r="M145" s="29">
        <v>3590001</v>
      </c>
    </row>
    <row r="146" spans="1:13">
      <c r="A146" s="29">
        <v>904010202</v>
      </c>
      <c r="B146" s="29">
        <v>90401</v>
      </c>
      <c r="C146" s="29">
        <v>2</v>
      </c>
      <c r="D146" s="29">
        <v>2</v>
      </c>
      <c r="E146" s="30">
        <v>0</v>
      </c>
      <c r="F146" s="29">
        <v>1</v>
      </c>
      <c r="G146" s="29">
        <v>500</v>
      </c>
      <c r="H146" s="46" t="s">
        <v>342</v>
      </c>
      <c r="I146" s="29" t="s">
        <v>343</v>
      </c>
      <c r="J146" s="29" t="s">
        <v>344</v>
      </c>
      <c r="K146" s="29">
        <v>3041102</v>
      </c>
      <c r="L146" s="29" t="s">
        <v>37</v>
      </c>
      <c r="M146" s="29">
        <v>3590002</v>
      </c>
    </row>
    <row r="147" spans="1:13">
      <c r="A147" s="29">
        <v>904010303</v>
      </c>
      <c r="B147" s="29">
        <v>90401</v>
      </c>
      <c r="C147" s="29">
        <v>3</v>
      </c>
      <c r="D147" s="29">
        <v>3</v>
      </c>
      <c r="E147" s="30">
        <v>0</v>
      </c>
      <c r="F147" s="29">
        <v>1</v>
      </c>
      <c r="G147" s="29">
        <v>500</v>
      </c>
      <c r="H147" s="46" t="s">
        <v>345</v>
      </c>
      <c r="I147" s="29" t="s">
        <v>346</v>
      </c>
      <c r="J147" s="29" t="s">
        <v>347</v>
      </c>
      <c r="K147" s="29">
        <v>3041102</v>
      </c>
      <c r="L147" s="29" t="s">
        <v>37</v>
      </c>
      <c r="M147" s="29">
        <v>3590002</v>
      </c>
    </row>
    <row r="148" spans="1:13">
      <c r="A148" s="29">
        <v>904010403</v>
      </c>
      <c r="B148" s="29">
        <v>90401</v>
      </c>
      <c r="C148" s="29">
        <v>4</v>
      </c>
      <c r="D148" s="29">
        <v>3</v>
      </c>
      <c r="E148" s="30">
        <v>0</v>
      </c>
      <c r="F148" s="29">
        <v>1</v>
      </c>
      <c r="G148" s="29">
        <v>500</v>
      </c>
      <c r="H148" s="46" t="s">
        <v>348</v>
      </c>
      <c r="I148" s="29" t="s">
        <v>349</v>
      </c>
      <c r="J148" s="29" t="s">
        <v>350</v>
      </c>
      <c r="K148" s="29"/>
      <c r="L148" s="29" t="s">
        <v>37</v>
      </c>
      <c r="M148" s="29">
        <v>3590003</v>
      </c>
    </row>
    <row r="149" spans="1:13">
      <c r="A149" s="29">
        <v>904010504</v>
      </c>
      <c r="B149" s="29">
        <v>90401</v>
      </c>
      <c r="C149" s="29">
        <v>5</v>
      </c>
      <c r="D149" s="29">
        <v>4</v>
      </c>
      <c r="E149" s="30">
        <v>0</v>
      </c>
      <c r="F149" s="29">
        <v>1</v>
      </c>
      <c r="G149" s="29">
        <v>500</v>
      </c>
      <c r="H149" s="46" t="s">
        <v>351</v>
      </c>
      <c r="I149" s="29" t="s">
        <v>352</v>
      </c>
      <c r="J149" s="29" t="s">
        <v>353</v>
      </c>
      <c r="K149" s="29">
        <v>3041102</v>
      </c>
      <c r="L149" s="29" t="s">
        <v>37</v>
      </c>
      <c r="M149" s="29">
        <v>3590004</v>
      </c>
    </row>
    <row r="150" spans="1:13">
      <c r="A150" s="29">
        <v>904010705</v>
      </c>
      <c r="B150" s="29">
        <v>90401</v>
      </c>
      <c r="C150" s="29">
        <v>7</v>
      </c>
      <c r="D150" s="29">
        <v>5</v>
      </c>
      <c r="E150" s="30">
        <v>0</v>
      </c>
      <c r="F150" s="29">
        <v>1</v>
      </c>
      <c r="G150" s="29">
        <v>500</v>
      </c>
      <c r="H150" s="46" t="s">
        <v>354</v>
      </c>
      <c r="I150" s="29" t="s">
        <v>355</v>
      </c>
      <c r="J150" s="29" t="s">
        <v>356</v>
      </c>
      <c r="K150" s="29"/>
      <c r="L150" s="29" t="s">
        <v>37</v>
      </c>
      <c r="M150" s="29">
        <v>3590005</v>
      </c>
    </row>
    <row r="151" spans="1:13">
      <c r="A151" s="31">
        <v>905010101</v>
      </c>
      <c r="B151" s="31">
        <v>90501</v>
      </c>
      <c r="C151" s="31">
        <v>1</v>
      </c>
      <c r="D151" s="31">
        <v>1</v>
      </c>
      <c r="E151" s="32">
        <v>0</v>
      </c>
      <c r="F151" s="31">
        <v>1</v>
      </c>
      <c r="G151" s="31">
        <v>500</v>
      </c>
      <c r="H151" s="47" t="s">
        <v>357</v>
      </c>
      <c r="I151" s="31" t="s">
        <v>358</v>
      </c>
      <c r="J151" s="31" t="s">
        <v>36</v>
      </c>
      <c r="K151" s="31">
        <v>3040102</v>
      </c>
      <c r="L151" s="31" t="s">
        <v>37</v>
      </c>
      <c r="M151" s="31">
        <v>3600001</v>
      </c>
    </row>
    <row r="152" spans="1:13">
      <c r="A152" s="31">
        <v>905010202</v>
      </c>
      <c r="B152" s="31">
        <v>90501</v>
      </c>
      <c r="C152" s="31">
        <v>2</v>
      </c>
      <c r="D152" s="31">
        <v>2</v>
      </c>
      <c r="E152" s="32">
        <v>905010202</v>
      </c>
      <c r="F152" s="31">
        <v>1</v>
      </c>
      <c r="G152" s="31">
        <v>500</v>
      </c>
      <c r="H152" s="47" t="s">
        <v>359</v>
      </c>
      <c r="I152" s="31" t="s">
        <v>360</v>
      </c>
      <c r="J152" s="31" t="s">
        <v>361</v>
      </c>
      <c r="K152" s="47" t="s">
        <v>362</v>
      </c>
      <c r="L152" s="31" t="s">
        <v>37</v>
      </c>
      <c r="M152" s="31">
        <v>3600001</v>
      </c>
    </row>
    <row r="153" spans="1:13">
      <c r="A153" s="31">
        <v>905010302</v>
      </c>
      <c r="B153" s="31">
        <v>90501</v>
      </c>
      <c r="C153" s="31">
        <v>3</v>
      </c>
      <c r="D153" s="31">
        <v>2</v>
      </c>
      <c r="E153" s="32">
        <v>905010302</v>
      </c>
      <c r="F153" s="31">
        <v>1</v>
      </c>
      <c r="G153" s="31">
        <v>500</v>
      </c>
      <c r="H153" s="47" t="s">
        <v>363</v>
      </c>
      <c r="I153" s="31" t="s">
        <v>364</v>
      </c>
      <c r="J153" s="31" t="s">
        <v>365</v>
      </c>
      <c r="K153" s="47" t="s">
        <v>366</v>
      </c>
      <c r="L153" s="31" t="s">
        <v>37</v>
      </c>
      <c r="M153" s="31">
        <v>3600002</v>
      </c>
    </row>
    <row r="154" spans="1:13">
      <c r="A154" s="31">
        <v>905010403</v>
      </c>
      <c r="B154" s="31">
        <v>90501</v>
      </c>
      <c r="C154" s="31">
        <v>4</v>
      </c>
      <c r="D154" s="31">
        <v>3</v>
      </c>
      <c r="E154" s="32">
        <v>905010403</v>
      </c>
      <c r="F154" s="31">
        <v>1</v>
      </c>
      <c r="G154" s="31">
        <v>500</v>
      </c>
      <c r="H154" s="47" t="s">
        <v>367</v>
      </c>
      <c r="I154" s="31" t="s">
        <v>368</v>
      </c>
      <c r="J154" s="31" t="s">
        <v>369</v>
      </c>
      <c r="K154" s="31"/>
      <c r="L154" s="31" t="s">
        <v>37</v>
      </c>
      <c r="M154" s="31">
        <v>3600003</v>
      </c>
    </row>
    <row r="155" spans="1:13">
      <c r="A155" s="31">
        <v>905010503</v>
      </c>
      <c r="B155" s="31">
        <v>90501</v>
      </c>
      <c r="C155" s="31">
        <v>5</v>
      </c>
      <c r="D155" s="31">
        <v>3</v>
      </c>
      <c r="E155" s="32">
        <v>905010503</v>
      </c>
      <c r="F155" s="31">
        <v>1</v>
      </c>
      <c r="G155" s="31">
        <v>500</v>
      </c>
      <c r="H155" s="47" t="s">
        <v>370</v>
      </c>
      <c r="I155" s="31" t="s">
        <v>371</v>
      </c>
      <c r="J155" s="31" t="s">
        <v>372</v>
      </c>
      <c r="K155" s="31"/>
      <c r="L155" s="31" t="s">
        <v>37</v>
      </c>
      <c r="M155" s="31">
        <v>3600002</v>
      </c>
    </row>
    <row r="156" spans="1:13">
      <c r="A156" s="31">
        <v>905010604</v>
      </c>
      <c r="B156" s="31">
        <v>90501</v>
      </c>
      <c r="C156" s="31">
        <v>6</v>
      </c>
      <c r="D156" s="31">
        <v>4</v>
      </c>
      <c r="E156" s="32">
        <v>905010604</v>
      </c>
      <c r="F156" s="31">
        <v>1</v>
      </c>
      <c r="G156" s="31">
        <v>500</v>
      </c>
      <c r="H156" s="47" t="s">
        <v>373</v>
      </c>
      <c r="I156" s="31" t="s">
        <v>374</v>
      </c>
      <c r="J156" s="31" t="s">
        <v>361</v>
      </c>
      <c r="K156" s="47" t="s">
        <v>362</v>
      </c>
      <c r="L156" s="31" t="s">
        <v>37</v>
      </c>
      <c r="M156" s="31">
        <v>3600002</v>
      </c>
    </row>
    <row r="157" spans="1:13">
      <c r="A157" s="31">
        <v>905010704</v>
      </c>
      <c r="B157" s="31">
        <v>90501</v>
      </c>
      <c r="C157" s="31">
        <v>7</v>
      </c>
      <c r="D157" s="31">
        <v>4</v>
      </c>
      <c r="E157" s="32">
        <v>905010704</v>
      </c>
      <c r="F157" s="31">
        <v>1</v>
      </c>
      <c r="G157" s="31">
        <v>500</v>
      </c>
      <c r="H157" s="47" t="s">
        <v>375</v>
      </c>
      <c r="I157" s="31" t="s">
        <v>376</v>
      </c>
      <c r="J157" s="31" t="s">
        <v>377</v>
      </c>
      <c r="K157" s="31"/>
      <c r="L157" s="31" t="s">
        <v>37</v>
      </c>
      <c r="M157" s="31">
        <v>3600003</v>
      </c>
    </row>
    <row r="158" spans="1:13">
      <c r="A158" s="31">
        <v>905010805</v>
      </c>
      <c r="B158" s="31">
        <v>90501</v>
      </c>
      <c r="C158" s="31">
        <v>8</v>
      </c>
      <c r="D158" s="31">
        <v>5</v>
      </c>
      <c r="E158" s="32">
        <v>905010805</v>
      </c>
      <c r="F158" s="31">
        <v>30</v>
      </c>
      <c r="G158" s="31">
        <v>500</v>
      </c>
      <c r="H158" s="47" t="s">
        <v>378</v>
      </c>
      <c r="I158" s="31" t="s">
        <v>379</v>
      </c>
      <c r="J158" s="31" t="s">
        <v>380</v>
      </c>
      <c r="K158" s="31"/>
      <c r="L158" s="31" t="s">
        <v>37</v>
      </c>
      <c r="M158" s="31">
        <v>3600004</v>
      </c>
    </row>
    <row r="159" spans="1:13">
      <c r="A159" s="33">
        <v>906010101</v>
      </c>
      <c r="B159" s="33">
        <v>90601</v>
      </c>
      <c r="C159" s="33">
        <v>1</v>
      </c>
      <c r="D159" s="33">
        <v>1</v>
      </c>
      <c r="E159" s="34">
        <v>0</v>
      </c>
      <c r="F159" s="33">
        <v>1</v>
      </c>
      <c r="G159" s="33">
        <v>500</v>
      </c>
      <c r="H159" s="48" t="s">
        <v>381</v>
      </c>
      <c r="I159" s="33" t="s">
        <v>382</v>
      </c>
      <c r="J159" s="33" t="s">
        <v>98</v>
      </c>
      <c r="K159" s="33">
        <v>3041001</v>
      </c>
      <c r="L159" s="33" t="s">
        <v>37</v>
      </c>
      <c r="M159" s="33">
        <v>3610001</v>
      </c>
    </row>
    <row r="160" spans="1:13">
      <c r="A160" s="33">
        <v>906010202</v>
      </c>
      <c r="B160" s="33">
        <v>90601</v>
      </c>
      <c r="C160" s="33">
        <v>2</v>
      </c>
      <c r="D160" s="33">
        <v>2</v>
      </c>
      <c r="E160" s="34">
        <v>0</v>
      </c>
      <c r="F160" s="33">
        <v>1</v>
      </c>
      <c r="G160" s="33">
        <v>500</v>
      </c>
      <c r="H160" s="48" t="s">
        <v>383</v>
      </c>
      <c r="I160" s="33" t="s">
        <v>384</v>
      </c>
      <c r="J160" s="33" t="s">
        <v>385</v>
      </c>
      <c r="K160" s="33"/>
      <c r="L160" s="33" t="s">
        <v>37</v>
      </c>
      <c r="M160" s="33">
        <v>3610002</v>
      </c>
    </row>
    <row r="161" spans="1:13">
      <c r="A161" s="33">
        <v>906010302</v>
      </c>
      <c r="B161" s="33">
        <v>90601</v>
      </c>
      <c r="C161" s="33">
        <v>3</v>
      </c>
      <c r="D161" s="33">
        <v>2</v>
      </c>
      <c r="E161" s="34" t="s">
        <v>386</v>
      </c>
      <c r="F161" s="33">
        <v>1</v>
      </c>
      <c r="G161" s="33">
        <v>500</v>
      </c>
      <c r="H161" s="48" t="s">
        <v>387</v>
      </c>
      <c r="I161" s="33" t="s">
        <v>388</v>
      </c>
      <c r="J161" s="33" t="s">
        <v>389</v>
      </c>
      <c r="K161" s="33"/>
      <c r="L161" s="33" t="s">
        <v>37</v>
      </c>
      <c r="M161" s="33">
        <v>3610002</v>
      </c>
    </row>
    <row r="162" spans="1:13">
      <c r="A162" s="33">
        <v>906010403</v>
      </c>
      <c r="B162" s="33">
        <v>90601</v>
      </c>
      <c r="C162" s="33">
        <v>4</v>
      </c>
      <c r="D162" s="33">
        <v>3</v>
      </c>
      <c r="E162" s="34">
        <v>0</v>
      </c>
      <c r="F162" s="33">
        <v>1</v>
      </c>
      <c r="G162" s="33">
        <v>500</v>
      </c>
      <c r="H162" s="48" t="s">
        <v>390</v>
      </c>
      <c r="I162" s="33" t="s">
        <v>391</v>
      </c>
      <c r="J162" s="33" t="s">
        <v>392</v>
      </c>
      <c r="K162" s="33"/>
      <c r="L162" s="33" t="s">
        <v>37</v>
      </c>
      <c r="M162" s="33">
        <v>3610003</v>
      </c>
    </row>
    <row r="163" spans="1:13">
      <c r="A163" s="33">
        <v>906010503</v>
      </c>
      <c r="B163" s="33">
        <v>90601</v>
      </c>
      <c r="C163" s="33">
        <v>5</v>
      </c>
      <c r="D163" s="33">
        <v>3</v>
      </c>
      <c r="E163" s="34" t="s">
        <v>393</v>
      </c>
      <c r="F163" s="33">
        <v>1</v>
      </c>
      <c r="G163" s="33">
        <v>500</v>
      </c>
      <c r="H163" s="48" t="s">
        <v>394</v>
      </c>
      <c r="I163" s="33" t="s">
        <v>395</v>
      </c>
      <c r="J163" s="33" t="s">
        <v>396</v>
      </c>
      <c r="K163" s="33"/>
      <c r="L163" s="33" t="s">
        <v>37</v>
      </c>
      <c r="M163" s="33">
        <v>3610003</v>
      </c>
    </row>
    <row r="164" spans="1:13">
      <c r="A164" s="33">
        <v>906010604</v>
      </c>
      <c r="B164" s="33">
        <v>90601</v>
      </c>
      <c r="C164" s="33">
        <v>6</v>
      </c>
      <c r="D164" s="33">
        <v>4</v>
      </c>
      <c r="E164" s="49" t="s">
        <v>397</v>
      </c>
      <c r="F164" s="33">
        <v>1</v>
      </c>
      <c r="G164" s="33">
        <v>500</v>
      </c>
      <c r="H164" s="48" t="s">
        <v>398</v>
      </c>
      <c r="I164" s="33" t="s">
        <v>399</v>
      </c>
      <c r="J164" s="33" t="s">
        <v>400</v>
      </c>
      <c r="K164" s="33"/>
      <c r="L164" s="33" t="s">
        <v>37</v>
      </c>
      <c r="M164" s="33">
        <v>3610002</v>
      </c>
    </row>
    <row r="165" spans="1:13">
      <c r="A165" s="33">
        <v>906010704</v>
      </c>
      <c r="B165" s="33">
        <v>90601</v>
      </c>
      <c r="C165" s="33">
        <v>7</v>
      </c>
      <c r="D165" s="33">
        <v>4</v>
      </c>
      <c r="E165" s="34">
        <v>0</v>
      </c>
      <c r="F165" s="33">
        <v>1</v>
      </c>
      <c r="G165" s="33">
        <v>500</v>
      </c>
      <c r="H165" s="48" t="s">
        <v>401</v>
      </c>
      <c r="I165" s="33" t="s">
        <v>402</v>
      </c>
      <c r="J165" s="33" t="s">
        <v>403</v>
      </c>
      <c r="K165" s="48" t="s">
        <v>404</v>
      </c>
      <c r="L165" s="33" t="s">
        <v>37</v>
      </c>
      <c r="M165" s="33">
        <v>3610004</v>
      </c>
    </row>
    <row r="166" spans="1:13">
      <c r="A166" s="33">
        <v>906010805</v>
      </c>
      <c r="B166" s="33">
        <v>90601</v>
      </c>
      <c r="C166" s="33">
        <v>8</v>
      </c>
      <c r="D166" s="33">
        <v>5</v>
      </c>
      <c r="E166" s="34">
        <v>0</v>
      </c>
      <c r="F166" s="33">
        <v>1</v>
      </c>
      <c r="G166" s="33">
        <v>500</v>
      </c>
      <c r="H166" s="48" t="s">
        <v>405</v>
      </c>
      <c r="I166" s="33" t="s">
        <v>406</v>
      </c>
      <c r="J166" s="33" t="s">
        <v>407</v>
      </c>
      <c r="K166" s="33"/>
      <c r="L166" s="33" t="s">
        <v>37</v>
      </c>
      <c r="M166" s="33">
        <v>3610004</v>
      </c>
    </row>
    <row r="167" spans="1:13">
      <c r="A167" s="35">
        <v>100010101</v>
      </c>
      <c r="B167" s="35">
        <v>10001</v>
      </c>
      <c r="C167" s="35">
        <v>1</v>
      </c>
      <c r="D167" s="35">
        <v>1</v>
      </c>
      <c r="E167" s="36" t="s">
        <v>33</v>
      </c>
      <c r="F167" s="35">
        <v>1</v>
      </c>
      <c r="G167" s="35">
        <v>1</v>
      </c>
      <c r="H167" s="35" t="s">
        <v>408</v>
      </c>
      <c r="I167" s="35" t="s">
        <v>409</v>
      </c>
      <c r="J167" s="35" t="s">
        <v>410</v>
      </c>
      <c r="K167" s="35"/>
      <c r="L167" s="35" t="s">
        <v>37</v>
      </c>
      <c r="M167" s="35">
        <v>3610004</v>
      </c>
    </row>
    <row r="168" spans="1:13">
      <c r="A168" s="35">
        <v>100020101</v>
      </c>
      <c r="B168" s="35">
        <v>10002</v>
      </c>
      <c r="C168" s="35">
        <v>1</v>
      </c>
      <c r="D168" s="35">
        <v>1</v>
      </c>
      <c r="E168" s="36" t="s">
        <v>33</v>
      </c>
      <c r="F168" s="35">
        <v>1</v>
      </c>
      <c r="G168" s="35">
        <v>1</v>
      </c>
      <c r="H168" s="35" t="s">
        <v>411</v>
      </c>
      <c r="I168" s="35" t="s">
        <v>412</v>
      </c>
      <c r="J168" s="35" t="s">
        <v>413</v>
      </c>
      <c r="K168" s="35"/>
      <c r="L168" s="35" t="s">
        <v>37</v>
      </c>
      <c r="M168" s="35">
        <v>3610004</v>
      </c>
    </row>
    <row r="169" spans="1:13">
      <c r="A169" s="35">
        <v>100030101</v>
      </c>
      <c r="B169" s="35">
        <v>10003</v>
      </c>
      <c r="C169" s="35">
        <v>1</v>
      </c>
      <c r="D169" s="35">
        <v>1</v>
      </c>
      <c r="E169" s="36" t="s">
        <v>33</v>
      </c>
      <c r="F169" s="35">
        <v>1</v>
      </c>
      <c r="G169" s="35">
        <v>1</v>
      </c>
      <c r="H169" s="35" t="s">
        <v>414</v>
      </c>
      <c r="I169" s="35" t="s">
        <v>415</v>
      </c>
      <c r="J169" s="35" t="s">
        <v>416</v>
      </c>
      <c r="K169" s="35"/>
      <c r="L169" s="35" t="s">
        <v>37</v>
      </c>
      <c r="M169" s="35">
        <v>3610004</v>
      </c>
    </row>
    <row r="170" spans="1:13">
      <c r="A170" s="35">
        <v>100040101</v>
      </c>
      <c r="B170" s="35">
        <v>10004</v>
      </c>
      <c r="C170" s="35">
        <v>1</v>
      </c>
      <c r="D170" s="35">
        <v>1</v>
      </c>
      <c r="E170" s="36" t="s">
        <v>33</v>
      </c>
      <c r="F170" s="35">
        <v>1</v>
      </c>
      <c r="G170" s="35">
        <v>1</v>
      </c>
      <c r="H170" s="35" t="s">
        <v>417</v>
      </c>
      <c r="I170" s="35" t="s">
        <v>418</v>
      </c>
      <c r="J170" s="35" t="s">
        <v>419</v>
      </c>
      <c r="K170" s="35"/>
      <c r="L170" s="35" t="s">
        <v>37</v>
      </c>
      <c r="M170" s="35">
        <v>3610004</v>
      </c>
    </row>
    <row r="171" spans="1:13">
      <c r="A171" s="35">
        <v>100050101</v>
      </c>
      <c r="B171" s="35">
        <v>10005</v>
      </c>
      <c r="C171" s="35">
        <v>1</v>
      </c>
      <c r="D171" s="35">
        <v>1</v>
      </c>
      <c r="E171" s="36" t="s">
        <v>33</v>
      </c>
      <c r="F171" s="35">
        <v>1</v>
      </c>
      <c r="G171" s="35">
        <v>1</v>
      </c>
      <c r="H171" s="35" t="s">
        <v>420</v>
      </c>
      <c r="I171" s="35" t="s">
        <v>421</v>
      </c>
      <c r="J171" s="35" t="s">
        <v>422</v>
      </c>
      <c r="K171" s="35"/>
      <c r="L171" s="35" t="s">
        <v>37</v>
      </c>
      <c r="M171" s="35">
        <v>3610004</v>
      </c>
    </row>
    <row r="172" spans="1:13">
      <c r="A172" s="35">
        <v>100060101</v>
      </c>
      <c r="B172" s="35">
        <v>10006</v>
      </c>
      <c r="C172" s="35">
        <v>1</v>
      </c>
      <c r="D172" s="35">
        <v>1</v>
      </c>
      <c r="E172" s="36" t="s">
        <v>33</v>
      </c>
      <c r="F172" s="35">
        <v>1</v>
      </c>
      <c r="G172" s="35">
        <v>1</v>
      </c>
      <c r="H172" s="35" t="s">
        <v>423</v>
      </c>
      <c r="I172" s="35" t="s">
        <v>424</v>
      </c>
      <c r="J172" s="35" t="s">
        <v>425</v>
      </c>
      <c r="K172" s="35"/>
      <c r="L172" s="35" t="s">
        <v>37</v>
      </c>
      <c r="M172" s="35">
        <v>3610004</v>
      </c>
    </row>
    <row r="173" spans="1:13">
      <c r="A173" s="35">
        <v>100070101</v>
      </c>
      <c r="B173" s="35">
        <v>10007</v>
      </c>
      <c r="C173" s="35">
        <v>1</v>
      </c>
      <c r="D173" s="35">
        <v>1</v>
      </c>
      <c r="E173" s="36" t="s">
        <v>33</v>
      </c>
      <c r="F173" s="35">
        <v>1</v>
      </c>
      <c r="G173" s="35">
        <v>1</v>
      </c>
      <c r="H173" s="35" t="s">
        <v>426</v>
      </c>
      <c r="I173" s="35" t="s">
        <v>427</v>
      </c>
      <c r="J173" s="35" t="s">
        <v>428</v>
      </c>
      <c r="K173" s="35"/>
      <c r="L173" s="35" t="s">
        <v>37</v>
      </c>
      <c r="M173" s="35">
        <v>3610004</v>
      </c>
    </row>
    <row r="174" spans="1:13">
      <c r="A174" s="35">
        <v>100080101</v>
      </c>
      <c r="B174" s="35">
        <v>10008</v>
      </c>
      <c r="C174" s="35">
        <v>1</v>
      </c>
      <c r="D174" s="35">
        <v>1</v>
      </c>
      <c r="E174" s="36" t="s">
        <v>33</v>
      </c>
      <c r="F174" s="35">
        <v>1</v>
      </c>
      <c r="G174" s="35">
        <v>1</v>
      </c>
      <c r="H174" s="35" t="s">
        <v>429</v>
      </c>
      <c r="I174" s="35" t="s">
        <v>430</v>
      </c>
      <c r="J174" s="35" t="s">
        <v>431</v>
      </c>
      <c r="K174" s="35"/>
      <c r="L174" s="35" t="s">
        <v>37</v>
      </c>
      <c r="M174" s="35">
        <v>3610004</v>
      </c>
    </row>
    <row r="175" spans="1:13">
      <c r="A175" s="35">
        <v>100090101</v>
      </c>
      <c r="B175" s="35">
        <v>10009</v>
      </c>
      <c r="C175" s="35">
        <v>1</v>
      </c>
      <c r="D175" s="35">
        <v>1</v>
      </c>
      <c r="E175" s="36" t="s">
        <v>33</v>
      </c>
      <c r="F175" s="35">
        <v>1</v>
      </c>
      <c r="G175" s="35">
        <v>1</v>
      </c>
      <c r="H175" s="35" t="s">
        <v>432</v>
      </c>
      <c r="I175" s="35" t="s">
        <v>433</v>
      </c>
      <c r="J175" s="35" t="s">
        <v>434</v>
      </c>
      <c r="K175" s="35"/>
      <c r="L175" s="35" t="s">
        <v>37</v>
      </c>
      <c r="M175" s="35">
        <v>3610004</v>
      </c>
    </row>
    <row r="176" spans="1:13">
      <c r="A176" s="35">
        <v>100100101</v>
      </c>
      <c r="B176" s="35">
        <v>10010</v>
      </c>
      <c r="C176" s="35">
        <v>1</v>
      </c>
      <c r="D176" s="35">
        <v>1</v>
      </c>
      <c r="E176" s="36" t="s">
        <v>33</v>
      </c>
      <c r="F176" s="35">
        <v>1</v>
      </c>
      <c r="G176" s="35">
        <v>1</v>
      </c>
      <c r="H176" s="35" t="s">
        <v>435</v>
      </c>
      <c r="I176" s="35" t="s">
        <v>436</v>
      </c>
      <c r="J176" s="35" t="s">
        <v>437</v>
      </c>
      <c r="K176" s="35"/>
      <c r="L176" s="35" t="s">
        <v>37</v>
      </c>
      <c r="M176" s="35">
        <v>3610004</v>
      </c>
    </row>
    <row r="177" spans="1:13">
      <c r="A177" s="35">
        <v>100110101</v>
      </c>
      <c r="B177" s="35">
        <v>10011</v>
      </c>
      <c r="C177" s="35">
        <v>1</v>
      </c>
      <c r="D177" s="35">
        <v>1</v>
      </c>
      <c r="E177" s="36" t="s">
        <v>33</v>
      </c>
      <c r="F177" s="35">
        <v>1</v>
      </c>
      <c r="G177" s="35">
        <v>1</v>
      </c>
      <c r="H177" s="35" t="s">
        <v>438</v>
      </c>
      <c r="I177" s="35" t="s">
        <v>439</v>
      </c>
      <c r="J177" s="35" t="s">
        <v>440</v>
      </c>
      <c r="K177" s="35"/>
      <c r="L177" s="35" t="s">
        <v>37</v>
      </c>
      <c r="M177" s="35">
        <v>3610004</v>
      </c>
    </row>
    <row r="178" spans="1:13">
      <c r="A178" s="35">
        <v>100120101</v>
      </c>
      <c r="B178" s="35">
        <v>10012</v>
      </c>
      <c r="C178" s="35">
        <v>1</v>
      </c>
      <c r="D178" s="35">
        <v>1</v>
      </c>
      <c r="E178" s="36" t="s">
        <v>33</v>
      </c>
      <c r="F178" s="35">
        <v>1</v>
      </c>
      <c r="G178" s="35">
        <v>1</v>
      </c>
      <c r="H178" s="35" t="s">
        <v>441</v>
      </c>
      <c r="I178" s="35" t="s">
        <v>442</v>
      </c>
      <c r="J178" s="35" t="s">
        <v>443</v>
      </c>
      <c r="K178" s="35"/>
      <c r="L178" s="35" t="s">
        <v>37</v>
      </c>
      <c r="M178" s="35">
        <v>3610004</v>
      </c>
    </row>
    <row r="179" spans="1:13">
      <c r="A179" s="20">
        <v>900020101</v>
      </c>
      <c r="B179" s="20">
        <v>90002</v>
      </c>
      <c r="C179" s="20">
        <v>1</v>
      </c>
      <c r="D179" s="20">
        <v>1</v>
      </c>
      <c r="E179" s="21" t="s">
        <v>33</v>
      </c>
      <c r="F179" s="20">
        <v>1</v>
      </c>
      <c r="G179" s="20">
        <v>500</v>
      </c>
      <c r="H179" s="20" t="s">
        <v>444</v>
      </c>
      <c r="I179" s="20" t="s">
        <v>445</v>
      </c>
      <c r="J179" s="39" t="s">
        <v>446</v>
      </c>
      <c r="K179" s="20">
        <v>3050001</v>
      </c>
      <c r="L179" s="20" t="s">
        <v>37</v>
      </c>
      <c r="M179" s="20">
        <v>3550001</v>
      </c>
    </row>
    <row r="180" spans="1:13">
      <c r="A180" s="20">
        <v>900020202</v>
      </c>
      <c r="B180" s="20">
        <v>90002</v>
      </c>
      <c r="C180" s="20">
        <v>2</v>
      </c>
      <c r="D180" s="20">
        <v>2</v>
      </c>
      <c r="E180" s="21">
        <v>900020202</v>
      </c>
      <c r="F180" s="20">
        <v>1</v>
      </c>
      <c r="G180" s="20">
        <v>500</v>
      </c>
      <c r="H180" s="20" t="s">
        <v>447</v>
      </c>
      <c r="I180" s="20" t="s">
        <v>448</v>
      </c>
      <c r="J180" s="39" t="s">
        <v>449</v>
      </c>
      <c r="K180" s="20">
        <v>3050301</v>
      </c>
      <c r="L180" s="20" t="s">
        <v>37</v>
      </c>
      <c r="M180" s="20">
        <v>3550002</v>
      </c>
    </row>
    <row r="181" spans="1:13">
      <c r="A181" s="20">
        <v>900020302</v>
      </c>
      <c r="B181" s="20">
        <v>90002</v>
      </c>
      <c r="C181" s="20">
        <v>3</v>
      </c>
      <c r="D181" s="20">
        <v>2</v>
      </c>
      <c r="E181" s="21">
        <v>900020302</v>
      </c>
      <c r="F181" s="20">
        <v>1</v>
      </c>
      <c r="G181" s="20">
        <v>500</v>
      </c>
      <c r="H181" s="20" t="s">
        <v>450</v>
      </c>
      <c r="I181" s="20" t="s">
        <v>451</v>
      </c>
      <c r="J181" s="39" t="s">
        <v>452</v>
      </c>
      <c r="K181" s="20"/>
      <c r="L181" s="20" t="s">
        <v>37</v>
      </c>
      <c r="M181" s="20">
        <v>3550003</v>
      </c>
    </row>
    <row r="182" spans="1:13">
      <c r="A182" s="20">
        <v>900020403</v>
      </c>
      <c r="B182" s="20">
        <v>90002</v>
      </c>
      <c r="C182" s="20">
        <v>4</v>
      </c>
      <c r="D182" s="20">
        <v>3</v>
      </c>
      <c r="E182" s="21">
        <v>900020403</v>
      </c>
      <c r="F182" s="20">
        <v>1</v>
      </c>
      <c r="G182" s="20">
        <v>500</v>
      </c>
      <c r="H182" s="20" t="s">
        <v>453</v>
      </c>
      <c r="I182" s="20" t="s">
        <v>454</v>
      </c>
      <c r="J182" s="39" t="s">
        <v>455</v>
      </c>
      <c r="K182" s="20">
        <v>3050301</v>
      </c>
      <c r="L182" s="20" t="s">
        <v>37</v>
      </c>
      <c r="M182" s="20">
        <v>3550002</v>
      </c>
    </row>
    <row r="183" spans="1:13">
      <c r="A183" s="20">
        <v>900020503</v>
      </c>
      <c r="B183" s="20">
        <v>90002</v>
      </c>
      <c r="C183" s="20">
        <v>5</v>
      </c>
      <c r="D183" s="20">
        <v>3</v>
      </c>
      <c r="E183" s="21">
        <v>900020503</v>
      </c>
      <c r="F183" s="20">
        <v>1</v>
      </c>
      <c r="G183" s="20">
        <v>500</v>
      </c>
      <c r="H183" s="20" t="s">
        <v>456</v>
      </c>
      <c r="I183" s="20" t="s">
        <v>457</v>
      </c>
      <c r="J183" s="39" t="s">
        <v>458</v>
      </c>
      <c r="K183" s="20">
        <v>3550501</v>
      </c>
      <c r="L183" s="20" t="s">
        <v>37</v>
      </c>
      <c r="M183" s="20">
        <v>3550003</v>
      </c>
    </row>
    <row r="184" spans="1:13">
      <c r="A184" s="20">
        <v>900020604</v>
      </c>
      <c r="B184" s="20">
        <v>90002</v>
      </c>
      <c r="C184" s="20">
        <v>6</v>
      </c>
      <c r="D184" s="20">
        <v>4</v>
      </c>
      <c r="E184" s="21">
        <v>900020604</v>
      </c>
      <c r="F184" s="20">
        <v>1</v>
      </c>
      <c r="G184" s="20">
        <v>500</v>
      </c>
      <c r="H184" s="20" t="s">
        <v>459</v>
      </c>
      <c r="I184" s="20" t="s">
        <v>460</v>
      </c>
      <c r="J184" s="39" t="s">
        <v>461</v>
      </c>
      <c r="K184" s="20">
        <v>3550206</v>
      </c>
      <c r="L184" s="20" t="s">
        <v>37</v>
      </c>
      <c r="M184" s="20">
        <v>3550002</v>
      </c>
    </row>
    <row r="185" spans="1:13">
      <c r="A185" s="20">
        <v>900020704</v>
      </c>
      <c r="B185" s="20">
        <v>90002</v>
      </c>
      <c r="C185" s="20">
        <v>7</v>
      </c>
      <c r="D185" s="20">
        <v>4</v>
      </c>
      <c r="E185" s="21">
        <v>900020704</v>
      </c>
      <c r="F185" s="20">
        <v>1</v>
      </c>
      <c r="G185" s="20">
        <v>500</v>
      </c>
      <c r="H185" s="20" t="s">
        <v>462</v>
      </c>
      <c r="I185" s="20" t="s">
        <v>463</v>
      </c>
      <c r="J185" s="39" t="s">
        <v>464</v>
      </c>
      <c r="K185" s="20">
        <v>3050301</v>
      </c>
      <c r="L185" s="20" t="s">
        <v>37</v>
      </c>
      <c r="M185" s="20">
        <v>3550003</v>
      </c>
    </row>
    <row r="186" spans="1:13">
      <c r="A186" s="20">
        <v>900020805</v>
      </c>
      <c r="B186" s="20">
        <v>90002</v>
      </c>
      <c r="C186" s="20">
        <v>8</v>
      </c>
      <c r="D186" s="20">
        <v>5</v>
      </c>
      <c r="E186" s="21">
        <v>900020805</v>
      </c>
      <c r="F186" s="20">
        <v>1</v>
      </c>
      <c r="G186" s="20">
        <v>500</v>
      </c>
      <c r="H186" s="20" t="s">
        <v>465</v>
      </c>
      <c r="I186" s="20" t="s">
        <v>466</v>
      </c>
      <c r="J186" s="39" t="s">
        <v>467</v>
      </c>
      <c r="K186" s="50" t="s">
        <v>468</v>
      </c>
      <c r="L186" s="20" t="s">
        <v>37</v>
      </c>
      <c r="M186" s="20">
        <v>3550001</v>
      </c>
    </row>
    <row r="187" spans="1:13">
      <c r="A187" s="20">
        <v>900020904</v>
      </c>
      <c r="B187" s="20">
        <v>90002</v>
      </c>
      <c r="C187" s="20">
        <v>9</v>
      </c>
      <c r="D187" s="20">
        <v>4</v>
      </c>
      <c r="E187" s="21">
        <v>900020805</v>
      </c>
      <c r="F187" s="20">
        <v>30</v>
      </c>
      <c r="G187" s="20">
        <v>500</v>
      </c>
      <c r="H187" s="20" t="s">
        <v>469</v>
      </c>
      <c r="I187" s="20" t="s">
        <v>470</v>
      </c>
      <c r="J187" s="39" t="s">
        <v>151</v>
      </c>
      <c r="K187" s="20">
        <v>3050301</v>
      </c>
      <c r="L187" s="20" t="s">
        <v>37</v>
      </c>
      <c r="M187" s="20">
        <v>3550001</v>
      </c>
    </row>
    <row r="188" spans="1:13">
      <c r="A188" s="22">
        <v>901020101</v>
      </c>
      <c r="B188" s="22">
        <v>90102</v>
      </c>
      <c r="C188" s="22">
        <v>1</v>
      </c>
      <c r="D188" s="22">
        <v>1</v>
      </c>
      <c r="E188" s="23" t="s">
        <v>33</v>
      </c>
      <c r="F188" s="22">
        <v>1</v>
      </c>
      <c r="G188" s="22">
        <v>500</v>
      </c>
      <c r="H188" s="22" t="s">
        <v>265</v>
      </c>
      <c r="I188" s="22" t="s">
        <v>266</v>
      </c>
      <c r="J188" s="22" t="s">
        <v>267</v>
      </c>
      <c r="K188" s="22">
        <v>3060001</v>
      </c>
      <c r="L188" s="22" t="s">
        <v>37</v>
      </c>
      <c r="M188" s="22">
        <v>3560001</v>
      </c>
    </row>
    <row r="189" spans="1:13">
      <c r="A189" s="22">
        <v>901020202</v>
      </c>
      <c r="B189" s="22">
        <v>90102</v>
      </c>
      <c r="C189" s="22">
        <v>2</v>
      </c>
      <c r="D189" s="22">
        <v>2</v>
      </c>
      <c r="E189" s="23">
        <v>901020202</v>
      </c>
      <c r="F189" s="22">
        <v>1</v>
      </c>
      <c r="G189" s="22">
        <v>500</v>
      </c>
      <c r="H189" s="22" t="s">
        <v>471</v>
      </c>
      <c r="I189" s="22" t="s">
        <v>269</v>
      </c>
      <c r="J189" s="22" t="s">
        <v>270</v>
      </c>
      <c r="K189" s="22">
        <v>3060102</v>
      </c>
      <c r="L189" s="22" t="s">
        <v>37</v>
      </c>
      <c r="M189" s="22">
        <v>3560002</v>
      </c>
    </row>
    <row r="190" spans="1:13">
      <c r="A190" s="22">
        <v>901020302</v>
      </c>
      <c r="B190" s="22">
        <v>90102</v>
      </c>
      <c r="C190" s="22">
        <v>3</v>
      </c>
      <c r="D190" s="22">
        <v>2</v>
      </c>
      <c r="E190" s="23">
        <v>901020302</v>
      </c>
      <c r="F190" s="22">
        <v>1</v>
      </c>
      <c r="G190" s="22">
        <v>500</v>
      </c>
      <c r="H190" s="22" t="s">
        <v>472</v>
      </c>
      <c r="I190" s="22" t="s">
        <v>271</v>
      </c>
      <c r="J190" s="22" t="s">
        <v>272</v>
      </c>
      <c r="K190" s="22"/>
      <c r="L190" s="22" t="s">
        <v>37</v>
      </c>
      <c r="M190" s="22">
        <v>3560003</v>
      </c>
    </row>
    <row r="191" spans="1:13">
      <c r="A191" s="22">
        <v>901020403</v>
      </c>
      <c r="B191" s="22">
        <v>90102</v>
      </c>
      <c r="C191" s="22">
        <v>4</v>
      </c>
      <c r="D191" s="22">
        <v>3</v>
      </c>
      <c r="E191" s="23">
        <v>901020403</v>
      </c>
      <c r="F191" s="22">
        <v>1</v>
      </c>
      <c r="G191" s="22">
        <v>500</v>
      </c>
      <c r="H191" s="22" t="s">
        <v>473</v>
      </c>
      <c r="I191" s="22" t="s">
        <v>274</v>
      </c>
      <c r="J191" s="22" t="s">
        <v>275</v>
      </c>
      <c r="K191" s="42" t="s">
        <v>276</v>
      </c>
      <c r="L191" s="22" t="s">
        <v>37</v>
      </c>
      <c r="M191" s="22">
        <v>3560002</v>
      </c>
    </row>
    <row r="192" spans="1:13">
      <c r="A192" s="22">
        <v>901020503</v>
      </c>
      <c r="B192" s="22">
        <v>90102</v>
      </c>
      <c r="C192" s="22">
        <v>5</v>
      </c>
      <c r="D192" s="22">
        <v>3</v>
      </c>
      <c r="E192" s="23">
        <v>901020503</v>
      </c>
      <c r="F192" s="22">
        <v>1</v>
      </c>
      <c r="G192" s="22">
        <v>500</v>
      </c>
      <c r="H192" s="22" t="s">
        <v>474</v>
      </c>
      <c r="I192" s="22" t="s">
        <v>278</v>
      </c>
      <c r="J192" s="22" t="s">
        <v>279</v>
      </c>
      <c r="K192" s="22">
        <v>3560501</v>
      </c>
      <c r="L192" s="22" t="s">
        <v>37</v>
      </c>
      <c r="M192" s="22">
        <v>3560003</v>
      </c>
    </row>
    <row r="193" spans="1:13">
      <c r="A193" s="22">
        <v>901020604</v>
      </c>
      <c r="B193" s="22">
        <v>90102</v>
      </c>
      <c r="C193" s="22">
        <v>6</v>
      </c>
      <c r="D193" s="22">
        <v>4</v>
      </c>
      <c r="E193" s="23">
        <v>901020604</v>
      </c>
      <c r="F193" s="22">
        <v>1</v>
      </c>
      <c r="G193" s="22">
        <v>500</v>
      </c>
      <c r="H193" s="22" t="s">
        <v>475</v>
      </c>
      <c r="I193" s="22" t="s">
        <v>281</v>
      </c>
      <c r="J193" s="22" t="s">
        <v>282</v>
      </c>
      <c r="K193" s="22">
        <v>3060102</v>
      </c>
      <c r="L193" s="22" t="s">
        <v>37</v>
      </c>
      <c r="M193" s="22">
        <v>3560002</v>
      </c>
    </row>
    <row r="194" spans="1:13">
      <c r="A194" s="22">
        <v>901020704</v>
      </c>
      <c r="B194" s="22">
        <v>90102</v>
      </c>
      <c r="C194" s="22">
        <v>7</v>
      </c>
      <c r="D194" s="22">
        <v>4</v>
      </c>
      <c r="E194" s="23">
        <v>901020704</v>
      </c>
      <c r="F194" s="22">
        <v>1</v>
      </c>
      <c r="G194" s="22">
        <v>500</v>
      </c>
      <c r="H194" s="22" t="s">
        <v>476</v>
      </c>
      <c r="I194" s="22" t="s">
        <v>284</v>
      </c>
      <c r="J194" s="22" t="s">
        <v>285</v>
      </c>
      <c r="K194" s="22">
        <v>3060102</v>
      </c>
      <c r="L194" s="22" t="s">
        <v>37</v>
      </c>
      <c r="M194" s="22">
        <v>3560003</v>
      </c>
    </row>
    <row r="195" spans="1:13">
      <c r="A195" s="22">
        <v>901020805</v>
      </c>
      <c r="B195" s="22">
        <v>90102</v>
      </c>
      <c r="C195" s="22">
        <v>8</v>
      </c>
      <c r="D195" s="22">
        <v>5</v>
      </c>
      <c r="E195" s="23">
        <v>901020805</v>
      </c>
      <c r="F195" s="22">
        <v>1</v>
      </c>
      <c r="G195" s="22">
        <v>500</v>
      </c>
      <c r="H195" s="22" t="s">
        <v>477</v>
      </c>
      <c r="I195" s="22" t="s">
        <v>287</v>
      </c>
      <c r="J195" s="22" t="s">
        <v>288</v>
      </c>
      <c r="K195" s="24"/>
      <c r="L195" s="22" t="s">
        <v>37</v>
      </c>
      <c r="M195" s="22">
        <v>3560004</v>
      </c>
    </row>
    <row r="196" spans="1:13">
      <c r="A196" s="25">
        <v>902020101</v>
      </c>
      <c r="B196" s="25">
        <v>90202</v>
      </c>
      <c r="C196" s="25">
        <v>1</v>
      </c>
      <c r="D196" s="25">
        <v>1</v>
      </c>
      <c r="E196" s="26" t="s">
        <v>33</v>
      </c>
      <c r="F196" s="25">
        <v>1</v>
      </c>
      <c r="G196" s="25">
        <v>500</v>
      </c>
      <c r="H196" s="25" t="s">
        <v>289</v>
      </c>
      <c r="I196" s="25" t="s">
        <v>290</v>
      </c>
      <c r="J196" s="25" t="s">
        <v>291</v>
      </c>
      <c r="K196" s="25">
        <v>3070001</v>
      </c>
      <c r="L196" s="25" t="s">
        <v>37</v>
      </c>
      <c r="M196" s="25">
        <v>3570001</v>
      </c>
    </row>
    <row r="197" spans="1:13">
      <c r="A197" s="25">
        <v>902020202</v>
      </c>
      <c r="B197" s="25">
        <v>90202</v>
      </c>
      <c r="C197" s="25">
        <v>2</v>
      </c>
      <c r="D197" s="25">
        <v>2</v>
      </c>
      <c r="E197" s="26">
        <v>902020202</v>
      </c>
      <c r="F197" s="25">
        <v>1</v>
      </c>
      <c r="G197" s="25">
        <v>500</v>
      </c>
      <c r="H197" s="25" t="s">
        <v>478</v>
      </c>
      <c r="I197" s="25" t="s">
        <v>292</v>
      </c>
      <c r="J197" s="25" t="s">
        <v>479</v>
      </c>
      <c r="K197" s="43" t="s">
        <v>294</v>
      </c>
      <c r="L197" s="25" t="s">
        <v>37</v>
      </c>
      <c r="M197" s="25">
        <v>3570002</v>
      </c>
    </row>
    <row r="198" spans="1:13">
      <c r="A198" s="25">
        <v>902020302</v>
      </c>
      <c r="B198" s="25">
        <v>90202</v>
      </c>
      <c r="C198" s="25">
        <v>3</v>
      </c>
      <c r="D198" s="25">
        <v>2</v>
      </c>
      <c r="E198" s="26">
        <v>902020302</v>
      </c>
      <c r="F198" s="25">
        <v>1</v>
      </c>
      <c r="G198" s="25">
        <v>500</v>
      </c>
      <c r="H198" s="25" t="s">
        <v>480</v>
      </c>
      <c r="I198" s="25" t="s">
        <v>296</v>
      </c>
      <c r="J198" s="25" t="s">
        <v>297</v>
      </c>
      <c r="K198" s="25"/>
      <c r="L198" s="25" t="s">
        <v>37</v>
      </c>
      <c r="M198" s="25">
        <v>3570003</v>
      </c>
    </row>
    <row r="199" spans="1:13">
      <c r="A199" s="25">
        <v>902020403</v>
      </c>
      <c r="B199" s="25">
        <v>90202</v>
      </c>
      <c r="C199" s="25">
        <v>4</v>
      </c>
      <c r="D199" s="25">
        <v>3</v>
      </c>
      <c r="E199" s="26">
        <v>902020403</v>
      </c>
      <c r="F199" s="25">
        <v>1</v>
      </c>
      <c r="G199" s="25">
        <v>500</v>
      </c>
      <c r="H199" s="25" t="s">
        <v>481</v>
      </c>
      <c r="I199" s="25" t="s">
        <v>299</v>
      </c>
      <c r="J199" s="25" t="s">
        <v>482</v>
      </c>
      <c r="K199" s="43" t="s">
        <v>294</v>
      </c>
      <c r="L199" s="25" t="s">
        <v>37</v>
      </c>
      <c r="M199" s="25">
        <v>3570002</v>
      </c>
    </row>
    <row r="200" spans="1:13">
      <c r="A200" s="25">
        <v>902020503</v>
      </c>
      <c r="B200" s="25">
        <v>90202</v>
      </c>
      <c r="C200" s="25">
        <v>5</v>
      </c>
      <c r="D200" s="25">
        <v>3</v>
      </c>
      <c r="E200" s="26">
        <v>902020503</v>
      </c>
      <c r="F200" s="25">
        <v>1</v>
      </c>
      <c r="G200" s="25">
        <v>500</v>
      </c>
      <c r="H200" s="25" t="s">
        <v>483</v>
      </c>
      <c r="I200" s="25" t="s">
        <v>302</v>
      </c>
      <c r="J200" s="25" t="s">
        <v>484</v>
      </c>
      <c r="K200" s="25">
        <v>3570701</v>
      </c>
      <c r="L200" s="25" t="s">
        <v>37</v>
      </c>
      <c r="M200" s="25">
        <v>3570003</v>
      </c>
    </row>
    <row r="201" spans="1:13">
      <c r="A201" s="25">
        <v>902020604</v>
      </c>
      <c r="B201" s="25">
        <v>90202</v>
      </c>
      <c r="C201" s="25">
        <v>6</v>
      </c>
      <c r="D201" s="25">
        <v>4</v>
      </c>
      <c r="E201" s="26">
        <v>902020604</v>
      </c>
      <c r="F201" s="25">
        <v>1</v>
      </c>
      <c r="G201" s="25">
        <v>500</v>
      </c>
      <c r="H201" s="25" t="s">
        <v>485</v>
      </c>
      <c r="I201" s="25" t="s">
        <v>305</v>
      </c>
      <c r="J201" s="25" t="s">
        <v>306</v>
      </c>
      <c r="K201" s="25">
        <v>3070102</v>
      </c>
      <c r="L201" s="25" t="s">
        <v>37</v>
      </c>
      <c r="M201" s="25">
        <v>3570002</v>
      </c>
    </row>
    <row r="202" spans="1:13">
      <c r="A202" s="25">
        <v>902020704</v>
      </c>
      <c r="B202" s="25">
        <v>90202</v>
      </c>
      <c r="C202" s="25">
        <v>7</v>
      </c>
      <c r="D202" s="25">
        <v>4</v>
      </c>
      <c r="E202" s="26">
        <v>902020704</v>
      </c>
      <c r="F202" s="25">
        <v>1</v>
      </c>
      <c r="G202" s="25">
        <v>500</v>
      </c>
      <c r="H202" s="25" t="s">
        <v>486</v>
      </c>
      <c r="I202" s="25" t="s">
        <v>308</v>
      </c>
      <c r="J202" s="25" t="s">
        <v>309</v>
      </c>
      <c r="K202" s="25">
        <v>3070102</v>
      </c>
      <c r="L202" s="25" t="s">
        <v>37</v>
      </c>
      <c r="M202" s="25">
        <v>3570003</v>
      </c>
    </row>
    <row r="203" spans="1:13">
      <c r="A203" s="25">
        <v>902020805</v>
      </c>
      <c r="B203" s="25">
        <v>90202</v>
      </c>
      <c r="C203" s="25">
        <v>8</v>
      </c>
      <c r="D203" s="25">
        <v>5</v>
      </c>
      <c r="E203" s="26">
        <v>902020805</v>
      </c>
      <c r="F203" s="25">
        <v>1</v>
      </c>
      <c r="G203" s="25">
        <v>500</v>
      </c>
      <c r="H203" s="25" t="s">
        <v>487</v>
      </c>
      <c r="I203" s="25" t="s">
        <v>311</v>
      </c>
      <c r="J203" s="25" t="s">
        <v>312</v>
      </c>
      <c r="K203" s="37"/>
      <c r="L203" s="25" t="s">
        <v>37</v>
      </c>
      <c r="M203" s="25">
        <v>3570001</v>
      </c>
    </row>
    <row r="204" spans="1:13">
      <c r="A204" s="27">
        <v>903020101</v>
      </c>
      <c r="B204" s="27">
        <v>90302</v>
      </c>
      <c r="C204" s="27">
        <v>1</v>
      </c>
      <c r="D204" s="27">
        <v>1</v>
      </c>
      <c r="E204" s="28" t="s">
        <v>33</v>
      </c>
      <c r="F204" s="27">
        <v>1</v>
      </c>
      <c r="G204" s="27">
        <v>500</v>
      </c>
      <c r="H204" s="27" t="s">
        <v>488</v>
      </c>
      <c r="I204" s="27" t="s">
        <v>314</v>
      </c>
      <c r="J204" s="27" t="s">
        <v>315</v>
      </c>
      <c r="K204" s="27">
        <v>3080001</v>
      </c>
      <c r="L204" s="27" t="s">
        <v>37</v>
      </c>
      <c r="M204" s="27">
        <v>3580001</v>
      </c>
    </row>
    <row r="205" spans="1:13">
      <c r="A205" s="27">
        <v>903020202</v>
      </c>
      <c r="B205" s="27">
        <v>90302</v>
      </c>
      <c r="C205" s="27">
        <v>2</v>
      </c>
      <c r="D205" s="27">
        <v>2</v>
      </c>
      <c r="E205" s="28">
        <v>903020202</v>
      </c>
      <c r="F205" s="27">
        <v>1</v>
      </c>
      <c r="G205" s="27">
        <v>500</v>
      </c>
      <c r="H205" s="27" t="s">
        <v>489</v>
      </c>
      <c r="I205" s="27" t="s">
        <v>316</v>
      </c>
      <c r="J205" s="27" t="s">
        <v>317</v>
      </c>
      <c r="K205" s="44" t="s">
        <v>318</v>
      </c>
      <c r="L205" s="27" t="s">
        <v>37</v>
      </c>
      <c r="M205" s="27">
        <v>3580002</v>
      </c>
    </row>
    <row r="206" spans="1:13">
      <c r="A206" s="27">
        <v>903020302</v>
      </c>
      <c r="B206" s="27">
        <v>90302</v>
      </c>
      <c r="C206" s="27">
        <v>3</v>
      </c>
      <c r="D206" s="27">
        <v>2</v>
      </c>
      <c r="E206" s="28">
        <v>903020302</v>
      </c>
      <c r="F206" s="27">
        <v>1</v>
      </c>
      <c r="G206" s="27">
        <v>500</v>
      </c>
      <c r="H206" s="27" t="s">
        <v>490</v>
      </c>
      <c r="I206" s="27" t="s">
        <v>320</v>
      </c>
      <c r="J206" s="27" t="s">
        <v>491</v>
      </c>
      <c r="K206" s="27">
        <v>3080102</v>
      </c>
      <c r="L206" s="27" t="s">
        <v>37</v>
      </c>
      <c r="M206" s="27">
        <v>3580003</v>
      </c>
    </row>
    <row r="207" spans="1:13">
      <c r="A207" s="27">
        <v>903020403</v>
      </c>
      <c r="B207" s="27">
        <v>90302</v>
      </c>
      <c r="C207" s="27">
        <v>4</v>
      </c>
      <c r="D207" s="27">
        <v>3</v>
      </c>
      <c r="E207" s="28">
        <v>903020403</v>
      </c>
      <c r="F207" s="27">
        <v>1</v>
      </c>
      <c r="G207" s="27">
        <v>500</v>
      </c>
      <c r="H207" s="27" t="s">
        <v>492</v>
      </c>
      <c r="I207" s="27" t="s">
        <v>323</v>
      </c>
      <c r="J207" s="27" t="s">
        <v>324</v>
      </c>
      <c r="K207" s="27">
        <v>3080102</v>
      </c>
      <c r="L207" s="27" t="s">
        <v>37</v>
      </c>
      <c r="M207" s="27">
        <v>3580002</v>
      </c>
    </row>
    <row r="208" spans="1:13">
      <c r="A208" s="27">
        <v>903020503</v>
      </c>
      <c r="B208" s="27">
        <v>90302</v>
      </c>
      <c r="C208" s="27">
        <v>5</v>
      </c>
      <c r="D208" s="27">
        <v>3</v>
      </c>
      <c r="E208" s="28">
        <v>903020503</v>
      </c>
      <c r="F208" s="27">
        <v>1</v>
      </c>
      <c r="G208" s="27">
        <v>500</v>
      </c>
      <c r="H208" s="27" t="s">
        <v>493</v>
      </c>
      <c r="I208" s="27" t="s">
        <v>326</v>
      </c>
      <c r="J208" s="27" t="s">
        <v>494</v>
      </c>
      <c r="K208" s="27">
        <v>3080102</v>
      </c>
      <c r="L208" s="27" t="s">
        <v>37</v>
      </c>
      <c r="M208" s="27">
        <v>3580003</v>
      </c>
    </row>
    <row r="209" spans="1:13">
      <c r="A209" s="27">
        <v>903020604</v>
      </c>
      <c r="B209" s="27">
        <v>90302</v>
      </c>
      <c r="C209" s="27">
        <v>6</v>
      </c>
      <c r="D209" s="27">
        <v>4</v>
      </c>
      <c r="E209" s="28">
        <v>903020604</v>
      </c>
      <c r="F209" s="27">
        <v>1</v>
      </c>
      <c r="G209" s="27">
        <v>500</v>
      </c>
      <c r="H209" s="27" t="s">
        <v>495</v>
      </c>
      <c r="I209" s="27" t="s">
        <v>329</v>
      </c>
      <c r="J209" s="27" t="s">
        <v>496</v>
      </c>
      <c r="K209" s="27">
        <v>3080102</v>
      </c>
      <c r="L209" s="27" t="s">
        <v>37</v>
      </c>
      <c r="M209" s="27">
        <v>3580002</v>
      </c>
    </row>
    <row r="210" spans="1:13">
      <c r="A210" s="27">
        <v>903020704</v>
      </c>
      <c r="B210" s="27">
        <v>90302</v>
      </c>
      <c r="C210" s="27">
        <v>7</v>
      </c>
      <c r="D210" s="27">
        <v>4</v>
      </c>
      <c r="E210" s="28">
        <v>903020704</v>
      </c>
      <c r="F210" s="27">
        <v>1</v>
      </c>
      <c r="G210" s="27">
        <v>500</v>
      </c>
      <c r="H210" s="27" t="s">
        <v>497</v>
      </c>
      <c r="I210" s="27" t="s">
        <v>332</v>
      </c>
      <c r="J210" s="27" t="s">
        <v>498</v>
      </c>
      <c r="K210" s="27">
        <v>3080102</v>
      </c>
      <c r="L210" s="27" t="s">
        <v>37</v>
      </c>
      <c r="M210" s="27">
        <v>3580003</v>
      </c>
    </row>
    <row r="211" spans="1:13">
      <c r="A211" s="27">
        <v>903020805</v>
      </c>
      <c r="B211" s="27">
        <v>90302</v>
      </c>
      <c r="C211" s="27">
        <v>8</v>
      </c>
      <c r="D211" s="27">
        <v>5</v>
      </c>
      <c r="E211" s="28">
        <v>903020805</v>
      </c>
      <c r="F211" s="27">
        <v>1</v>
      </c>
      <c r="G211" s="27">
        <v>500</v>
      </c>
      <c r="H211" s="27" t="s">
        <v>499</v>
      </c>
      <c r="I211" s="27" t="s">
        <v>335</v>
      </c>
      <c r="J211" s="27" t="s">
        <v>336</v>
      </c>
      <c r="K211" s="45" t="s">
        <v>337</v>
      </c>
      <c r="L211" s="27" t="s">
        <v>37</v>
      </c>
      <c r="M211" s="27">
        <v>3580001</v>
      </c>
    </row>
    <row r="212" ht="15" spans="1:13">
      <c r="A212" s="17">
        <v>99990001</v>
      </c>
      <c r="B212" s="17">
        <v>9999</v>
      </c>
      <c r="C212" s="17">
        <v>1</v>
      </c>
      <c r="D212" s="17">
        <v>1</v>
      </c>
      <c r="E212" s="16" t="s">
        <v>33</v>
      </c>
      <c r="F212" s="17">
        <v>1</v>
      </c>
      <c r="G212" s="17">
        <v>100</v>
      </c>
      <c r="H212" s="19" t="s">
        <v>500</v>
      </c>
      <c r="I212" s="17" t="s">
        <v>501</v>
      </c>
      <c r="J212" s="17" t="s">
        <v>501</v>
      </c>
      <c r="K212" s="17"/>
      <c r="L212" s="17" t="s">
        <v>37</v>
      </c>
      <c r="M212" s="17">
        <v>3600002</v>
      </c>
    </row>
    <row r="213" ht="15" spans="1:13">
      <c r="A213" s="17">
        <v>99990002</v>
      </c>
      <c r="B213" s="17">
        <v>9999</v>
      </c>
      <c r="C213" s="17">
        <v>2</v>
      </c>
      <c r="D213" s="17">
        <v>1</v>
      </c>
      <c r="E213" s="16" t="s">
        <v>33</v>
      </c>
      <c r="F213" s="17">
        <v>1</v>
      </c>
      <c r="G213" s="17">
        <v>100</v>
      </c>
      <c r="H213" s="19" t="s">
        <v>502</v>
      </c>
      <c r="I213" s="13" t="s">
        <v>503</v>
      </c>
      <c r="J213" s="13" t="s">
        <v>503</v>
      </c>
      <c r="L213" s="17" t="s">
        <v>37</v>
      </c>
      <c r="M213" s="17">
        <v>3600002</v>
      </c>
    </row>
    <row r="214" ht="15" spans="1:13">
      <c r="A214" s="17">
        <v>99990003</v>
      </c>
      <c r="B214" s="17">
        <v>9999</v>
      </c>
      <c r="C214" s="17">
        <v>3</v>
      </c>
      <c r="D214" s="17">
        <v>1</v>
      </c>
      <c r="E214" s="16" t="s">
        <v>33</v>
      </c>
      <c r="F214" s="17">
        <v>1</v>
      </c>
      <c r="G214" s="17">
        <v>100</v>
      </c>
      <c r="H214" s="19" t="s">
        <v>504</v>
      </c>
      <c r="I214" s="13" t="s">
        <v>505</v>
      </c>
      <c r="J214" s="13" t="s">
        <v>505</v>
      </c>
      <c r="L214" s="17" t="s">
        <v>37</v>
      </c>
      <c r="M214" s="17">
        <v>3600002</v>
      </c>
    </row>
    <row r="215" spans="1:13">
      <c r="A215" s="17">
        <v>99990004</v>
      </c>
      <c r="B215" s="17">
        <v>9999</v>
      </c>
      <c r="C215" s="17">
        <v>4</v>
      </c>
      <c r="D215" s="17">
        <v>1</v>
      </c>
      <c r="E215" s="16" t="s">
        <v>33</v>
      </c>
      <c r="F215" s="17">
        <v>1</v>
      </c>
      <c r="G215" s="17">
        <v>100</v>
      </c>
      <c r="H215" s="13" t="s">
        <v>506</v>
      </c>
      <c r="I215" s="13" t="s">
        <v>507</v>
      </c>
      <c r="J215" s="13" t="s">
        <v>507</v>
      </c>
      <c r="L215" s="17" t="s">
        <v>37</v>
      </c>
      <c r="M215" s="17">
        <v>3600002</v>
      </c>
    </row>
    <row r="216" spans="1:13">
      <c r="A216" s="17">
        <v>99990005</v>
      </c>
      <c r="B216" s="17">
        <v>9999</v>
      </c>
      <c r="C216" s="17">
        <v>5</v>
      </c>
      <c r="D216" s="17">
        <v>1</v>
      </c>
      <c r="E216" s="16" t="s">
        <v>33</v>
      </c>
      <c r="F216" s="17">
        <v>1</v>
      </c>
      <c r="G216" s="17">
        <v>100</v>
      </c>
      <c r="H216" s="13" t="s">
        <v>508</v>
      </c>
      <c r="I216" s="13" t="s">
        <v>509</v>
      </c>
      <c r="J216" s="13" t="s">
        <v>509</v>
      </c>
      <c r="L216" s="17" t="s">
        <v>37</v>
      </c>
      <c r="M216" s="17">
        <v>3600002</v>
      </c>
    </row>
    <row r="217" spans="1:13">
      <c r="A217" s="17">
        <v>99990006</v>
      </c>
      <c r="B217" s="17">
        <v>9999</v>
      </c>
      <c r="C217" s="17">
        <v>6</v>
      </c>
      <c r="D217" s="17">
        <v>1</v>
      </c>
      <c r="E217" s="16" t="s">
        <v>33</v>
      </c>
      <c r="F217" s="17">
        <v>1</v>
      </c>
      <c r="G217" s="17">
        <v>100</v>
      </c>
      <c r="H217" s="13" t="s">
        <v>510</v>
      </c>
      <c r="I217" s="13" t="s">
        <v>511</v>
      </c>
      <c r="J217" s="13" t="s">
        <v>511</v>
      </c>
      <c r="L217" s="17" t="s">
        <v>37</v>
      </c>
      <c r="M217" s="17">
        <v>3600002</v>
      </c>
    </row>
    <row r="218" spans="1:13">
      <c r="A218" s="17">
        <v>99990007</v>
      </c>
      <c r="B218" s="17">
        <v>9999</v>
      </c>
      <c r="C218" s="17">
        <v>7</v>
      </c>
      <c r="D218" s="17">
        <v>1</v>
      </c>
      <c r="E218" s="16" t="s">
        <v>33</v>
      </c>
      <c r="F218" s="17">
        <v>1</v>
      </c>
      <c r="G218" s="17">
        <v>100</v>
      </c>
      <c r="H218" s="13" t="s">
        <v>512</v>
      </c>
      <c r="I218" s="13" t="s">
        <v>513</v>
      </c>
      <c r="J218" s="13" t="s">
        <v>513</v>
      </c>
      <c r="L218" s="17" t="s">
        <v>37</v>
      </c>
      <c r="M218" s="17">
        <v>3600002</v>
      </c>
    </row>
    <row r="219" spans="1:13">
      <c r="A219" s="17">
        <v>99990008</v>
      </c>
      <c r="B219" s="17">
        <v>9999</v>
      </c>
      <c r="C219" s="17">
        <v>8</v>
      </c>
      <c r="D219" s="17">
        <v>1</v>
      </c>
      <c r="E219" s="16" t="s">
        <v>33</v>
      </c>
      <c r="F219" s="17">
        <v>1</v>
      </c>
      <c r="G219" s="17">
        <v>100</v>
      </c>
      <c r="H219" s="13" t="s">
        <v>514</v>
      </c>
      <c r="I219" s="13" t="s">
        <v>515</v>
      </c>
      <c r="J219" s="13" t="s">
        <v>515</v>
      </c>
      <c r="L219" s="17" t="s">
        <v>37</v>
      </c>
      <c r="M219" s="17">
        <v>3600002</v>
      </c>
    </row>
    <row r="220" spans="1:13">
      <c r="A220" s="17">
        <v>99990009</v>
      </c>
      <c r="B220" s="17">
        <v>9999</v>
      </c>
      <c r="C220" s="17">
        <v>9</v>
      </c>
      <c r="D220" s="17">
        <v>1</v>
      </c>
      <c r="E220" s="16" t="s">
        <v>33</v>
      </c>
      <c r="F220" s="17">
        <v>1</v>
      </c>
      <c r="G220" s="17">
        <v>100</v>
      </c>
      <c r="H220" s="13" t="s">
        <v>516</v>
      </c>
      <c r="I220" s="13" t="s">
        <v>517</v>
      </c>
      <c r="J220" s="13" t="s">
        <v>517</v>
      </c>
      <c r="L220" s="17" t="s">
        <v>37</v>
      </c>
      <c r="M220" s="17">
        <v>3600002</v>
      </c>
    </row>
    <row r="221" spans="1:13">
      <c r="A221" s="17">
        <v>99990010</v>
      </c>
      <c r="B221" s="17">
        <v>9999</v>
      </c>
      <c r="C221" s="17">
        <v>10</v>
      </c>
      <c r="D221" s="17">
        <v>1</v>
      </c>
      <c r="E221" s="16" t="s">
        <v>33</v>
      </c>
      <c r="F221" s="17">
        <v>1</v>
      </c>
      <c r="G221" s="17">
        <v>100</v>
      </c>
      <c r="H221" s="13" t="s">
        <v>518</v>
      </c>
      <c r="I221" s="13" t="s">
        <v>519</v>
      </c>
      <c r="J221" s="13" t="s">
        <v>519</v>
      </c>
      <c r="L221" s="17" t="s">
        <v>37</v>
      </c>
      <c r="M221" s="17">
        <v>3600002</v>
      </c>
    </row>
    <row r="222" spans="1:13">
      <c r="A222" s="17">
        <v>99990011</v>
      </c>
      <c r="B222" s="17">
        <v>9999</v>
      </c>
      <c r="C222" s="17">
        <v>11</v>
      </c>
      <c r="D222" s="17">
        <v>1</v>
      </c>
      <c r="E222" s="16" t="s">
        <v>33</v>
      </c>
      <c r="F222" s="17">
        <v>1</v>
      </c>
      <c r="G222" s="17">
        <v>100</v>
      </c>
      <c r="H222" s="13" t="s">
        <v>520</v>
      </c>
      <c r="I222" s="13" t="s">
        <v>521</v>
      </c>
      <c r="J222" s="13" t="s">
        <v>521</v>
      </c>
      <c r="L222" s="17" t="s">
        <v>37</v>
      </c>
      <c r="M222" s="17">
        <v>3600002</v>
      </c>
    </row>
    <row r="223" spans="1:13">
      <c r="A223" s="17">
        <v>99990012</v>
      </c>
      <c r="B223" s="17">
        <v>9999</v>
      </c>
      <c r="C223" s="17">
        <v>12</v>
      </c>
      <c r="D223" s="17">
        <v>1</v>
      </c>
      <c r="E223" s="16" t="s">
        <v>33</v>
      </c>
      <c r="F223" s="17">
        <v>1</v>
      </c>
      <c r="G223" s="17">
        <v>100</v>
      </c>
      <c r="H223" s="13" t="s">
        <v>522</v>
      </c>
      <c r="I223" s="13" t="s">
        <v>523</v>
      </c>
      <c r="J223" s="13" t="s">
        <v>523</v>
      </c>
      <c r="L223" s="17" t="s">
        <v>37</v>
      </c>
      <c r="M223" s="17">
        <v>3600002</v>
      </c>
    </row>
    <row r="224" spans="1:13">
      <c r="A224" s="17">
        <v>99990013</v>
      </c>
      <c r="B224" s="17">
        <v>9999</v>
      </c>
      <c r="C224" s="17">
        <v>13</v>
      </c>
      <c r="D224" s="17">
        <v>1</v>
      </c>
      <c r="E224" s="16" t="s">
        <v>33</v>
      </c>
      <c r="F224" s="17">
        <v>1</v>
      </c>
      <c r="G224" s="17">
        <v>100</v>
      </c>
      <c r="H224" s="13" t="s">
        <v>524</v>
      </c>
      <c r="I224" s="13" t="s">
        <v>525</v>
      </c>
      <c r="J224" s="13" t="s">
        <v>525</v>
      </c>
      <c r="L224" s="17" t="s">
        <v>37</v>
      </c>
      <c r="M224" s="17">
        <v>3600002</v>
      </c>
    </row>
    <row r="225" spans="1:13">
      <c r="A225" s="17">
        <v>99990014</v>
      </c>
      <c r="B225" s="17">
        <v>9999</v>
      </c>
      <c r="C225" s="17">
        <v>14</v>
      </c>
      <c r="D225" s="17">
        <v>1</v>
      </c>
      <c r="E225" s="16" t="s">
        <v>33</v>
      </c>
      <c r="F225" s="17">
        <v>1</v>
      </c>
      <c r="G225" s="17">
        <v>100</v>
      </c>
      <c r="H225" s="13" t="s">
        <v>526</v>
      </c>
      <c r="I225" s="13" t="s">
        <v>527</v>
      </c>
      <c r="J225" s="13" t="s">
        <v>527</v>
      </c>
      <c r="L225" s="17" t="s">
        <v>37</v>
      </c>
      <c r="M225" s="17">
        <v>3600002</v>
      </c>
    </row>
    <row r="226" spans="1:13">
      <c r="A226" s="17">
        <v>99990015</v>
      </c>
      <c r="B226" s="17">
        <v>9999</v>
      </c>
      <c r="C226" s="17">
        <v>15</v>
      </c>
      <c r="D226" s="17">
        <v>1</v>
      </c>
      <c r="E226" s="16" t="s">
        <v>33</v>
      </c>
      <c r="F226" s="17">
        <v>1</v>
      </c>
      <c r="G226" s="17">
        <v>100</v>
      </c>
      <c r="H226" s="13" t="s">
        <v>528</v>
      </c>
      <c r="I226" s="13" t="s">
        <v>529</v>
      </c>
      <c r="J226" s="13" t="s">
        <v>529</v>
      </c>
      <c r="L226" s="17" t="s">
        <v>37</v>
      </c>
      <c r="M226" s="17">
        <v>3600002</v>
      </c>
    </row>
    <row r="227" spans="1:13">
      <c r="A227" s="17">
        <v>99990016</v>
      </c>
      <c r="B227" s="17">
        <v>9999</v>
      </c>
      <c r="C227" s="17">
        <v>16</v>
      </c>
      <c r="D227" s="17">
        <v>1</v>
      </c>
      <c r="E227" s="16" t="s">
        <v>33</v>
      </c>
      <c r="F227" s="17">
        <v>1</v>
      </c>
      <c r="G227" s="17">
        <v>100</v>
      </c>
      <c r="H227" s="13" t="s">
        <v>530</v>
      </c>
      <c r="I227" s="13" t="s">
        <v>531</v>
      </c>
      <c r="J227" s="13" t="s">
        <v>532</v>
      </c>
      <c r="L227" s="17" t="s">
        <v>37</v>
      </c>
      <c r="M227" s="17">
        <v>3600002</v>
      </c>
    </row>
    <row r="228" spans="1:13">
      <c r="A228" s="17">
        <v>99990017</v>
      </c>
      <c r="B228" s="17">
        <v>9999</v>
      </c>
      <c r="C228" s="17">
        <v>17</v>
      </c>
      <c r="D228" s="17">
        <v>1</v>
      </c>
      <c r="E228" s="16" t="s">
        <v>33</v>
      </c>
      <c r="F228" s="17">
        <v>1</v>
      </c>
      <c r="G228" s="17">
        <v>100</v>
      </c>
      <c r="H228" s="13" t="s">
        <v>533</v>
      </c>
      <c r="I228" s="13" t="s">
        <v>534</v>
      </c>
      <c r="J228" s="13" t="s">
        <v>534</v>
      </c>
      <c r="L228" s="17" t="s">
        <v>37</v>
      </c>
      <c r="M228" s="17">
        <v>3600002</v>
      </c>
    </row>
    <row r="229" spans="1:13">
      <c r="A229" s="17">
        <v>99990018</v>
      </c>
      <c r="B229" s="17">
        <v>9999</v>
      </c>
      <c r="C229" s="17">
        <v>18</v>
      </c>
      <c r="D229" s="17">
        <v>1</v>
      </c>
      <c r="E229" s="16" t="s">
        <v>33</v>
      </c>
      <c r="F229" s="17">
        <v>1</v>
      </c>
      <c r="G229" s="17">
        <v>100</v>
      </c>
      <c r="H229" s="13" t="s">
        <v>535</v>
      </c>
      <c r="I229" s="13" t="s">
        <v>536</v>
      </c>
      <c r="J229" s="13" t="s">
        <v>536</v>
      </c>
      <c r="L229" s="17" t="s">
        <v>37</v>
      </c>
      <c r="M229" s="17">
        <v>3600002</v>
      </c>
    </row>
    <row r="230" spans="1:13">
      <c r="A230" s="17">
        <v>99990019</v>
      </c>
      <c r="B230" s="17">
        <v>9999</v>
      </c>
      <c r="C230" s="17">
        <v>19</v>
      </c>
      <c r="D230" s="17">
        <v>1</v>
      </c>
      <c r="E230" s="16" t="s">
        <v>33</v>
      </c>
      <c r="F230" s="17">
        <v>1</v>
      </c>
      <c r="G230" s="17">
        <v>100</v>
      </c>
      <c r="H230" s="13" t="s">
        <v>537</v>
      </c>
      <c r="I230" s="13" t="s">
        <v>538</v>
      </c>
      <c r="J230" s="13" t="s">
        <v>538</v>
      </c>
      <c r="L230" s="17" t="s">
        <v>37</v>
      </c>
      <c r="M230" s="17">
        <v>3600002</v>
      </c>
    </row>
    <row r="231" spans="1:13">
      <c r="A231" s="17">
        <v>99990020</v>
      </c>
      <c r="B231" s="17">
        <v>9999</v>
      </c>
      <c r="C231" s="17">
        <v>20</v>
      </c>
      <c r="D231" s="17">
        <v>1</v>
      </c>
      <c r="E231" s="16" t="s">
        <v>33</v>
      </c>
      <c r="F231" s="17">
        <v>1</v>
      </c>
      <c r="G231" s="17">
        <v>100</v>
      </c>
      <c r="H231" s="13" t="s">
        <v>539</v>
      </c>
      <c r="I231" s="13" t="s">
        <v>540</v>
      </c>
      <c r="J231" s="13" t="s">
        <v>540</v>
      </c>
      <c r="L231" s="17" t="s">
        <v>37</v>
      </c>
      <c r="M231" s="17">
        <v>3600002</v>
      </c>
    </row>
    <row r="232" spans="1:13">
      <c r="A232" s="17">
        <v>99990021</v>
      </c>
      <c r="B232" s="17">
        <v>9999</v>
      </c>
      <c r="C232" s="17">
        <v>21</v>
      </c>
      <c r="D232" s="17">
        <v>1</v>
      </c>
      <c r="E232" s="16" t="s">
        <v>33</v>
      </c>
      <c r="F232" s="17">
        <v>1</v>
      </c>
      <c r="G232" s="17">
        <v>100</v>
      </c>
      <c r="H232" s="13" t="s">
        <v>541</v>
      </c>
      <c r="I232" s="13" t="s">
        <v>542</v>
      </c>
      <c r="J232" s="13" t="s">
        <v>542</v>
      </c>
      <c r="L232" s="17" t="s">
        <v>37</v>
      </c>
      <c r="M232" s="17">
        <v>3600002</v>
      </c>
    </row>
    <row r="233" spans="1:13">
      <c r="A233" s="17">
        <v>99990022</v>
      </c>
      <c r="B233" s="17">
        <v>9999</v>
      </c>
      <c r="C233" s="17">
        <v>22</v>
      </c>
      <c r="D233" s="17">
        <v>1</v>
      </c>
      <c r="E233" s="16" t="s">
        <v>33</v>
      </c>
      <c r="F233" s="17">
        <v>1</v>
      </c>
      <c r="G233" s="17">
        <v>100</v>
      </c>
      <c r="H233" s="13" t="s">
        <v>543</v>
      </c>
      <c r="I233" s="13" t="s">
        <v>544</v>
      </c>
      <c r="J233" s="13" t="s">
        <v>544</v>
      </c>
      <c r="L233" s="17" t="s">
        <v>37</v>
      </c>
      <c r="M233" s="17">
        <v>3600002</v>
      </c>
    </row>
    <row r="234" spans="1:13">
      <c r="A234" s="17">
        <v>99990023</v>
      </c>
      <c r="B234" s="17">
        <v>9999</v>
      </c>
      <c r="C234" s="17">
        <v>23</v>
      </c>
      <c r="D234" s="17">
        <v>1</v>
      </c>
      <c r="E234" s="16" t="s">
        <v>33</v>
      </c>
      <c r="F234" s="17">
        <v>1</v>
      </c>
      <c r="G234" s="17">
        <v>100</v>
      </c>
      <c r="H234" s="13" t="s">
        <v>545</v>
      </c>
      <c r="I234" s="13" t="s">
        <v>546</v>
      </c>
      <c r="J234" s="13" t="s">
        <v>546</v>
      </c>
      <c r="L234" s="17" t="s">
        <v>37</v>
      </c>
      <c r="M234" s="17">
        <v>3600002</v>
      </c>
    </row>
    <row r="235" spans="1:13">
      <c r="A235" s="17">
        <v>99990024</v>
      </c>
      <c r="B235" s="17">
        <v>9999</v>
      </c>
      <c r="C235" s="17">
        <v>24</v>
      </c>
      <c r="D235" s="13">
        <v>1</v>
      </c>
      <c r="E235" s="14" t="s">
        <v>33</v>
      </c>
      <c r="F235" s="13">
        <v>1</v>
      </c>
      <c r="G235" s="17">
        <v>100</v>
      </c>
      <c r="H235" s="13" t="s">
        <v>547</v>
      </c>
      <c r="I235" s="13" t="s">
        <v>548</v>
      </c>
      <c r="J235" s="13" t="s">
        <v>549</v>
      </c>
      <c r="L235" s="17" t="s">
        <v>37</v>
      </c>
      <c r="M235" s="13">
        <v>3550002</v>
      </c>
    </row>
    <row r="236" spans="1:13">
      <c r="A236" s="17">
        <v>99990025</v>
      </c>
      <c r="B236" s="17">
        <v>9999</v>
      </c>
      <c r="C236" s="17">
        <v>25</v>
      </c>
      <c r="D236" s="13">
        <v>1</v>
      </c>
      <c r="E236" s="13">
        <v>0</v>
      </c>
      <c r="F236" s="13">
        <v>1</v>
      </c>
      <c r="G236" s="17">
        <v>100</v>
      </c>
      <c r="H236" s="13" t="s">
        <v>550</v>
      </c>
      <c r="I236" s="13" t="s">
        <v>551</v>
      </c>
      <c r="J236" s="13" t="s">
        <v>552</v>
      </c>
      <c r="L236" s="17" t="s">
        <v>37</v>
      </c>
      <c r="M236" s="13">
        <v>3560004</v>
      </c>
    </row>
    <row r="237" spans="1:13">
      <c r="A237" s="17">
        <v>99990026</v>
      </c>
      <c r="B237" s="17">
        <v>9999</v>
      </c>
      <c r="C237" s="17">
        <v>26</v>
      </c>
      <c r="D237" s="13">
        <v>1</v>
      </c>
      <c r="E237" s="13">
        <v>0</v>
      </c>
      <c r="F237" s="13">
        <v>1</v>
      </c>
      <c r="G237" s="17">
        <v>100</v>
      </c>
      <c r="H237" s="13" t="s">
        <v>553</v>
      </c>
      <c r="I237" s="13" t="s">
        <v>292</v>
      </c>
      <c r="J237" s="13" t="s">
        <v>554</v>
      </c>
      <c r="L237" s="17" t="s">
        <v>37</v>
      </c>
      <c r="M237" s="13">
        <v>3570003</v>
      </c>
    </row>
    <row r="238" spans="1:13">
      <c r="A238" s="17">
        <v>99990027</v>
      </c>
      <c r="B238" s="17">
        <v>9999</v>
      </c>
      <c r="C238" s="17">
        <v>27</v>
      </c>
      <c r="D238" s="13">
        <v>1</v>
      </c>
      <c r="E238" s="13">
        <v>0</v>
      </c>
      <c r="F238" s="13">
        <v>1</v>
      </c>
      <c r="G238" s="17">
        <v>100</v>
      </c>
      <c r="H238" s="13" t="s">
        <v>555</v>
      </c>
      <c r="I238" s="13" t="s">
        <v>556</v>
      </c>
      <c r="J238" s="13" t="s">
        <v>557</v>
      </c>
      <c r="L238" s="17" t="s">
        <v>37</v>
      </c>
      <c r="M238" s="13">
        <v>3570003</v>
      </c>
    </row>
    <row r="239" spans="1:13">
      <c r="A239" s="17">
        <v>99990028</v>
      </c>
      <c r="B239" s="17">
        <v>9999</v>
      </c>
      <c r="C239" s="17">
        <v>28</v>
      </c>
      <c r="D239" s="13">
        <v>1</v>
      </c>
      <c r="E239" s="13">
        <v>0</v>
      </c>
      <c r="F239" s="13">
        <v>1</v>
      </c>
      <c r="G239" s="17">
        <v>100</v>
      </c>
      <c r="H239" s="13" t="s">
        <v>558</v>
      </c>
      <c r="I239" s="13" t="s">
        <v>559</v>
      </c>
      <c r="J239" s="13" t="s">
        <v>560</v>
      </c>
      <c r="L239" s="17" t="s">
        <v>37</v>
      </c>
      <c r="M239" s="13">
        <v>3570003</v>
      </c>
    </row>
    <row r="240" spans="1:13">
      <c r="A240" s="17">
        <v>99990029</v>
      </c>
      <c r="B240" s="17">
        <v>9999</v>
      </c>
      <c r="C240" s="17">
        <v>29</v>
      </c>
      <c r="D240" s="13">
        <v>1</v>
      </c>
      <c r="E240" s="13">
        <v>0</v>
      </c>
      <c r="F240" s="13">
        <v>1</v>
      </c>
      <c r="G240" s="17">
        <v>100</v>
      </c>
      <c r="H240" s="13" t="s">
        <v>561</v>
      </c>
      <c r="I240" s="13" t="s">
        <v>562</v>
      </c>
      <c r="J240" s="13" t="s">
        <v>563</v>
      </c>
      <c r="L240" s="17" t="s">
        <v>37</v>
      </c>
      <c r="M240" s="13">
        <v>3570003</v>
      </c>
    </row>
    <row r="241" spans="1:13">
      <c r="A241" s="17">
        <v>99990030</v>
      </c>
      <c r="B241" s="17">
        <v>9999</v>
      </c>
      <c r="C241" s="17">
        <v>30</v>
      </c>
      <c r="D241" s="13">
        <v>1</v>
      </c>
      <c r="E241" s="13">
        <v>0</v>
      </c>
      <c r="F241" s="13">
        <v>1</v>
      </c>
      <c r="G241" s="17">
        <v>100</v>
      </c>
      <c r="H241" s="13" t="s">
        <v>564</v>
      </c>
      <c r="I241" s="13" t="s">
        <v>565</v>
      </c>
      <c r="J241" s="13" t="s">
        <v>566</v>
      </c>
      <c r="L241" s="17" t="s">
        <v>37</v>
      </c>
      <c r="M241" s="13">
        <v>3570003</v>
      </c>
    </row>
    <row r="242" spans="1:13">
      <c r="A242" s="17">
        <v>99990031</v>
      </c>
      <c r="B242" s="17">
        <v>9999</v>
      </c>
      <c r="C242" s="17">
        <v>31</v>
      </c>
      <c r="D242" s="13">
        <v>1</v>
      </c>
      <c r="E242" s="13">
        <v>0</v>
      </c>
      <c r="F242" s="13">
        <v>1</v>
      </c>
      <c r="G242" s="17">
        <v>100</v>
      </c>
      <c r="H242" s="13" t="s">
        <v>567</v>
      </c>
      <c r="I242" s="13" t="s">
        <v>568</v>
      </c>
      <c r="J242" s="13" t="s">
        <v>569</v>
      </c>
      <c r="L242" s="17" t="s">
        <v>37</v>
      </c>
      <c r="M242" s="13">
        <v>3570003</v>
      </c>
    </row>
    <row r="243" spans="1:13">
      <c r="A243" s="17">
        <v>99990032</v>
      </c>
      <c r="B243" s="17">
        <v>9999</v>
      </c>
      <c r="C243" s="17">
        <v>32</v>
      </c>
      <c r="D243" s="13">
        <v>1</v>
      </c>
      <c r="E243" s="13">
        <v>0</v>
      </c>
      <c r="F243" s="13">
        <v>1</v>
      </c>
      <c r="G243" s="17">
        <v>100</v>
      </c>
      <c r="H243" s="13" t="s">
        <v>570</v>
      </c>
      <c r="I243" s="13" t="s">
        <v>296</v>
      </c>
      <c r="J243" s="13" t="s">
        <v>571</v>
      </c>
      <c r="L243" s="17" t="s">
        <v>37</v>
      </c>
      <c r="M243" s="13">
        <v>3570003</v>
      </c>
    </row>
    <row r="244" spans="1:13">
      <c r="A244" s="17">
        <v>99990033</v>
      </c>
      <c r="B244" s="17">
        <v>9999</v>
      </c>
      <c r="C244" s="17">
        <v>33</v>
      </c>
      <c r="D244" s="13">
        <v>1</v>
      </c>
      <c r="E244" s="13">
        <v>0</v>
      </c>
      <c r="F244" s="13">
        <v>1</v>
      </c>
      <c r="G244" s="17">
        <v>100</v>
      </c>
      <c r="H244" s="13" t="s">
        <v>572</v>
      </c>
      <c r="I244" s="13" t="s">
        <v>573</v>
      </c>
      <c r="J244" s="13" t="s">
        <v>574</v>
      </c>
      <c r="L244" s="17" t="s">
        <v>37</v>
      </c>
      <c r="M244" s="13">
        <v>3570003</v>
      </c>
    </row>
    <row r="245" spans="1:13">
      <c r="A245" s="17">
        <v>99910001</v>
      </c>
      <c r="B245" s="17">
        <v>9991</v>
      </c>
      <c r="C245" s="17">
        <v>1</v>
      </c>
      <c r="D245" s="13">
        <v>1</v>
      </c>
      <c r="E245" s="13">
        <v>0</v>
      </c>
      <c r="F245" s="13">
        <v>1</v>
      </c>
      <c r="G245" s="17">
        <v>100</v>
      </c>
      <c r="H245" s="13" t="s">
        <v>575</v>
      </c>
      <c r="I245" s="13" t="s">
        <v>296</v>
      </c>
      <c r="J245" s="13" t="s">
        <v>571</v>
      </c>
      <c r="L245" s="17" t="s">
        <v>37</v>
      </c>
      <c r="M245" s="13">
        <v>3570003</v>
      </c>
    </row>
    <row r="246" spans="1:13">
      <c r="A246" s="17">
        <v>99910002</v>
      </c>
      <c r="B246" s="17">
        <v>9991</v>
      </c>
      <c r="C246" s="17">
        <v>2</v>
      </c>
      <c r="D246" s="13">
        <v>2</v>
      </c>
      <c r="E246" s="13">
        <v>0</v>
      </c>
      <c r="F246" s="13">
        <v>2</v>
      </c>
      <c r="G246" s="17">
        <v>100</v>
      </c>
      <c r="H246" s="13" t="s">
        <v>576</v>
      </c>
      <c r="I246" s="13" t="s">
        <v>577</v>
      </c>
      <c r="J246" s="13" t="s">
        <v>578</v>
      </c>
      <c r="L246" s="17" t="s">
        <v>37</v>
      </c>
      <c r="M246" s="13">
        <v>3570003</v>
      </c>
    </row>
    <row r="247" spans="1:13">
      <c r="A247" s="17">
        <v>99910003</v>
      </c>
      <c r="B247" s="17">
        <v>9991</v>
      </c>
      <c r="C247" s="17">
        <v>3</v>
      </c>
      <c r="D247" s="13">
        <v>2</v>
      </c>
      <c r="E247" s="13">
        <v>0</v>
      </c>
      <c r="F247" s="13">
        <v>2</v>
      </c>
      <c r="G247" s="17">
        <v>100</v>
      </c>
      <c r="H247" s="13" t="s">
        <v>579</v>
      </c>
      <c r="I247" s="13" t="s">
        <v>580</v>
      </c>
      <c r="J247" s="13" t="s">
        <v>581</v>
      </c>
      <c r="L247" s="17" t="s">
        <v>37</v>
      </c>
      <c r="M247" s="13">
        <v>3570003</v>
      </c>
    </row>
    <row r="248" spans="1:13">
      <c r="A248" s="17">
        <v>99910004</v>
      </c>
      <c r="B248" s="17">
        <v>9991</v>
      </c>
      <c r="C248" s="17">
        <v>4</v>
      </c>
      <c r="D248" s="13">
        <v>2</v>
      </c>
      <c r="E248" s="13">
        <v>0</v>
      </c>
      <c r="F248" s="13">
        <v>2</v>
      </c>
      <c r="G248" s="17">
        <v>100</v>
      </c>
      <c r="H248" s="13" t="s">
        <v>582</v>
      </c>
      <c r="I248" s="13" t="s">
        <v>583</v>
      </c>
      <c r="J248" s="13" t="s">
        <v>584</v>
      </c>
      <c r="L248" s="17" t="s">
        <v>37</v>
      </c>
      <c r="M248" s="13">
        <v>3570003</v>
      </c>
    </row>
    <row r="249" spans="1:13">
      <c r="A249" s="17">
        <v>99910005</v>
      </c>
      <c r="B249" s="17">
        <v>9991</v>
      </c>
      <c r="C249" s="17">
        <v>5</v>
      </c>
      <c r="D249" s="13">
        <v>3</v>
      </c>
      <c r="E249" s="13">
        <v>0</v>
      </c>
      <c r="F249" s="13">
        <v>2</v>
      </c>
      <c r="G249" s="17">
        <v>100</v>
      </c>
      <c r="H249" s="13" t="s">
        <v>585</v>
      </c>
      <c r="I249" s="13" t="s">
        <v>586</v>
      </c>
      <c r="J249" s="13" t="s">
        <v>587</v>
      </c>
      <c r="L249" s="17" t="s">
        <v>37</v>
      </c>
      <c r="M249" s="13">
        <v>3570003</v>
      </c>
    </row>
    <row r="250" spans="1:13">
      <c r="A250" s="17">
        <v>99910006</v>
      </c>
      <c r="B250" s="17">
        <v>9991</v>
      </c>
      <c r="C250" s="17">
        <v>6</v>
      </c>
      <c r="D250" s="13">
        <v>3</v>
      </c>
      <c r="E250" s="13">
        <v>0</v>
      </c>
      <c r="F250" s="13">
        <v>1</v>
      </c>
      <c r="G250" s="17">
        <v>100</v>
      </c>
      <c r="H250" s="13" t="s">
        <v>588</v>
      </c>
      <c r="I250" s="13" t="s">
        <v>589</v>
      </c>
      <c r="J250" s="13" t="s">
        <v>590</v>
      </c>
      <c r="L250" s="17" t="s">
        <v>37</v>
      </c>
      <c r="M250" s="13">
        <v>3570003</v>
      </c>
    </row>
    <row r="251" spans="1:13">
      <c r="A251" s="17">
        <v>99910007</v>
      </c>
      <c r="B251" s="17">
        <v>9991</v>
      </c>
      <c r="C251" s="17">
        <v>7</v>
      </c>
      <c r="D251" s="13">
        <v>3</v>
      </c>
      <c r="E251" s="13">
        <v>0</v>
      </c>
      <c r="F251" s="13">
        <v>1</v>
      </c>
      <c r="G251" s="17">
        <v>100</v>
      </c>
      <c r="H251" s="13" t="s">
        <v>591</v>
      </c>
      <c r="I251" s="13" t="s">
        <v>592</v>
      </c>
      <c r="J251" s="13" t="s">
        <v>593</v>
      </c>
      <c r="L251" s="17" t="s">
        <v>37</v>
      </c>
      <c r="M251" s="13">
        <v>3570003</v>
      </c>
    </row>
    <row r="252" spans="1:13">
      <c r="A252" s="17">
        <v>99910008</v>
      </c>
      <c r="B252" s="17">
        <v>9991</v>
      </c>
      <c r="C252" s="17">
        <v>8</v>
      </c>
      <c r="D252" s="13">
        <v>4</v>
      </c>
      <c r="E252" s="13">
        <v>0</v>
      </c>
      <c r="F252" s="13">
        <v>2</v>
      </c>
      <c r="G252" s="17">
        <v>100</v>
      </c>
      <c r="H252" s="13" t="s">
        <v>594</v>
      </c>
      <c r="I252" s="13" t="s">
        <v>595</v>
      </c>
      <c r="J252" s="13" t="s">
        <v>596</v>
      </c>
      <c r="L252" s="17" t="s">
        <v>37</v>
      </c>
      <c r="M252" s="13">
        <v>3570003</v>
      </c>
    </row>
    <row r="253" spans="1:13">
      <c r="A253" s="17">
        <v>99910009</v>
      </c>
      <c r="B253" s="17">
        <v>9991</v>
      </c>
      <c r="C253" s="17">
        <v>9</v>
      </c>
      <c r="D253" s="13">
        <v>4</v>
      </c>
      <c r="E253" s="13">
        <v>0</v>
      </c>
      <c r="F253" s="13">
        <v>1</v>
      </c>
      <c r="G253" s="17">
        <v>100</v>
      </c>
      <c r="H253" s="13" t="s">
        <v>597</v>
      </c>
      <c r="I253" s="13" t="s">
        <v>598</v>
      </c>
      <c r="J253" s="13" t="s">
        <v>599</v>
      </c>
      <c r="L253" s="17" t="s">
        <v>37</v>
      </c>
      <c r="M253" s="13">
        <v>3570003</v>
      </c>
    </row>
    <row r="254" spans="1:13">
      <c r="A254" s="17">
        <v>99910010</v>
      </c>
      <c r="B254" s="17">
        <v>9991</v>
      </c>
      <c r="C254" s="17">
        <v>10</v>
      </c>
      <c r="D254" s="13">
        <v>4</v>
      </c>
      <c r="E254" s="13">
        <v>0</v>
      </c>
      <c r="F254" s="13">
        <v>2</v>
      </c>
      <c r="G254" s="17">
        <v>100</v>
      </c>
      <c r="H254" s="13" t="s">
        <v>600</v>
      </c>
      <c r="I254" s="13" t="s">
        <v>601</v>
      </c>
      <c r="J254" s="13" t="s">
        <v>602</v>
      </c>
      <c r="L254" s="17" t="s">
        <v>37</v>
      </c>
      <c r="M254" s="13">
        <v>3570003</v>
      </c>
    </row>
    <row r="255" spans="1:13">
      <c r="A255" s="17">
        <v>99910011</v>
      </c>
      <c r="B255" s="17">
        <v>9991</v>
      </c>
      <c r="C255" s="17">
        <v>11</v>
      </c>
      <c r="D255" s="13">
        <v>5</v>
      </c>
      <c r="E255" s="13">
        <v>0</v>
      </c>
      <c r="F255" s="13">
        <v>2</v>
      </c>
      <c r="G255" s="17">
        <v>100</v>
      </c>
      <c r="H255" s="13" t="s">
        <v>603</v>
      </c>
      <c r="I255" s="13" t="s">
        <v>604</v>
      </c>
      <c r="J255" s="13" t="s">
        <v>605</v>
      </c>
      <c r="L255" s="17" t="s">
        <v>37</v>
      </c>
      <c r="M255" s="13">
        <v>3570003</v>
      </c>
    </row>
    <row r="256" spans="1:13">
      <c r="A256" s="17">
        <v>99910012</v>
      </c>
      <c r="B256" s="17">
        <v>9991</v>
      </c>
      <c r="C256" s="17">
        <v>12</v>
      </c>
      <c r="D256" s="13">
        <v>6</v>
      </c>
      <c r="E256" s="13">
        <v>0</v>
      </c>
      <c r="F256" s="13">
        <v>1</v>
      </c>
      <c r="G256" s="17">
        <v>100</v>
      </c>
      <c r="H256" s="13" t="s">
        <v>606</v>
      </c>
      <c r="I256" s="13" t="s">
        <v>607</v>
      </c>
      <c r="J256" s="13" t="s">
        <v>608</v>
      </c>
      <c r="L256" s="17" t="s">
        <v>37</v>
      </c>
      <c r="M256" s="13">
        <v>3570003</v>
      </c>
    </row>
    <row r="257" spans="1:13">
      <c r="A257" s="17">
        <v>99920001</v>
      </c>
      <c r="B257" s="17">
        <v>9992</v>
      </c>
      <c r="C257" s="17">
        <v>1</v>
      </c>
      <c r="D257" s="13">
        <v>1</v>
      </c>
      <c r="E257" s="13">
        <v>0</v>
      </c>
      <c r="F257" s="13">
        <v>1</v>
      </c>
      <c r="G257" s="17">
        <v>100</v>
      </c>
      <c r="H257" s="13" t="s">
        <v>609</v>
      </c>
      <c r="I257" s="13" t="s">
        <v>610</v>
      </c>
      <c r="J257" s="13" t="s">
        <v>611</v>
      </c>
      <c r="L257" s="17" t="s">
        <v>37</v>
      </c>
      <c r="M257" s="13">
        <v>3570003</v>
      </c>
    </row>
    <row r="258" spans="1:13">
      <c r="A258" s="17">
        <v>99920002</v>
      </c>
      <c r="B258" s="17">
        <v>9992</v>
      </c>
      <c r="C258" s="17">
        <v>2</v>
      </c>
      <c r="D258" s="13">
        <v>2</v>
      </c>
      <c r="E258" s="13">
        <v>0</v>
      </c>
      <c r="F258" s="13">
        <v>2</v>
      </c>
      <c r="G258" s="17">
        <v>100</v>
      </c>
      <c r="H258" s="13" t="s">
        <v>576</v>
      </c>
      <c r="I258" s="13" t="s">
        <v>577</v>
      </c>
      <c r="J258" s="13" t="s">
        <v>578</v>
      </c>
      <c r="L258" s="17" t="s">
        <v>37</v>
      </c>
      <c r="M258" s="13">
        <v>3570003</v>
      </c>
    </row>
    <row r="259" spans="1:13">
      <c r="A259" s="17">
        <v>99920003</v>
      </c>
      <c r="B259" s="17">
        <v>9992</v>
      </c>
      <c r="C259" s="17">
        <v>3</v>
      </c>
      <c r="D259" s="13">
        <v>2</v>
      </c>
      <c r="E259" s="13">
        <v>0</v>
      </c>
      <c r="F259" s="13">
        <v>2</v>
      </c>
      <c r="G259" s="17">
        <v>100</v>
      </c>
      <c r="H259" s="51" t="s">
        <v>612</v>
      </c>
      <c r="I259" s="13" t="s">
        <v>613</v>
      </c>
      <c r="J259" s="13" t="s">
        <v>614</v>
      </c>
      <c r="L259" s="17" t="s">
        <v>37</v>
      </c>
      <c r="M259" s="13">
        <v>3570003</v>
      </c>
    </row>
    <row r="260" spans="1:13">
      <c r="A260" s="17">
        <v>99920004</v>
      </c>
      <c r="B260" s="17">
        <v>9992</v>
      </c>
      <c r="C260" s="17">
        <v>4</v>
      </c>
      <c r="D260" s="13">
        <v>2</v>
      </c>
      <c r="E260" s="13">
        <v>0</v>
      </c>
      <c r="F260" s="13">
        <v>2</v>
      </c>
      <c r="G260" s="17">
        <v>100</v>
      </c>
      <c r="H260" s="13" t="s">
        <v>615</v>
      </c>
      <c r="I260" s="13" t="s">
        <v>583</v>
      </c>
      <c r="J260" s="13" t="s">
        <v>616</v>
      </c>
      <c r="L260" s="17" t="s">
        <v>37</v>
      </c>
      <c r="M260" s="13">
        <v>3570003</v>
      </c>
    </row>
    <row r="261" spans="1:13">
      <c r="A261" s="17">
        <v>99920005</v>
      </c>
      <c r="B261" s="17">
        <v>9992</v>
      </c>
      <c r="C261" s="17">
        <v>5</v>
      </c>
      <c r="D261" s="13">
        <v>3</v>
      </c>
      <c r="E261" s="13">
        <v>0</v>
      </c>
      <c r="F261" s="13">
        <v>2</v>
      </c>
      <c r="G261" s="17">
        <v>100</v>
      </c>
      <c r="H261" s="51" t="s">
        <v>617</v>
      </c>
      <c r="I261" s="13" t="s">
        <v>618</v>
      </c>
      <c r="J261" s="13" t="s">
        <v>619</v>
      </c>
      <c r="L261" s="17" t="s">
        <v>37</v>
      </c>
      <c r="M261" s="13">
        <v>3570003</v>
      </c>
    </row>
    <row r="262" spans="1:13">
      <c r="A262" s="17">
        <v>99920006</v>
      </c>
      <c r="B262" s="17">
        <v>9992</v>
      </c>
      <c r="C262" s="17">
        <v>6</v>
      </c>
      <c r="D262" s="13">
        <v>3</v>
      </c>
      <c r="E262" s="13">
        <v>0</v>
      </c>
      <c r="F262" s="13">
        <v>1</v>
      </c>
      <c r="G262" s="17">
        <v>100</v>
      </c>
      <c r="H262" s="13" t="s">
        <v>620</v>
      </c>
      <c r="I262" s="13" t="s">
        <v>621</v>
      </c>
      <c r="J262" s="13" t="s">
        <v>622</v>
      </c>
      <c r="L262" s="17" t="s">
        <v>37</v>
      </c>
      <c r="M262" s="13">
        <v>3570003</v>
      </c>
    </row>
    <row r="263" spans="1:13">
      <c r="A263" s="17">
        <v>99920007</v>
      </c>
      <c r="B263" s="17">
        <v>9992</v>
      </c>
      <c r="C263" s="17">
        <v>7</v>
      </c>
      <c r="D263" s="13">
        <v>3</v>
      </c>
      <c r="E263" s="13">
        <v>0</v>
      </c>
      <c r="F263" s="13">
        <v>1</v>
      </c>
      <c r="G263" s="17">
        <v>100</v>
      </c>
      <c r="H263" s="51" t="s">
        <v>623</v>
      </c>
      <c r="I263" s="13" t="s">
        <v>624</v>
      </c>
      <c r="J263" s="13" t="s">
        <v>625</v>
      </c>
      <c r="L263" s="17" t="s">
        <v>37</v>
      </c>
      <c r="M263" s="13">
        <v>3570003</v>
      </c>
    </row>
    <row r="264" spans="1:13">
      <c r="A264" s="17">
        <v>99920008</v>
      </c>
      <c r="B264" s="17">
        <v>9992</v>
      </c>
      <c r="C264" s="17">
        <v>8</v>
      </c>
      <c r="D264" s="13">
        <v>4</v>
      </c>
      <c r="E264" s="13">
        <v>0</v>
      </c>
      <c r="F264" s="13">
        <v>2</v>
      </c>
      <c r="G264" s="17">
        <v>100</v>
      </c>
      <c r="H264" s="51" t="s">
        <v>626</v>
      </c>
      <c r="I264" s="13" t="s">
        <v>627</v>
      </c>
      <c r="J264" s="13" t="s">
        <v>628</v>
      </c>
      <c r="L264" s="17" t="s">
        <v>37</v>
      </c>
      <c r="M264" s="13">
        <v>3570003</v>
      </c>
    </row>
    <row r="265" spans="1:13">
      <c r="A265" s="17">
        <v>99920009</v>
      </c>
      <c r="B265" s="17">
        <v>9992</v>
      </c>
      <c r="C265" s="17">
        <v>9</v>
      </c>
      <c r="D265" s="13">
        <v>4</v>
      </c>
      <c r="E265" s="13">
        <v>0</v>
      </c>
      <c r="F265" s="13">
        <v>1</v>
      </c>
      <c r="G265" s="17">
        <v>100</v>
      </c>
      <c r="H265" s="13" t="s">
        <v>629</v>
      </c>
      <c r="I265" s="13" t="s">
        <v>630</v>
      </c>
      <c r="J265" s="13" t="s">
        <v>631</v>
      </c>
      <c r="L265" s="17" t="s">
        <v>37</v>
      </c>
      <c r="M265" s="13">
        <v>3570003</v>
      </c>
    </row>
    <row r="266" spans="1:13">
      <c r="A266" s="17">
        <v>99920010</v>
      </c>
      <c r="B266" s="17">
        <v>9992</v>
      </c>
      <c r="C266" s="17">
        <v>10</v>
      </c>
      <c r="D266" s="13">
        <v>4</v>
      </c>
      <c r="E266" s="13">
        <v>0</v>
      </c>
      <c r="F266" s="13">
        <v>2</v>
      </c>
      <c r="G266" s="17">
        <v>100</v>
      </c>
      <c r="H266" s="51" t="s">
        <v>632</v>
      </c>
      <c r="I266" s="13" t="s">
        <v>633</v>
      </c>
      <c r="J266" s="13" t="s">
        <v>634</v>
      </c>
      <c r="L266" s="17" t="s">
        <v>37</v>
      </c>
      <c r="M266" s="13">
        <v>3570003</v>
      </c>
    </row>
    <row r="267" spans="1:13">
      <c r="A267" s="17">
        <v>99920011</v>
      </c>
      <c r="B267" s="17">
        <v>9992</v>
      </c>
      <c r="C267" s="17">
        <v>11</v>
      </c>
      <c r="D267" s="13">
        <v>5</v>
      </c>
      <c r="E267" s="13">
        <v>0</v>
      </c>
      <c r="F267" s="13">
        <v>2</v>
      </c>
      <c r="G267" s="17">
        <v>100</v>
      </c>
      <c r="H267" s="13" t="s">
        <v>635</v>
      </c>
      <c r="I267" s="13" t="s">
        <v>636</v>
      </c>
      <c r="J267" s="13" t="s">
        <v>637</v>
      </c>
      <c r="L267" s="17" t="s">
        <v>37</v>
      </c>
      <c r="M267" s="13">
        <v>3570003</v>
      </c>
    </row>
    <row r="268" spans="1:13">
      <c r="A268" s="17">
        <v>99920012</v>
      </c>
      <c r="B268" s="17">
        <v>9992</v>
      </c>
      <c r="C268" s="17">
        <v>12</v>
      </c>
      <c r="D268" s="13">
        <v>6</v>
      </c>
      <c r="E268" s="13">
        <v>0</v>
      </c>
      <c r="F268" s="13">
        <v>1</v>
      </c>
      <c r="G268" s="17">
        <v>100</v>
      </c>
      <c r="H268" s="13" t="s">
        <v>638</v>
      </c>
      <c r="I268" s="13" t="s">
        <v>639</v>
      </c>
      <c r="J268" s="13" t="s">
        <v>640</v>
      </c>
      <c r="L268" s="17" t="s">
        <v>37</v>
      </c>
      <c r="M268" s="13">
        <v>3570003</v>
      </c>
    </row>
    <row r="269" spans="1:13">
      <c r="A269" s="17">
        <v>99930001</v>
      </c>
      <c r="B269" s="17">
        <v>9993</v>
      </c>
      <c r="C269" s="17">
        <v>1</v>
      </c>
      <c r="D269" s="13">
        <v>1</v>
      </c>
      <c r="E269" s="13">
        <v>0</v>
      </c>
      <c r="F269" s="13">
        <v>1</v>
      </c>
      <c r="G269" s="17">
        <v>100</v>
      </c>
      <c r="H269" s="13" t="s">
        <v>641</v>
      </c>
      <c r="I269" s="13" t="s">
        <v>642</v>
      </c>
      <c r="J269" s="13" t="s">
        <v>643</v>
      </c>
      <c r="L269" s="17" t="s">
        <v>37</v>
      </c>
      <c r="M269" s="13">
        <v>3570003</v>
      </c>
    </row>
    <row r="270" spans="1:13">
      <c r="A270" s="17">
        <v>99930006</v>
      </c>
      <c r="B270" s="17">
        <v>9993</v>
      </c>
      <c r="C270" s="17">
        <v>6</v>
      </c>
      <c r="D270" s="13">
        <v>3</v>
      </c>
      <c r="E270" s="13">
        <v>0</v>
      </c>
      <c r="F270" s="13">
        <v>1</v>
      </c>
      <c r="G270" s="17">
        <v>100</v>
      </c>
      <c r="H270" s="13" t="s">
        <v>644</v>
      </c>
      <c r="I270" s="13" t="s">
        <v>645</v>
      </c>
      <c r="J270" s="13" t="s">
        <v>646</v>
      </c>
      <c r="L270" s="17" t="s">
        <v>37</v>
      </c>
      <c r="M270" s="13">
        <v>3570003</v>
      </c>
    </row>
    <row r="271" spans="1:13">
      <c r="A271" s="17">
        <v>99930007</v>
      </c>
      <c r="B271" s="17">
        <v>9993</v>
      </c>
      <c r="C271" s="17">
        <v>7</v>
      </c>
      <c r="D271" s="13">
        <v>3</v>
      </c>
      <c r="E271" s="13">
        <v>0</v>
      </c>
      <c r="F271" s="13">
        <v>1</v>
      </c>
      <c r="G271" s="17">
        <v>100</v>
      </c>
      <c r="H271" s="13" t="s">
        <v>647</v>
      </c>
      <c r="I271" s="13" t="s">
        <v>648</v>
      </c>
      <c r="J271" s="13" t="s">
        <v>649</v>
      </c>
      <c r="L271" s="17" t="s">
        <v>37</v>
      </c>
      <c r="M271" s="13">
        <v>3570003</v>
      </c>
    </row>
    <row r="272" spans="1:13">
      <c r="A272" s="13">
        <v>800000001</v>
      </c>
      <c r="B272" s="13">
        <v>8000</v>
      </c>
      <c r="C272" s="13">
        <v>1</v>
      </c>
      <c r="D272" s="13">
        <v>1</v>
      </c>
      <c r="E272" s="14" t="s">
        <v>33</v>
      </c>
      <c r="F272" s="13">
        <v>1</v>
      </c>
      <c r="G272" s="17">
        <v>100</v>
      </c>
      <c r="H272" s="13" t="s">
        <v>650</v>
      </c>
      <c r="I272" s="13" t="s">
        <v>651</v>
      </c>
      <c r="J272" s="13" t="s">
        <v>652</v>
      </c>
      <c r="L272" s="17" t="s">
        <v>37</v>
      </c>
      <c r="M272" s="13">
        <v>3550003</v>
      </c>
    </row>
    <row r="273" spans="1:13">
      <c r="A273" s="13">
        <v>800010101</v>
      </c>
      <c r="B273" s="13">
        <v>8000</v>
      </c>
      <c r="C273" s="13">
        <v>2</v>
      </c>
      <c r="D273" s="13">
        <v>2</v>
      </c>
      <c r="E273" s="14">
        <v>800010101</v>
      </c>
      <c r="F273" s="13">
        <v>1</v>
      </c>
      <c r="G273" s="17">
        <v>200</v>
      </c>
      <c r="H273" s="13" t="s">
        <v>653</v>
      </c>
      <c r="I273" s="13" t="s">
        <v>654</v>
      </c>
      <c r="J273" s="13" t="s">
        <v>655</v>
      </c>
      <c r="L273" s="17" t="s">
        <v>37</v>
      </c>
      <c r="M273" s="13">
        <v>3550001</v>
      </c>
    </row>
    <row r="274" spans="1:13">
      <c r="A274" s="13">
        <v>800010102</v>
      </c>
      <c r="B274" s="13">
        <v>8000</v>
      </c>
      <c r="C274" s="13">
        <v>3</v>
      </c>
      <c r="D274" s="13">
        <v>3</v>
      </c>
      <c r="E274" s="14">
        <v>800010102</v>
      </c>
      <c r="F274" s="13">
        <v>1</v>
      </c>
      <c r="G274" s="17">
        <v>300</v>
      </c>
      <c r="H274" s="13" t="s">
        <v>656</v>
      </c>
      <c r="I274" s="13" t="s">
        <v>654</v>
      </c>
      <c r="J274" s="13" t="s">
        <v>657</v>
      </c>
      <c r="L274" s="17" t="s">
        <v>37</v>
      </c>
      <c r="M274" s="13">
        <v>3550001</v>
      </c>
    </row>
    <row r="275" spans="1:13">
      <c r="A275" s="13">
        <v>800010201</v>
      </c>
      <c r="B275" s="13">
        <v>8000</v>
      </c>
      <c r="C275" s="13">
        <v>4</v>
      </c>
      <c r="D275" s="13">
        <v>2</v>
      </c>
      <c r="E275" s="14">
        <v>800010201</v>
      </c>
      <c r="F275" s="13">
        <v>1</v>
      </c>
      <c r="G275" s="17">
        <v>200</v>
      </c>
      <c r="H275" s="13" t="s">
        <v>658</v>
      </c>
      <c r="I275" s="13" t="s">
        <v>659</v>
      </c>
      <c r="J275" s="13" t="s">
        <v>660</v>
      </c>
      <c r="L275" s="17" t="s">
        <v>37</v>
      </c>
      <c r="M275" s="13">
        <v>3550003</v>
      </c>
    </row>
    <row r="276" spans="1:13">
      <c r="A276" s="13">
        <v>800010202</v>
      </c>
      <c r="B276" s="13">
        <v>8000</v>
      </c>
      <c r="C276" s="13">
        <v>5</v>
      </c>
      <c r="D276" s="13">
        <v>3</v>
      </c>
      <c r="E276" s="14">
        <v>800010202</v>
      </c>
      <c r="F276" s="13">
        <v>1</v>
      </c>
      <c r="G276" s="17">
        <v>300</v>
      </c>
      <c r="H276" s="13" t="s">
        <v>661</v>
      </c>
      <c r="I276" s="13" t="s">
        <v>659</v>
      </c>
      <c r="J276" s="13" t="s">
        <v>662</v>
      </c>
      <c r="L276" s="17" t="s">
        <v>37</v>
      </c>
      <c r="M276" s="13">
        <v>3550003</v>
      </c>
    </row>
    <row r="277" spans="1:13">
      <c r="A277" s="13">
        <v>800010301</v>
      </c>
      <c r="B277" s="13">
        <v>8000</v>
      </c>
      <c r="C277" s="13">
        <v>6</v>
      </c>
      <c r="D277" s="13">
        <v>2</v>
      </c>
      <c r="E277" s="14">
        <v>800010301</v>
      </c>
      <c r="F277" s="13">
        <v>1</v>
      </c>
      <c r="G277" s="17">
        <v>200</v>
      </c>
      <c r="H277" s="13" t="s">
        <v>547</v>
      </c>
      <c r="I277" s="13" t="s">
        <v>548</v>
      </c>
      <c r="J277" s="13" t="s">
        <v>549</v>
      </c>
      <c r="L277" s="17" t="s">
        <v>37</v>
      </c>
      <c r="M277" s="13">
        <v>3550002</v>
      </c>
    </row>
    <row r="278" spans="1:13">
      <c r="A278" s="13">
        <v>800010302</v>
      </c>
      <c r="B278" s="13">
        <v>8000</v>
      </c>
      <c r="C278" s="13">
        <v>7</v>
      </c>
      <c r="D278" s="13">
        <v>3</v>
      </c>
      <c r="E278" s="14">
        <v>800010302</v>
      </c>
      <c r="F278" s="13">
        <v>1</v>
      </c>
      <c r="G278" s="17">
        <v>300</v>
      </c>
      <c r="H278" s="13" t="s">
        <v>663</v>
      </c>
      <c r="I278" s="13" t="s">
        <v>548</v>
      </c>
      <c r="J278" s="13" t="s">
        <v>664</v>
      </c>
      <c r="L278" s="17" t="s">
        <v>37</v>
      </c>
      <c r="M278" s="13">
        <v>3550002</v>
      </c>
    </row>
    <row r="279" spans="1:13">
      <c r="A279" s="13">
        <v>9800010301</v>
      </c>
      <c r="B279" s="13">
        <v>8000</v>
      </c>
      <c r="C279" s="13">
        <v>6</v>
      </c>
      <c r="D279" s="13">
        <v>2</v>
      </c>
      <c r="E279" s="13">
        <v>9800010301</v>
      </c>
      <c r="F279" s="13">
        <v>1</v>
      </c>
      <c r="G279" s="17">
        <v>200</v>
      </c>
      <c r="H279" s="13" t="s">
        <v>665</v>
      </c>
      <c r="I279" s="13" t="s">
        <v>448</v>
      </c>
      <c r="J279" s="13" t="s">
        <v>666</v>
      </c>
      <c r="L279" s="17" t="s">
        <v>37</v>
      </c>
      <c r="M279" s="13">
        <v>3550002</v>
      </c>
    </row>
    <row r="280" spans="1:13">
      <c r="A280" s="13">
        <v>9800010302</v>
      </c>
      <c r="B280" s="13">
        <v>8000</v>
      </c>
      <c r="C280" s="13">
        <v>7</v>
      </c>
      <c r="D280" s="13">
        <v>3</v>
      </c>
      <c r="E280" s="13">
        <v>9800010302</v>
      </c>
      <c r="F280" s="13">
        <v>1</v>
      </c>
      <c r="G280" s="17">
        <v>300</v>
      </c>
      <c r="H280" s="13" t="s">
        <v>667</v>
      </c>
      <c r="I280" s="13" t="s">
        <v>448</v>
      </c>
      <c r="J280" s="13" t="s">
        <v>668</v>
      </c>
      <c r="L280" s="17" t="s">
        <v>37</v>
      </c>
      <c r="M280" s="13">
        <v>3550002</v>
      </c>
    </row>
    <row r="281" spans="1:13">
      <c r="A281" s="13">
        <v>800030101</v>
      </c>
      <c r="B281" s="13">
        <v>8000</v>
      </c>
      <c r="C281" s="13">
        <v>8</v>
      </c>
      <c r="D281" s="13">
        <v>2</v>
      </c>
      <c r="E281" s="13">
        <v>800030101</v>
      </c>
      <c r="F281" s="13">
        <v>1</v>
      </c>
      <c r="G281" s="17">
        <v>200</v>
      </c>
      <c r="H281" s="13" t="s">
        <v>669</v>
      </c>
      <c r="I281" s="13" t="s">
        <v>670</v>
      </c>
      <c r="J281" s="13" t="s">
        <v>671</v>
      </c>
      <c r="L281" s="17" t="s">
        <v>37</v>
      </c>
      <c r="M281" s="13">
        <v>3550003</v>
      </c>
    </row>
    <row r="282" spans="1:13">
      <c r="A282" s="13">
        <v>800030102</v>
      </c>
      <c r="B282" s="13">
        <v>8000</v>
      </c>
      <c r="C282" s="13">
        <v>9</v>
      </c>
      <c r="D282" s="13">
        <v>3</v>
      </c>
      <c r="E282" s="13">
        <v>800030102</v>
      </c>
      <c r="F282" s="13">
        <v>3</v>
      </c>
      <c r="G282" s="17">
        <v>200</v>
      </c>
      <c r="H282" s="13" t="s">
        <v>672</v>
      </c>
      <c r="I282" s="13" t="s">
        <v>670</v>
      </c>
      <c r="J282" s="13" t="s">
        <v>673</v>
      </c>
      <c r="L282" s="17" t="s">
        <v>37</v>
      </c>
      <c r="M282" s="13">
        <v>3550003</v>
      </c>
    </row>
    <row r="283" spans="1:13">
      <c r="A283" s="13">
        <v>800030201</v>
      </c>
      <c r="B283" s="13">
        <v>8000</v>
      </c>
      <c r="C283" s="13">
        <v>10</v>
      </c>
      <c r="D283" s="13">
        <v>2</v>
      </c>
      <c r="E283" s="14">
        <v>800030201</v>
      </c>
      <c r="F283" s="13">
        <v>1</v>
      </c>
      <c r="G283" s="17">
        <v>200</v>
      </c>
      <c r="H283" s="13" t="s">
        <v>674</v>
      </c>
      <c r="I283" s="13" t="s">
        <v>675</v>
      </c>
      <c r="J283" s="13" t="s">
        <v>676</v>
      </c>
      <c r="L283" s="17" t="s">
        <v>37</v>
      </c>
      <c r="M283" s="13">
        <v>3550001</v>
      </c>
    </row>
    <row r="284" spans="1:13">
      <c r="A284" s="13">
        <v>800030202</v>
      </c>
      <c r="B284" s="13">
        <v>8000</v>
      </c>
      <c r="C284" s="13">
        <v>11</v>
      </c>
      <c r="D284" s="13">
        <v>3</v>
      </c>
      <c r="E284" s="14">
        <v>800030202</v>
      </c>
      <c r="F284" s="13">
        <v>1</v>
      </c>
      <c r="G284" s="17">
        <v>300</v>
      </c>
      <c r="H284" s="13" t="s">
        <v>677</v>
      </c>
      <c r="I284" s="13" t="s">
        <v>675</v>
      </c>
      <c r="J284" s="13" t="s">
        <v>676</v>
      </c>
      <c r="L284" s="17" t="s">
        <v>37</v>
      </c>
      <c r="M284" s="13">
        <v>3550001</v>
      </c>
    </row>
    <row r="285" spans="1:13">
      <c r="A285" s="13">
        <v>800100001</v>
      </c>
      <c r="B285" s="13">
        <v>8001</v>
      </c>
      <c r="C285" s="13">
        <v>1</v>
      </c>
      <c r="D285" s="13">
        <v>1</v>
      </c>
      <c r="E285" s="14" t="s">
        <v>33</v>
      </c>
      <c r="F285" s="13">
        <v>1</v>
      </c>
      <c r="G285" s="17">
        <v>100</v>
      </c>
      <c r="H285" s="13" t="s">
        <v>678</v>
      </c>
      <c r="I285" s="13" t="s">
        <v>679</v>
      </c>
      <c r="J285" s="13" t="s">
        <v>680</v>
      </c>
      <c r="L285" s="17" t="s">
        <v>37</v>
      </c>
      <c r="M285" s="13">
        <v>3560001</v>
      </c>
    </row>
    <row r="286" spans="1:13">
      <c r="A286" s="13">
        <v>800110101</v>
      </c>
      <c r="B286" s="13">
        <v>8001</v>
      </c>
      <c r="C286" s="13">
        <v>2</v>
      </c>
      <c r="D286" s="13">
        <v>2</v>
      </c>
      <c r="E286" s="13">
        <v>800110101</v>
      </c>
      <c r="F286" s="13">
        <v>1</v>
      </c>
      <c r="G286" s="17">
        <v>200</v>
      </c>
      <c r="H286" s="13" t="s">
        <v>681</v>
      </c>
      <c r="I286" s="13" t="s">
        <v>682</v>
      </c>
      <c r="J286" s="13" t="s">
        <v>683</v>
      </c>
      <c r="L286" s="17" t="s">
        <v>37</v>
      </c>
      <c r="M286" s="13">
        <v>3560002</v>
      </c>
    </row>
    <row r="287" spans="1:13">
      <c r="A287" s="13">
        <v>800110102</v>
      </c>
      <c r="B287" s="13">
        <v>8001</v>
      </c>
      <c r="C287" s="13">
        <v>3</v>
      </c>
      <c r="D287" s="13">
        <v>3</v>
      </c>
      <c r="E287" s="13">
        <v>800110102</v>
      </c>
      <c r="F287" s="13">
        <v>1</v>
      </c>
      <c r="G287" s="17">
        <v>300</v>
      </c>
      <c r="H287" s="13" t="s">
        <v>684</v>
      </c>
      <c r="I287" s="13" t="s">
        <v>682</v>
      </c>
      <c r="J287" s="13" t="s">
        <v>683</v>
      </c>
      <c r="L287" s="17" t="s">
        <v>37</v>
      </c>
      <c r="M287" s="13">
        <v>3560002</v>
      </c>
    </row>
    <row r="288" spans="1:13">
      <c r="A288" s="13">
        <v>800110201</v>
      </c>
      <c r="B288" s="13">
        <v>8001</v>
      </c>
      <c r="C288" s="13">
        <v>4</v>
      </c>
      <c r="D288" s="13">
        <v>2</v>
      </c>
      <c r="E288" s="13">
        <v>800110201</v>
      </c>
      <c r="F288" s="13">
        <v>1</v>
      </c>
      <c r="G288" s="17">
        <v>200</v>
      </c>
      <c r="H288" s="13" t="s">
        <v>685</v>
      </c>
      <c r="I288" s="13" t="s">
        <v>686</v>
      </c>
      <c r="J288" s="13" t="s">
        <v>687</v>
      </c>
      <c r="L288" s="17" t="s">
        <v>37</v>
      </c>
      <c r="M288" s="13">
        <v>3560001</v>
      </c>
    </row>
    <row r="289" spans="1:13">
      <c r="A289" s="13">
        <v>800110202</v>
      </c>
      <c r="B289" s="13">
        <v>8001</v>
      </c>
      <c r="C289" s="13">
        <v>5</v>
      </c>
      <c r="D289" s="13">
        <v>3</v>
      </c>
      <c r="E289" s="13">
        <v>800110202</v>
      </c>
      <c r="F289" s="13">
        <v>1</v>
      </c>
      <c r="G289" s="17">
        <v>300</v>
      </c>
      <c r="H289" s="13" t="s">
        <v>688</v>
      </c>
      <c r="I289" s="13" t="s">
        <v>686</v>
      </c>
      <c r="J289" s="13" t="s">
        <v>689</v>
      </c>
      <c r="L289" s="17" t="s">
        <v>37</v>
      </c>
      <c r="M289" s="13">
        <v>3560001</v>
      </c>
    </row>
    <row r="290" spans="1:13">
      <c r="A290" s="13">
        <v>800110301</v>
      </c>
      <c r="B290" s="13">
        <v>8001</v>
      </c>
      <c r="C290" s="13">
        <v>6</v>
      </c>
      <c r="D290" s="13">
        <v>2</v>
      </c>
      <c r="E290" s="13">
        <v>800110301</v>
      </c>
      <c r="F290" s="13">
        <v>1</v>
      </c>
      <c r="G290" s="17">
        <v>200</v>
      </c>
      <c r="H290" s="13" t="s">
        <v>690</v>
      </c>
      <c r="I290" s="13" t="s">
        <v>551</v>
      </c>
      <c r="J290" s="13" t="s">
        <v>552</v>
      </c>
      <c r="L290" s="17" t="s">
        <v>37</v>
      </c>
      <c r="M290" s="13">
        <v>3560004</v>
      </c>
    </row>
    <row r="291" spans="1:13">
      <c r="A291" s="13">
        <v>800110302</v>
      </c>
      <c r="B291" s="13">
        <v>8001</v>
      </c>
      <c r="C291" s="13">
        <v>7</v>
      </c>
      <c r="D291" s="13">
        <v>3</v>
      </c>
      <c r="E291" s="13">
        <v>800110302</v>
      </c>
      <c r="F291" s="13">
        <v>1</v>
      </c>
      <c r="G291" s="17">
        <v>300</v>
      </c>
      <c r="H291" s="13" t="s">
        <v>691</v>
      </c>
      <c r="I291" s="13" t="s">
        <v>551</v>
      </c>
      <c r="J291" s="13" t="s">
        <v>692</v>
      </c>
      <c r="L291" s="17" t="s">
        <v>37</v>
      </c>
      <c r="M291" s="13">
        <v>3560004</v>
      </c>
    </row>
    <row r="292" spans="1:13">
      <c r="A292" s="13">
        <v>9800110301</v>
      </c>
      <c r="B292" s="13">
        <v>8001</v>
      </c>
      <c r="C292" s="13">
        <v>6</v>
      </c>
      <c r="D292" s="13">
        <v>2</v>
      </c>
      <c r="E292" s="13">
        <v>9800110301</v>
      </c>
      <c r="F292" s="13">
        <v>1</v>
      </c>
      <c r="G292" s="17">
        <v>200</v>
      </c>
      <c r="H292" s="13" t="s">
        <v>693</v>
      </c>
      <c r="I292" s="13" t="s">
        <v>694</v>
      </c>
      <c r="J292" s="13" t="s">
        <v>695</v>
      </c>
      <c r="L292" s="17" t="s">
        <v>37</v>
      </c>
      <c r="M292" s="13">
        <v>3560004</v>
      </c>
    </row>
    <row r="293" spans="1:13">
      <c r="A293" s="13">
        <v>9800110302</v>
      </c>
      <c r="B293" s="13">
        <v>8001</v>
      </c>
      <c r="C293" s="13">
        <v>7</v>
      </c>
      <c r="D293" s="13">
        <v>3</v>
      </c>
      <c r="E293" s="13">
        <v>9800110302</v>
      </c>
      <c r="F293" s="13">
        <v>1</v>
      </c>
      <c r="G293" s="17">
        <v>300</v>
      </c>
      <c r="H293" s="13" t="s">
        <v>696</v>
      </c>
      <c r="I293" s="13" t="s">
        <v>694</v>
      </c>
      <c r="J293" s="13" t="s">
        <v>697</v>
      </c>
      <c r="L293" s="17" t="s">
        <v>37</v>
      </c>
      <c r="M293" s="13">
        <v>3560004</v>
      </c>
    </row>
    <row r="294" spans="1:13">
      <c r="A294" s="13">
        <v>800130101</v>
      </c>
      <c r="B294" s="13">
        <v>8001</v>
      </c>
      <c r="C294" s="13">
        <v>8</v>
      </c>
      <c r="D294" s="13">
        <v>2</v>
      </c>
      <c r="E294" s="13">
        <v>800130101</v>
      </c>
      <c r="F294" s="13">
        <v>1</v>
      </c>
      <c r="G294" s="17">
        <v>200</v>
      </c>
      <c r="H294" s="13" t="s">
        <v>698</v>
      </c>
      <c r="I294" s="13" t="s">
        <v>699</v>
      </c>
      <c r="J294" s="13" t="s">
        <v>700</v>
      </c>
      <c r="L294" s="17" t="s">
        <v>37</v>
      </c>
      <c r="M294" s="13">
        <v>3560002</v>
      </c>
    </row>
    <row r="295" spans="1:13">
      <c r="A295" s="13">
        <v>800130102</v>
      </c>
      <c r="B295" s="13">
        <v>8001</v>
      </c>
      <c r="C295" s="13">
        <v>9</v>
      </c>
      <c r="D295" s="13">
        <v>3</v>
      </c>
      <c r="E295" s="13">
        <v>800130102</v>
      </c>
      <c r="F295" s="13">
        <v>3</v>
      </c>
      <c r="G295" s="17">
        <v>200</v>
      </c>
      <c r="H295" s="13" t="s">
        <v>701</v>
      </c>
      <c r="I295" s="13" t="s">
        <v>699</v>
      </c>
      <c r="J295" s="13" t="s">
        <v>702</v>
      </c>
      <c r="L295" s="17" t="s">
        <v>37</v>
      </c>
      <c r="M295" s="13">
        <v>3560002</v>
      </c>
    </row>
    <row r="296" spans="1:13">
      <c r="A296" s="13">
        <v>800130201</v>
      </c>
      <c r="B296" s="13">
        <v>8001</v>
      </c>
      <c r="C296" s="13">
        <v>10</v>
      </c>
      <c r="D296" s="13">
        <v>2</v>
      </c>
      <c r="E296" s="13">
        <v>800130201</v>
      </c>
      <c r="F296" s="13">
        <v>1</v>
      </c>
      <c r="G296" s="17">
        <v>200</v>
      </c>
      <c r="H296" s="13" t="s">
        <v>703</v>
      </c>
      <c r="I296" s="13" t="s">
        <v>704</v>
      </c>
      <c r="J296" s="13" t="s">
        <v>705</v>
      </c>
      <c r="L296" s="17" t="s">
        <v>37</v>
      </c>
      <c r="M296" s="13">
        <v>3560003</v>
      </c>
    </row>
    <row r="297" spans="1:13">
      <c r="A297" s="13">
        <v>800130202</v>
      </c>
      <c r="B297" s="13">
        <v>8001</v>
      </c>
      <c r="C297" s="13">
        <v>11</v>
      </c>
      <c r="D297" s="13">
        <v>3</v>
      </c>
      <c r="E297" s="13">
        <v>800130202</v>
      </c>
      <c r="F297" s="13">
        <v>1</v>
      </c>
      <c r="G297" s="17">
        <v>300</v>
      </c>
      <c r="H297" s="13" t="s">
        <v>706</v>
      </c>
      <c r="I297" s="13" t="s">
        <v>704</v>
      </c>
      <c r="J297" s="13" t="s">
        <v>705</v>
      </c>
      <c r="L297" s="17" t="s">
        <v>37</v>
      </c>
      <c r="M297" s="13">
        <v>3560003</v>
      </c>
    </row>
    <row r="298" spans="1:13">
      <c r="A298" s="13">
        <v>800200001</v>
      </c>
      <c r="B298" s="13">
        <v>8002</v>
      </c>
      <c r="C298" s="13">
        <v>1</v>
      </c>
      <c r="D298" s="13">
        <v>1</v>
      </c>
      <c r="E298" s="14" t="s">
        <v>33</v>
      </c>
      <c r="F298" s="13">
        <v>1</v>
      </c>
      <c r="G298" s="17">
        <v>100</v>
      </c>
      <c r="H298" s="13" t="s">
        <v>707</v>
      </c>
      <c r="I298" s="13" t="s">
        <v>708</v>
      </c>
      <c r="J298" s="13" t="s">
        <v>709</v>
      </c>
      <c r="L298" s="17" t="s">
        <v>37</v>
      </c>
      <c r="M298" s="13">
        <v>3570001</v>
      </c>
    </row>
    <row r="299" spans="1:13">
      <c r="A299" s="13">
        <v>800210101</v>
      </c>
      <c r="B299" s="13">
        <v>8002</v>
      </c>
      <c r="C299" s="13">
        <v>2</v>
      </c>
      <c r="D299" s="13">
        <v>2</v>
      </c>
      <c r="E299" s="13">
        <v>800210101</v>
      </c>
      <c r="F299" s="13">
        <v>1</v>
      </c>
      <c r="G299" s="17">
        <v>200</v>
      </c>
      <c r="H299" s="13" t="s">
        <v>710</v>
      </c>
      <c r="I299" s="13" t="s">
        <v>711</v>
      </c>
      <c r="J299" s="13" t="s">
        <v>712</v>
      </c>
      <c r="L299" s="17" t="s">
        <v>37</v>
      </c>
      <c r="M299" s="13">
        <v>3570001</v>
      </c>
    </row>
    <row r="300" spans="1:13">
      <c r="A300" s="13">
        <v>800210102</v>
      </c>
      <c r="B300" s="13">
        <v>8002</v>
      </c>
      <c r="C300" s="13">
        <v>3</v>
      </c>
      <c r="D300" s="13">
        <v>3</v>
      </c>
      <c r="E300" s="13">
        <v>800210102</v>
      </c>
      <c r="F300" s="13">
        <v>1</v>
      </c>
      <c r="G300" s="17">
        <v>300</v>
      </c>
      <c r="H300" s="13" t="s">
        <v>713</v>
      </c>
      <c r="I300" s="13" t="s">
        <v>711</v>
      </c>
      <c r="J300" s="13" t="s">
        <v>714</v>
      </c>
      <c r="L300" s="17" t="s">
        <v>37</v>
      </c>
      <c r="M300" s="13">
        <v>3570001</v>
      </c>
    </row>
    <row r="301" spans="1:13">
      <c r="A301" s="13">
        <v>800210201</v>
      </c>
      <c r="B301" s="13">
        <v>8002</v>
      </c>
      <c r="C301" s="13">
        <v>4</v>
      </c>
      <c r="D301" s="13">
        <v>2</v>
      </c>
      <c r="E301" s="13">
        <v>800210201</v>
      </c>
      <c r="F301" s="13">
        <v>1</v>
      </c>
      <c r="G301" s="17">
        <v>200</v>
      </c>
      <c r="H301" s="13" t="s">
        <v>715</v>
      </c>
      <c r="I301" s="13" t="s">
        <v>716</v>
      </c>
      <c r="J301" s="13" t="s">
        <v>717</v>
      </c>
      <c r="L301" s="17" t="s">
        <v>37</v>
      </c>
      <c r="M301" s="13">
        <v>3570002</v>
      </c>
    </row>
    <row r="302" spans="1:13">
      <c r="A302" s="13">
        <v>800210202</v>
      </c>
      <c r="B302" s="13">
        <v>8002</v>
      </c>
      <c r="C302" s="13">
        <v>5</v>
      </c>
      <c r="D302" s="13">
        <v>3</v>
      </c>
      <c r="E302" s="13">
        <v>800210202</v>
      </c>
      <c r="F302" s="13">
        <v>1</v>
      </c>
      <c r="G302" s="17">
        <v>300</v>
      </c>
      <c r="H302" s="13" t="s">
        <v>718</v>
      </c>
      <c r="I302" s="13" t="s">
        <v>716</v>
      </c>
      <c r="J302" s="13" t="s">
        <v>717</v>
      </c>
      <c r="L302" s="17" t="s">
        <v>37</v>
      </c>
      <c r="M302" s="13">
        <v>3570002</v>
      </c>
    </row>
    <row r="303" spans="1:13">
      <c r="A303" s="13">
        <v>800210301</v>
      </c>
      <c r="B303" s="13">
        <v>8002</v>
      </c>
      <c r="C303" s="13">
        <v>6</v>
      </c>
      <c r="D303" s="13">
        <v>2</v>
      </c>
      <c r="E303" s="13">
        <v>800210301</v>
      </c>
      <c r="F303" s="13">
        <v>1</v>
      </c>
      <c r="G303" s="17">
        <v>200</v>
      </c>
      <c r="H303" s="13" t="s">
        <v>553</v>
      </c>
      <c r="I303" s="13" t="s">
        <v>292</v>
      </c>
      <c r="J303" s="13" t="s">
        <v>554</v>
      </c>
      <c r="L303" s="17" t="s">
        <v>37</v>
      </c>
      <c r="M303" s="13">
        <v>3570003</v>
      </c>
    </row>
    <row r="304" spans="1:13">
      <c r="A304" s="13">
        <v>800210302</v>
      </c>
      <c r="B304" s="13">
        <v>8002</v>
      </c>
      <c r="C304" s="13">
        <v>7</v>
      </c>
      <c r="D304" s="13">
        <v>3</v>
      </c>
      <c r="E304" s="13">
        <v>800210302</v>
      </c>
      <c r="F304" s="13">
        <v>1</v>
      </c>
      <c r="G304" s="17">
        <v>300</v>
      </c>
      <c r="H304" s="13" t="s">
        <v>719</v>
      </c>
      <c r="I304" s="13" t="s">
        <v>292</v>
      </c>
      <c r="J304" s="13" t="s">
        <v>720</v>
      </c>
      <c r="L304" s="17" t="s">
        <v>37</v>
      </c>
      <c r="M304" s="13">
        <v>3570003</v>
      </c>
    </row>
    <row r="305" spans="1:13">
      <c r="A305" s="13">
        <v>800230101</v>
      </c>
      <c r="B305" s="13">
        <v>8002</v>
      </c>
      <c r="C305" s="13">
        <v>8</v>
      </c>
      <c r="D305" s="13">
        <v>2</v>
      </c>
      <c r="E305" s="13">
        <v>800230101</v>
      </c>
      <c r="F305" s="13">
        <v>1</v>
      </c>
      <c r="G305" s="17">
        <v>200</v>
      </c>
      <c r="H305" s="13" t="s">
        <v>721</v>
      </c>
      <c r="I305" s="13" t="s">
        <v>722</v>
      </c>
      <c r="J305" s="13" t="s">
        <v>723</v>
      </c>
      <c r="L305" s="17" t="s">
        <v>37</v>
      </c>
      <c r="M305" s="13">
        <v>3570002</v>
      </c>
    </row>
    <row r="306" spans="1:13">
      <c r="A306" s="13">
        <v>800230102</v>
      </c>
      <c r="B306" s="13">
        <v>8002</v>
      </c>
      <c r="C306" s="13">
        <v>9</v>
      </c>
      <c r="D306" s="13">
        <v>3</v>
      </c>
      <c r="E306" s="13">
        <v>800230102</v>
      </c>
      <c r="F306" s="13">
        <v>3</v>
      </c>
      <c r="G306" s="17">
        <v>200</v>
      </c>
      <c r="H306" s="13" t="s">
        <v>724</v>
      </c>
      <c r="I306" s="13" t="s">
        <v>722</v>
      </c>
      <c r="J306" s="13" t="s">
        <v>725</v>
      </c>
      <c r="L306" s="17" t="s">
        <v>37</v>
      </c>
      <c r="M306" s="13">
        <v>3570002</v>
      </c>
    </row>
    <row r="307" spans="1:13">
      <c r="A307" s="13">
        <v>800230201</v>
      </c>
      <c r="B307" s="13">
        <v>8002</v>
      </c>
      <c r="C307" s="13">
        <v>10</v>
      </c>
      <c r="D307" s="13">
        <v>2</v>
      </c>
      <c r="E307" s="13">
        <v>800230201</v>
      </c>
      <c r="F307" s="13">
        <v>1</v>
      </c>
      <c r="G307" s="17">
        <v>200</v>
      </c>
      <c r="H307" s="13" t="s">
        <v>726</v>
      </c>
      <c r="I307" s="13" t="s">
        <v>727</v>
      </c>
      <c r="J307" s="13" t="s">
        <v>728</v>
      </c>
      <c r="L307" s="17" t="s">
        <v>37</v>
      </c>
      <c r="M307" s="13">
        <v>3570003</v>
      </c>
    </row>
    <row r="308" spans="1:13">
      <c r="A308" s="13">
        <v>800230202</v>
      </c>
      <c r="B308" s="13">
        <v>8002</v>
      </c>
      <c r="C308" s="13">
        <v>11</v>
      </c>
      <c r="D308" s="13">
        <v>3</v>
      </c>
      <c r="E308" s="13">
        <v>800230202</v>
      </c>
      <c r="F308" s="13">
        <v>1</v>
      </c>
      <c r="G308" s="17">
        <v>300</v>
      </c>
      <c r="H308" s="13" t="s">
        <v>729</v>
      </c>
      <c r="I308" s="13" t="s">
        <v>727</v>
      </c>
      <c r="J308" s="13" t="s">
        <v>728</v>
      </c>
      <c r="L308" s="17" t="s">
        <v>37</v>
      </c>
      <c r="M308" s="13">
        <v>3570003</v>
      </c>
    </row>
    <row r="309" spans="1:13">
      <c r="A309" s="13">
        <v>801100001</v>
      </c>
      <c r="B309" s="13">
        <v>8011</v>
      </c>
      <c r="C309" s="13">
        <v>1</v>
      </c>
      <c r="D309" s="13">
        <v>1</v>
      </c>
      <c r="E309" s="14" t="s">
        <v>33</v>
      </c>
      <c r="F309" s="13">
        <v>1</v>
      </c>
      <c r="G309" s="13">
        <v>100</v>
      </c>
      <c r="H309" s="13" t="s">
        <v>730</v>
      </c>
      <c r="I309" s="13" t="s">
        <v>358</v>
      </c>
      <c r="J309" s="13" t="s">
        <v>731</v>
      </c>
      <c r="L309" s="17" t="s">
        <v>37</v>
      </c>
      <c r="M309" s="13">
        <v>3610001</v>
      </c>
    </row>
    <row r="310" spans="1:13">
      <c r="A310" s="13">
        <v>801100101</v>
      </c>
      <c r="B310" s="13">
        <v>8011</v>
      </c>
      <c r="C310" s="13">
        <v>2</v>
      </c>
      <c r="D310" s="13">
        <v>2</v>
      </c>
      <c r="E310" s="13">
        <v>0</v>
      </c>
      <c r="F310" s="13">
        <v>1</v>
      </c>
      <c r="G310" s="13">
        <v>500000</v>
      </c>
      <c r="H310" s="13" t="s">
        <v>732</v>
      </c>
      <c r="I310" s="13" t="s">
        <v>733</v>
      </c>
      <c r="J310" s="13" t="s">
        <v>734</v>
      </c>
      <c r="L310" s="17" t="s">
        <v>37</v>
      </c>
      <c r="M310" s="13">
        <v>3610003</v>
      </c>
    </row>
    <row r="311" spans="1:13">
      <c r="A311" s="13">
        <v>801100102</v>
      </c>
      <c r="B311" s="13">
        <v>8011</v>
      </c>
      <c r="C311" s="13">
        <v>3</v>
      </c>
      <c r="D311" s="13">
        <v>3</v>
      </c>
      <c r="E311" s="13">
        <v>801100102</v>
      </c>
      <c r="F311" s="13">
        <v>1</v>
      </c>
      <c r="G311" s="13">
        <v>500000</v>
      </c>
      <c r="H311" s="13" t="s">
        <v>735</v>
      </c>
      <c r="I311" s="13" t="s">
        <v>733</v>
      </c>
      <c r="J311" s="13" t="s">
        <v>734</v>
      </c>
      <c r="L311" s="17" t="s">
        <v>37</v>
      </c>
      <c r="M311" s="13">
        <v>3610003</v>
      </c>
    </row>
    <row r="312" spans="1:13">
      <c r="A312" s="13">
        <v>801100103</v>
      </c>
      <c r="B312" s="13">
        <v>8011</v>
      </c>
      <c r="C312" s="13">
        <v>4</v>
      </c>
      <c r="D312" s="13">
        <v>4</v>
      </c>
      <c r="E312" s="13">
        <v>801100103</v>
      </c>
      <c r="F312" s="13">
        <v>1</v>
      </c>
      <c r="G312" s="13">
        <v>500000</v>
      </c>
      <c r="H312" s="13" t="s">
        <v>736</v>
      </c>
      <c r="I312" s="13" t="s">
        <v>733</v>
      </c>
      <c r="J312" s="13" t="s">
        <v>737</v>
      </c>
      <c r="L312" s="17" t="s">
        <v>37</v>
      </c>
      <c r="M312" s="13">
        <v>3610003</v>
      </c>
    </row>
    <row r="313" spans="1:13">
      <c r="A313" s="13">
        <v>801100201</v>
      </c>
      <c r="B313" s="13">
        <v>8011</v>
      </c>
      <c r="C313" s="13">
        <v>5</v>
      </c>
      <c r="D313" s="13">
        <v>2</v>
      </c>
      <c r="E313" s="13">
        <v>801100201</v>
      </c>
      <c r="F313" s="13">
        <v>1</v>
      </c>
      <c r="G313" s="13">
        <v>200</v>
      </c>
      <c r="H313" s="13" t="s">
        <v>738</v>
      </c>
      <c r="I313" s="13" t="s">
        <v>739</v>
      </c>
      <c r="J313" s="13" t="s">
        <v>740</v>
      </c>
      <c r="L313" s="17" t="s">
        <v>37</v>
      </c>
      <c r="M313" s="13">
        <v>3610004</v>
      </c>
    </row>
    <row r="314" spans="1:13">
      <c r="A314" s="13">
        <v>801100202</v>
      </c>
      <c r="B314" s="13">
        <v>8011</v>
      </c>
      <c r="C314" s="13">
        <v>6</v>
      </c>
      <c r="D314" s="13">
        <v>3</v>
      </c>
      <c r="E314" s="13">
        <v>801100202</v>
      </c>
      <c r="F314" s="13">
        <v>1</v>
      </c>
      <c r="G314" s="13">
        <v>200</v>
      </c>
      <c r="H314" s="13" t="s">
        <v>741</v>
      </c>
      <c r="I314" s="13" t="s">
        <v>739</v>
      </c>
      <c r="J314" s="13" t="s">
        <v>742</v>
      </c>
      <c r="L314" s="17" t="s">
        <v>37</v>
      </c>
      <c r="M314" s="13">
        <v>3610004</v>
      </c>
    </row>
    <row r="315" spans="1:13">
      <c r="A315" s="13">
        <v>801100203</v>
      </c>
      <c r="B315" s="13">
        <v>8011</v>
      </c>
      <c r="C315" s="13">
        <v>7</v>
      </c>
      <c r="D315" s="13">
        <v>4</v>
      </c>
      <c r="E315" s="13">
        <v>801100203</v>
      </c>
      <c r="F315" s="13">
        <v>3</v>
      </c>
      <c r="G315" s="13">
        <v>200</v>
      </c>
      <c r="H315" s="13" t="s">
        <v>743</v>
      </c>
      <c r="I315" s="13" t="s">
        <v>739</v>
      </c>
      <c r="J315" s="13" t="s">
        <v>744</v>
      </c>
      <c r="L315" s="17" t="s">
        <v>37</v>
      </c>
      <c r="M315" s="13">
        <v>3610004</v>
      </c>
    </row>
    <row r="316" spans="1:13">
      <c r="A316" s="13">
        <v>801100301</v>
      </c>
      <c r="B316" s="13">
        <v>8011</v>
      </c>
      <c r="C316" s="13">
        <v>8</v>
      </c>
      <c r="D316" s="13">
        <v>2</v>
      </c>
      <c r="E316" s="13">
        <v>801100301</v>
      </c>
      <c r="F316" s="13">
        <v>1</v>
      </c>
      <c r="G316" s="13">
        <v>200</v>
      </c>
      <c r="H316" s="13" t="s">
        <v>745</v>
      </c>
      <c r="I316" s="13" t="s">
        <v>746</v>
      </c>
      <c r="J316" s="13" t="s">
        <v>747</v>
      </c>
      <c r="L316" s="17" t="s">
        <v>37</v>
      </c>
      <c r="M316" s="13">
        <v>3610002</v>
      </c>
    </row>
    <row r="317" spans="1:13">
      <c r="A317" s="13">
        <v>801100302</v>
      </c>
      <c r="B317" s="13">
        <v>8011</v>
      </c>
      <c r="C317" s="13">
        <v>9</v>
      </c>
      <c r="D317" s="13">
        <v>3</v>
      </c>
      <c r="E317" s="13">
        <v>801100302</v>
      </c>
      <c r="F317" s="13">
        <v>1</v>
      </c>
      <c r="G317" s="13">
        <v>200</v>
      </c>
      <c r="H317" s="13" t="s">
        <v>748</v>
      </c>
      <c r="I317" s="13" t="s">
        <v>746</v>
      </c>
      <c r="J317" s="13" t="s">
        <v>747</v>
      </c>
      <c r="L317" s="17" t="s">
        <v>37</v>
      </c>
      <c r="M317" s="13">
        <v>3610002</v>
      </c>
    </row>
    <row r="318" spans="1:13">
      <c r="A318" s="13">
        <v>801100303</v>
      </c>
      <c r="B318" s="13">
        <v>8011</v>
      </c>
      <c r="C318" s="13">
        <v>10</v>
      </c>
      <c r="D318" s="13">
        <v>4</v>
      </c>
      <c r="E318" s="13">
        <v>801100303</v>
      </c>
      <c r="F318" s="13">
        <v>3</v>
      </c>
      <c r="G318" s="13">
        <v>200</v>
      </c>
      <c r="H318" s="13" t="s">
        <v>749</v>
      </c>
      <c r="I318" s="13" t="s">
        <v>746</v>
      </c>
      <c r="J318" s="13" t="s">
        <v>750</v>
      </c>
      <c r="L318" s="17" t="s">
        <v>37</v>
      </c>
      <c r="M318" s="13">
        <v>3610002</v>
      </c>
    </row>
    <row r="319" spans="1:13">
      <c r="A319" s="13">
        <v>801200001</v>
      </c>
      <c r="B319" s="13">
        <v>8012</v>
      </c>
      <c r="C319" s="13">
        <v>1</v>
      </c>
      <c r="D319" s="13">
        <v>1</v>
      </c>
      <c r="E319" s="14" t="s">
        <v>33</v>
      </c>
      <c r="F319" s="13">
        <v>1</v>
      </c>
      <c r="G319" s="13">
        <v>100</v>
      </c>
      <c r="H319" s="13" t="s">
        <v>34</v>
      </c>
      <c r="I319" s="13" t="s">
        <v>751</v>
      </c>
      <c r="J319" s="13" t="s">
        <v>752</v>
      </c>
      <c r="L319" s="17" t="s">
        <v>37</v>
      </c>
      <c r="M319" s="13">
        <v>3600002</v>
      </c>
    </row>
    <row r="320" spans="1:13">
      <c r="A320" s="13">
        <v>801200101</v>
      </c>
      <c r="B320" s="13">
        <v>8012</v>
      </c>
      <c r="C320" s="13">
        <v>2</v>
      </c>
      <c r="D320" s="13">
        <v>2</v>
      </c>
      <c r="E320" s="13">
        <v>801200101</v>
      </c>
      <c r="F320" s="13">
        <v>1</v>
      </c>
      <c r="G320" s="13">
        <v>200</v>
      </c>
      <c r="H320" s="13" t="s">
        <v>753</v>
      </c>
      <c r="I320" s="13" t="s">
        <v>754</v>
      </c>
      <c r="J320" s="13" t="s">
        <v>755</v>
      </c>
      <c r="L320" s="17" t="s">
        <v>37</v>
      </c>
      <c r="M320" s="13">
        <v>3600003</v>
      </c>
    </row>
    <row r="321" spans="1:13">
      <c r="A321" s="13">
        <v>801200102</v>
      </c>
      <c r="B321" s="13">
        <v>8012</v>
      </c>
      <c r="C321" s="13">
        <v>3</v>
      </c>
      <c r="D321" s="13">
        <v>3</v>
      </c>
      <c r="E321" s="13">
        <v>801200102</v>
      </c>
      <c r="F321" s="13">
        <v>1</v>
      </c>
      <c r="G321" s="13">
        <v>200</v>
      </c>
      <c r="H321" s="13" t="s">
        <v>756</v>
      </c>
      <c r="I321" s="13" t="s">
        <v>754</v>
      </c>
      <c r="J321" s="13" t="s">
        <v>755</v>
      </c>
      <c r="L321" s="17" t="s">
        <v>37</v>
      </c>
      <c r="M321" s="13">
        <v>3600003</v>
      </c>
    </row>
    <row r="322" spans="1:13">
      <c r="A322" s="13">
        <v>801200103</v>
      </c>
      <c r="B322" s="13">
        <v>8012</v>
      </c>
      <c r="C322" s="13">
        <v>4</v>
      </c>
      <c r="D322" s="13">
        <v>4</v>
      </c>
      <c r="E322" s="13">
        <v>801200103</v>
      </c>
      <c r="F322" s="13">
        <v>4</v>
      </c>
      <c r="G322" s="13">
        <v>200</v>
      </c>
      <c r="H322" s="13" t="s">
        <v>757</v>
      </c>
      <c r="I322" s="13" t="s">
        <v>754</v>
      </c>
      <c r="J322" s="13" t="s">
        <v>758</v>
      </c>
      <c r="L322" s="17" t="s">
        <v>37</v>
      </c>
      <c r="M322" s="13">
        <v>3600003</v>
      </c>
    </row>
    <row r="323" spans="1:13">
      <c r="A323" s="13">
        <v>801200201</v>
      </c>
      <c r="B323" s="13">
        <v>8012</v>
      </c>
      <c r="C323" s="13">
        <v>5</v>
      </c>
      <c r="D323" s="13">
        <v>2</v>
      </c>
      <c r="E323" s="13">
        <v>801200201</v>
      </c>
      <c r="F323" s="13">
        <v>1</v>
      </c>
      <c r="G323" s="13">
        <v>200</v>
      </c>
      <c r="H323" s="13" t="s">
        <v>759</v>
      </c>
      <c r="I323" s="13" t="s">
        <v>760</v>
      </c>
      <c r="J323" s="13" t="s">
        <v>761</v>
      </c>
      <c r="L323" s="17" t="s">
        <v>37</v>
      </c>
      <c r="M323" s="13">
        <v>3600001</v>
      </c>
    </row>
    <row r="324" spans="1:13">
      <c r="A324" s="13">
        <v>801200202</v>
      </c>
      <c r="B324" s="13">
        <v>8012</v>
      </c>
      <c r="C324" s="13">
        <v>6</v>
      </c>
      <c r="D324" s="13">
        <v>3</v>
      </c>
      <c r="E324" s="13">
        <v>801200202</v>
      </c>
      <c r="F324" s="13">
        <v>1</v>
      </c>
      <c r="G324" s="13">
        <v>200</v>
      </c>
      <c r="H324" s="13" t="s">
        <v>762</v>
      </c>
      <c r="I324" s="13" t="s">
        <v>760</v>
      </c>
      <c r="J324" s="13" t="s">
        <v>761</v>
      </c>
      <c r="L324" s="17" t="s">
        <v>37</v>
      </c>
      <c r="M324" s="13">
        <v>3600001</v>
      </c>
    </row>
    <row r="325" spans="1:13">
      <c r="A325" s="13">
        <v>801200203</v>
      </c>
      <c r="B325" s="13">
        <v>8012</v>
      </c>
      <c r="C325" s="13">
        <v>7</v>
      </c>
      <c r="D325" s="13">
        <v>4</v>
      </c>
      <c r="E325" s="13">
        <v>801200203</v>
      </c>
      <c r="F325" s="13">
        <v>4</v>
      </c>
      <c r="G325" s="13">
        <v>200</v>
      </c>
      <c r="H325" s="13" t="s">
        <v>763</v>
      </c>
      <c r="I325" s="13" t="s">
        <v>760</v>
      </c>
      <c r="J325" s="13" t="s">
        <v>764</v>
      </c>
      <c r="L325" s="17" t="s">
        <v>37</v>
      </c>
      <c r="M325" s="13">
        <v>3600001</v>
      </c>
    </row>
    <row r="326" spans="1:13">
      <c r="A326" s="13">
        <v>700000001</v>
      </c>
      <c r="B326" s="13">
        <v>7000</v>
      </c>
      <c r="C326" s="13">
        <v>1</v>
      </c>
      <c r="D326" s="13">
        <v>1</v>
      </c>
      <c r="E326" s="14" t="s">
        <v>33</v>
      </c>
      <c r="F326" s="13">
        <v>1</v>
      </c>
      <c r="G326" s="13">
        <v>200</v>
      </c>
      <c r="H326" s="13" t="s">
        <v>765</v>
      </c>
      <c r="I326" s="13" t="s">
        <v>766</v>
      </c>
      <c r="J326" s="13" t="s">
        <v>767</v>
      </c>
      <c r="L326" s="17" t="s">
        <v>37</v>
      </c>
      <c r="M326" s="13">
        <v>3550001</v>
      </c>
    </row>
    <row r="327" spans="1:13">
      <c r="A327" s="13">
        <v>700010101</v>
      </c>
      <c r="B327" s="13">
        <v>7000</v>
      </c>
      <c r="C327" s="13">
        <v>2</v>
      </c>
      <c r="D327" s="13">
        <v>2</v>
      </c>
      <c r="E327" s="13">
        <v>700010101</v>
      </c>
      <c r="F327" s="13">
        <v>1</v>
      </c>
      <c r="G327" s="13">
        <v>200</v>
      </c>
      <c r="H327" s="13" t="s">
        <v>768</v>
      </c>
      <c r="I327" s="13" t="s">
        <v>769</v>
      </c>
      <c r="J327" s="13" t="s">
        <v>770</v>
      </c>
      <c r="L327" s="17" t="s">
        <v>37</v>
      </c>
      <c r="M327" s="13">
        <v>3550001</v>
      </c>
    </row>
    <row r="328" spans="1:13">
      <c r="A328" s="13">
        <v>700010102</v>
      </c>
      <c r="B328" s="13">
        <v>7000</v>
      </c>
      <c r="C328" s="13">
        <v>3</v>
      </c>
      <c r="D328" s="13">
        <v>3</v>
      </c>
      <c r="E328" s="13">
        <v>700010102</v>
      </c>
      <c r="F328" s="13">
        <v>1</v>
      </c>
      <c r="G328" s="13">
        <v>300</v>
      </c>
      <c r="H328" s="13" t="s">
        <v>771</v>
      </c>
      <c r="I328" s="13" t="s">
        <v>772</v>
      </c>
      <c r="J328" s="13" t="s">
        <v>773</v>
      </c>
      <c r="L328" s="17" t="s">
        <v>37</v>
      </c>
      <c r="M328" s="13">
        <v>3550001</v>
      </c>
    </row>
    <row r="329" spans="1:13">
      <c r="A329" s="13">
        <v>700010112</v>
      </c>
      <c r="B329" s="13">
        <v>7000</v>
      </c>
      <c r="C329" s="13">
        <v>4</v>
      </c>
      <c r="D329" s="13">
        <v>3</v>
      </c>
      <c r="E329" s="13">
        <v>700010112</v>
      </c>
      <c r="F329" s="13">
        <v>1</v>
      </c>
      <c r="G329" s="13">
        <v>400</v>
      </c>
      <c r="H329" s="13" t="s">
        <v>774</v>
      </c>
      <c r="I329" s="13" t="s">
        <v>775</v>
      </c>
      <c r="J329" s="13" t="s">
        <v>776</v>
      </c>
      <c r="L329" s="17" t="s">
        <v>37</v>
      </c>
      <c r="M329" s="13">
        <v>3550001</v>
      </c>
    </row>
    <row r="330" spans="1:13">
      <c r="A330" s="13">
        <v>700010122</v>
      </c>
      <c r="B330" s="13">
        <v>7000</v>
      </c>
      <c r="C330" s="13">
        <v>5</v>
      </c>
      <c r="D330" s="13">
        <v>3</v>
      </c>
      <c r="E330" s="13">
        <v>700010122</v>
      </c>
      <c r="F330" s="13">
        <v>1</v>
      </c>
      <c r="G330" s="13">
        <v>500</v>
      </c>
      <c r="H330" s="13" t="s">
        <v>777</v>
      </c>
      <c r="I330" s="13" t="s">
        <v>778</v>
      </c>
      <c r="J330" s="13" t="s">
        <v>779</v>
      </c>
      <c r="L330" s="17" t="s">
        <v>37</v>
      </c>
      <c r="M330" s="13">
        <v>3550001</v>
      </c>
    </row>
    <row r="331" spans="1:13">
      <c r="A331" s="13">
        <v>700010132</v>
      </c>
      <c r="B331" s="13">
        <v>7000</v>
      </c>
      <c r="C331" s="13">
        <v>6</v>
      </c>
      <c r="D331" s="13">
        <v>3</v>
      </c>
      <c r="E331" s="13">
        <v>700010132</v>
      </c>
      <c r="F331" s="13">
        <v>1</v>
      </c>
      <c r="G331" s="13">
        <v>500</v>
      </c>
      <c r="H331" s="13" t="s">
        <v>780</v>
      </c>
      <c r="I331" s="13" t="s">
        <v>781</v>
      </c>
      <c r="J331" s="13" t="s">
        <v>782</v>
      </c>
      <c r="L331" s="17" t="s">
        <v>37</v>
      </c>
      <c r="M331" s="13">
        <v>3550001</v>
      </c>
    </row>
    <row r="332" spans="1:13">
      <c r="A332" s="13">
        <v>700010103</v>
      </c>
      <c r="B332" s="13">
        <v>7000</v>
      </c>
      <c r="C332" s="13">
        <v>7</v>
      </c>
      <c r="D332" s="13">
        <v>2</v>
      </c>
      <c r="E332" s="13">
        <v>700010103</v>
      </c>
      <c r="F332" s="13">
        <v>1</v>
      </c>
      <c r="G332" s="13">
        <v>0</v>
      </c>
      <c r="H332" s="13" t="s">
        <v>783</v>
      </c>
      <c r="I332" s="13" t="s">
        <v>548</v>
      </c>
      <c r="J332" s="13" t="s">
        <v>784</v>
      </c>
      <c r="L332" s="17" t="s">
        <v>37</v>
      </c>
      <c r="M332" s="13">
        <v>3550002</v>
      </c>
    </row>
    <row r="333" spans="1:13">
      <c r="A333" s="13">
        <v>700010104</v>
      </c>
      <c r="B333" s="13">
        <v>7000</v>
      </c>
      <c r="C333" s="13">
        <v>8</v>
      </c>
      <c r="D333" s="13">
        <v>4</v>
      </c>
      <c r="E333" s="13">
        <v>700010104</v>
      </c>
      <c r="F333" s="13">
        <v>1</v>
      </c>
      <c r="G333" s="13">
        <v>0</v>
      </c>
      <c r="H333" s="13" t="s">
        <v>785</v>
      </c>
      <c r="I333" s="13" t="s">
        <v>651</v>
      </c>
      <c r="J333" s="13" t="s">
        <v>652</v>
      </c>
      <c r="L333" s="17" t="s">
        <v>37</v>
      </c>
      <c r="M333" s="13">
        <v>3550003</v>
      </c>
    </row>
    <row r="334" spans="1:13">
      <c r="A334" s="13">
        <v>700010105</v>
      </c>
      <c r="B334" s="13">
        <v>7000</v>
      </c>
      <c r="C334" s="13">
        <v>9</v>
      </c>
      <c r="D334" s="13">
        <v>5</v>
      </c>
      <c r="E334" s="14">
        <v>700010105</v>
      </c>
      <c r="F334" s="13">
        <v>1</v>
      </c>
      <c r="G334" s="13">
        <v>0</v>
      </c>
      <c r="H334" s="13" t="s">
        <v>786</v>
      </c>
      <c r="I334" s="13" t="s">
        <v>670</v>
      </c>
      <c r="J334" s="13" t="s">
        <v>673</v>
      </c>
      <c r="L334" s="17" t="s">
        <v>37</v>
      </c>
      <c r="M334" s="13">
        <v>3550002</v>
      </c>
    </row>
    <row r="335" spans="1:13">
      <c r="A335" s="13">
        <v>700010106</v>
      </c>
      <c r="B335" s="13">
        <v>7000</v>
      </c>
      <c r="C335" s="13">
        <v>10</v>
      </c>
      <c r="D335" s="13">
        <v>5</v>
      </c>
      <c r="E335" s="14">
        <v>700010106</v>
      </c>
      <c r="F335" s="13">
        <v>1</v>
      </c>
      <c r="G335" s="13">
        <v>0</v>
      </c>
      <c r="H335" s="13" t="s">
        <v>787</v>
      </c>
      <c r="I335" s="13" t="s">
        <v>675</v>
      </c>
      <c r="J335" s="13" t="s">
        <v>788</v>
      </c>
      <c r="L335" s="17" t="s">
        <v>37</v>
      </c>
      <c r="M335" s="13">
        <v>3550002</v>
      </c>
    </row>
    <row r="336" spans="1:13">
      <c r="A336" s="13">
        <v>700010107</v>
      </c>
      <c r="B336" s="13">
        <v>7000</v>
      </c>
      <c r="C336" s="13">
        <v>11</v>
      </c>
      <c r="D336" s="13">
        <v>5</v>
      </c>
      <c r="E336" s="14">
        <v>700010107</v>
      </c>
      <c r="F336" s="13">
        <v>1</v>
      </c>
      <c r="G336" s="13">
        <v>0</v>
      </c>
      <c r="H336" s="13" t="s">
        <v>789</v>
      </c>
      <c r="I336" s="13" t="s">
        <v>659</v>
      </c>
      <c r="J336" s="13" t="s">
        <v>790</v>
      </c>
      <c r="L336" s="17" t="s">
        <v>37</v>
      </c>
      <c r="M336" s="13">
        <v>3550002</v>
      </c>
    </row>
    <row r="337" spans="1:13">
      <c r="A337" s="13">
        <v>700010108</v>
      </c>
      <c r="B337" s="13">
        <v>7000</v>
      </c>
      <c r="C337" s="13">
        <v>12</v>
      </c>
      <c r="D337" s="13">
        <v>6</v>
      </c>
      <c r="E337" s="14">
        <v>700010108</v>
      </c>
      <c r="F337" s="13">
        <v>1</v>
      </c>
      <c r="G337" s="13">
        <v>0</v>
      </c>
      <c r="H337" s="13" t="s">
        <v>791</v>
      </c>
      <c r="I337" s="13" t="s">
        <v>792</v>
      </c>
      <c r="J337" s="13" t="s">
        <v>793</v>
      </c>
      <c r="L337" s="17" t="s">
        <v>37</v>
      </c>
      <c r="M337" s="13">
        <v>3550003</v>
      </c>
    </row>
    <row r="338" spans="1:13">
      <c r="A338" s="13">
        <v>700100001</v>
      </c>
      <c r="B338" s="13">
        <v>7001</v>
      </c>
      <c r="C338" s="13">
        <v>1</v>
      </c>
      <c r="D338" s="13">
        <v>1</v>
      </c>
      <c r="E338" s="14" t="s">
        <v>33</v>
      </c>
      <c r="F338" s="13">
        <v>1</v>
      </c>
      <c r="G338" s="13">
        <v>200</v>
      </c>
      <c r="H338" s="13" t="s">
        <v>794</v>
      </c>
      <c r="I338" s="13" t="s">
        <v>795</v>
      </c>
      <c r="J338" s="13" t="s">
        <v>796</v>
      </c>
      <c r="L338" s="17" t="s">
        <v>37</v>
      </c>
      <c r="M338" s="13">
        <v>3560001</v>
      </c>
    </row>
    <row r="339" spans="1:13">
      <c r="A339" s="13">
        <v>700100101</v>
      </c>
      <c r="B339" s="13">
        <v>7001</v>
      </c>
      <c r="C339" s="13">
        <v>2</v>
      </c>
      <c r="D339" s="13">
        <v>2</v>
      </c>
      <c r="E339" s="13">
        <v>700100101</v>
      </c>
      <c r="F339" s="13">
        <v>1</v>
      </c>
      <c r="G339" s="13">
        <v>200</v>
      </c>
      <c r="H339" s="13" t="s">
        <v>797</v>
      </c>
      <c r="I339" s="13" t="s">
        <v>798</v>
      </c>
      <c r="J339" s="13" t="s">
        <v>799</v>
      </c>
      <c r="L339" s="17" t="s">
        <v>37</v>
      </c>
      <c r="M339" s="13">
        <v>3560001</v>
      </c>
    </row>
    <row r="340" spans="1:13">
      <c r="A340" s="13">
        <v>700100102</v>
      </c>
      <c r="B340" s="13">
        <v>7001</v>
      </c>
      <c r="C340" s="13">
        <v>3</v>
      </c>
      <c r="D340" s="13">
        <v>3</v>
      </c>
      <c r="E340" s="13">
        <v>700100102</v>
      </c>
      <c r="F340" s="13">
        <v>1</v>
      </c>
      <c r="G340" s="13">
        <v>300</v>
      </c>
      <c r="H340" s="13" t="s">
        <v>800</v>
      </c>
      <c r="I340" s="13" t="s">
        <v>801</v>
      </c>
      <c r="J340" s="13" t="s">
        <v>802</v>
      </c>
      <c r="L340" s="17" t="s">
        <v>37</v>
      </c>
      <c r="M340" s="13">
        <v>3560001</v>
      </c>
    </row>
    <row r="341" spans="1:13">
      <c r="A341" s="13">
        <v>700100112</v>
      </c>
      <c r="B341" s="13">
        <v>7001</v>
      </c>
      <c r="C341" s="13">
        <v>4</v>
      </c>
      <c r="D341" s="13">
        <v>3</v>
      </c>
      <c r="E341" s="13">
        <v>700100112</v>
      </c>
      <c r="F341" s="13">
        <v>1</v>
      </c>
      <c r="G341" s="13">
        <v>400</v>
      </c>
      <c r="H341" s="13" t="s">
        <v>803</v>
      </c>
      <c r="I341" s="13" t="s">
        <v>804</v>
      </c>
      <c r="J341" s="13" t="s">
        <v>805</v>
      </c>
      <c r="L341" s="17" t="s">
        <v>37</v>
      </c>
      <c r="M341" s="13">
        <v>3560001</v>
      </c>
    </row>
    <row r="342" spans="1:13">
      <c r="A342" s="13">
        <v>700100122</v>
      </c>
      <c r="B342" s="13">
        <v>7001</v>
      </c>
      <c r="C342" s="13">
        <v>5</v>
      </c>
      <c r="D342" s="13">
        <v>3</v>
      </c>
      <c r="E342" s="13">
        <v>700100122</v>
      </c>
      <c r="F342" s="13">
        <v>1</v>
      </c>
      <c r="G342" s="13">
        <v>500</v>
      </c>
      <c r="H342" s="13" t="s">
        <v>806</v>
      </c>
      <c r="I342" s="13" t="s">
        <v>807</v>
      </c>
      <c r="J342" s="13" t="s">
        <v>808</v>
      </c>
      <c r="L342" s="17" t="s">
        <v>37</v>
      </c>
      <c r="M342" s="13">
        <v>3560001</v>
      </c>
    </row>
    <row r="343" spans="1:13">
      <c r="A343" s="13">
        <v>700100132</v>
      </c>
      <c r="B343" s="13">
        <v>7001</v>
      </c>
      <c r="C343" s="13">
        <v>6</v>
      </c>
      <c r="D343" s="13">
        <v>3</v>
      </c>
      <c r="E343" s="13">
        <v>700100132</v>
      </c>
      <c r="F343" s="13">
        <v>1</v>
      </c>
      <c r="G343" s="13">
        <v>500</v>
      </c>
      <c r="H343" s="13" t="s">
        <v>809</v>
      </c>
      <c r="I343" s="13" t="s">
        <v>810</v>
      </c>
      <c r="J343" s="13" t="s">
        <v>811</v>
      </c>
      <c r="L343" s="17" t="s">
        <v>37</v>
      </c>
      <c r="M343" s="13">
        <v>3560001</v>
      </c>
    </row>
    <row r="344" spans="1:13">
      <c r="A344" s="13">
        <v>700100103</v>
      </c>
      <c r="B344" s="13">
        <v>7001</v>
      </c>
      <c r="C344" s="13">
        <v>7</v>
      </c>
      <c r="D344" s="13">
        <v>2</v>
      </c>
      <c r="E344" s="13">
        <v>700100103</v>
      </c>
      <c r="F344" s="13">
        <v>1</v>
      </c>
      <c r="G344" s="13">
        <v>0</v>
      </c>
      <c r="H344" s="13" t="s">
        <v>812</v>
      </c>
      <c r="I344" s="13" t="s">
        <v>813</v>
      </c>
      <c r="J344" s="13" t="s">
        <v>814</v>
      </c>
      <c r="L344" s="17" t="s">
        <v>37</v>
      </c>
      <c r="M344" s="13">
        <v>3560002</v>
      </c>
    </row>
    <row r="345" spans="1:13">
      <c r="A345" s="13">
        <v>700100104</v>
      </c>
      <c r="B345" s="13">
        <v>7001</v>
      </c>
      <c r="C345" s="13">
        <v>8</v>
      </c>
      <c r="D345" s="13">
        <v>4</v>
      </c>
      <c r="E345" s="13">
        <v>700100104</v>
      </c>
      <c r="F345" s="13">
        <v>1</v>
      </c>
      <c r="G345" s="13">
        <v>0</v>
      </c>
      <c r="H345" s="13" t="s">
        <v>815</v>
      </c>
      <c r="I345" s="13" t="s">
        <v>679</v>
      </c>
      <c r="J345" s="13" t="s">
        <v>680</v>
      </c>
      <c r="L345" s="17" t="s">
        <v>37</v>
      </c>
      <c r="M345" s="13">
        <v>3560003</v>
      </c>
    </row>
    <row r="346" spans="1:13">
      <c r="A346" s="13">
        <v>700100105</v>
      </c>
      <c r="B346" s="13">
        <v>7001</v>
      </c>
      <c r="C346" s="13">
        <v>9</v>
      </c>
      <c r="D346" s="13">
        <v>5</v>
      </c>
      <c r="E346" s="13">
        <v>700100105</v>
      </c>
      <c r="F346" s="13">
        <v>1</v>
      </c>
      <c r="G346" s="13">
        <v>0</v>
      </c>
      <c r="H346" s="13" t="s">
        <v>816</v>
      </c>
      <c r="I346" s="13" t="s">
        <v>699</v>
      </c>
      <c r="J346" s="13" t="s">
        <v>702</v>
      </c>
      <c r="L346" s="17" t="s">
        <v>37</v>
      </c>
      <c r="M346" s="13">
        <v>3560002</v>
      </c>
    </row>
    <row r="347" spans="1:13">
      <c r="A347" s="13">
        <v>700100106</v>
      </c>
      <c r="B347" s="13">
        <v>7001</v>
      </c>
      <c r="C347" s="13">
        <v>10</v>
      </c>
      <c r="D347" s="13">
        <v>5</v>
      </c>
      <c r="E347" s="13">
        <v>700100106</v>
      </c>
      <c r="F347" s="13">
        <v>1</v>
      </c>
      <c r="G347" s="13">
        <v>0</v>
      </c>
      <c r="H347" s="13" t="s">
        <v>817</v>
      </c>
      <c r="I347" s="13" t="s">
        <v>704</v>
      </c>
      <c r="J347" s="13" t="s">
        <v>818</v>
      </c>
      <c r="L347" s="17" t="s">
        <v>37</v>
      </c>
      <c r="M347" s="13">
        <v>3560002</v>
      </c>
    </row>
    <row r="348" spans="1:13">
      <c r="A348" s="13">
        <v>700100107</v>
      </c>
      <c r="B348" s="13">
        <v>7001</v>
      </c>
      <c r="C348" s="13">
        <v>11</v>
      </c>
      <c r="D348" s="13">
        <v>5</v>
      </c>
      <c r="E348" s="13">
        <v>700100107</v>
      </c>
      <c r="F348" s="13">
        <v>1</v>
      </c>
      <c r="G348" s="13">
        <v>0</v>
      </c>
      <c r="H348" s="13" t="s">
        <v>819</v>
      </c>
      <c r="I348" s="13" t="s">
        <v>820</v>
      </c>
      <c r="J348" s="13" t="s">
        <v>821</v>
      </c>
      <c r="L348" s="17" t="s">
        <v>37</v>
      </c>
      <c r="M348" s="13">
        <v>3560002</v>
      </c>
    </row>
    <row r="349" spans="1:13">
      <c r="A349" s="13">
        <v>700100108</v>
      </c>
      <c r="B349" s="13">
        <v>7001</v>
      </c>
      <c r="C349" s="13">
        <v>12</v>
      </c>
      <c r="D349" s="13">
        <v>6</v>
      </c>
      <c r="E349" s="13">
        <v>700100108</v>
      </c>
      <c r="F349" s="13">
        <v>1</v>
      </c>
      <c r="G349" s="13">
        <v>0</v>
      </c>
      <c r="H349" s="13" t="s">
        <v>822</v>
      </c>
      <c r="I349" s="13" t="s">
        <v>823</v>
      </c>
      <c r="J349" s="13" t="s">
        <v>824</v>
      </c>
      <c r="L349" s="17" t="s">
        <v>37</v>
      </c>
      <c r="M349" s="13">
        <v>3560003</v>
      </c>
    </row>
    <row r="350" spans="1:13">
      <c r="A350" s="13">
        <v>700200001</v>
      </c>
      <c r="B350" s="13">
        <v>7002</v>
      </c>
      <c r="C350" s="13">
        <v>1</v>
      </c>
      <c r="D350" s="13">
        <v>1</v>
      </c>
      <c r="E350" s="14" t="s">
        <v>33</v>
      </c>
      <c r="F350" s="13">
        <v>1</v>
      </c>
      <c r="G350" s="13">
        <v>100</v>
      </c>
      <c r="H350" s="13" t="s">
        <v>825</v>
      </c>
      <c r="I350" s="13" t="s">
        <v>826</v>
      </c>
      <c r="J350" s="13" t="s">
        <v>827</v>
      </c>
      <c r="L350" s="17" t="s">
        <v>37</v>
      </c>
      <c r="M350" s="13">
        <v>3570001</v>
      </c>
    </row>
    <row r="351" spans="1:13">
      <c r="A351" s="13">
        <v>700200101</v>
      </c>
      <c r="B351" s="13">
        <v>7002</v>
      </c>
      <c r="C351" s="13">
        <v>2</v>
      </c>
      <c r="D351" s="13">
        <v>2</v>
      </c>
      <c r="E351" s="13">
        <v>700200101</v>
      </c>
      <c r="F351" s="13">
        <v>1</v>
      </c>
      <c r="G351" s="13">
        <v>200</v>
      </c>
      <c r="H351" s="13" t="s">
        <v>828</v>
      </c>
      <c r="I351" s="13" t="s">
        <v>829</v>
      </c>
      <c r="J351" s="13" t="s">
        <v>830</v>
      </c>
      <c r="L351" s="17" t="s">
        <v>37</v>
      </c>
      <c r="M351" s="13">
        <v>3570001</v>
      </c>
    </row>
    <row r="352" spans="1:13">
      <c r="A352" s="13">
        <v>700200102</v>
      </c>
      <c r="B352" s="13">
        <v>7002</v>
      </c>
      <c r="C352" s="13">
        <v>3</v>
      </c>
      <c r="D352" s="13">
        <v>3</v>
      </c>
      <c r="E352" s="13">
        <v>700200102</v>
      </c>
      <c r="F352" s="13">
        <v>1</v>
      </c>
      <c r="G352" s="13">
        <v>300</v>
      </c>
      <c r="H352" s="13" t="s">
        <v>831</v>
      </c>
      <c r="I352" s="13" t="s">
        <v>832</v>
      </c>
      <c r="J352" s="13" t="s">
        <v>833</v>
      </c>
      <c r="L352" s="17" t="s">
        <v>37</v>
      </c>
      <c r="M352" s="13">
        <v>3570001</v>
      </c>
    </row>
    <row r="353" spans="1:13">
      <c r="A353" s="13">
        <v>700200112</v>
      </c>
      <c r="B353" s="13">
        <v>7002</v>
      </c>
      <c r="C353" s="13">
        <v>4</v>
      </c>
      <c r="D353" s="13">
        <v>3</v>
      </c>
      <c r="E353" s="13">
        <v>700200112</v>
      </c>
      <c r="F353" s="13">
        <v>1</v>
      </c>
      <c r="G353" s="13">
        <v>400</v>
      </c>
      <c r="H353" s="13" t="s">
        <v>834</v>
      </c>
      <c r="I353" s="13" t="s">
        <v>835</v>
      </c>
      <c r="J353" s="13" t="s">
        <v>836</v>
      </c>
      <c r="L353" s="17" t="s">
        <v>37</v>
      </c>
      <c r="M353" s="13">
        <v>3570001</v>
      </c>
    </row>
    <row r="354" spans="1:13">
      <c r="A354" s="13">
        <v>700200122</v>
      </c>
      <c r="B354" s="13">
        <v>7002</v>
      </c>
      <c r="C354" s="13">
        <v>5</v>
      </c>
      <c r="D354" s="13">
        <v>3</v>
      </c>
      <c r="E354" s="13">
        <v>700200122</v>
      </c>
      <c r="F354" s="13">
        <v>15</v>
      </c>
      <c r="G354" s="13">
        <v>500</v>
      </c>
      <c r="H354" s="13" t="s">
        <v>837</v>
      </c>
      <c r="I354" s="13" t="s">
        <v>838</v>
      </c>
      <c r="J354" s="13" t="s">
        <v>839</v>
      </c>
      <c r="L354" s="17" t="s">
        <v>37</v>
      </c>
      <c r="M354" s="13">
        <v>3570001</v>
      </c>
    </row>
    <row r="355" spans="1:13">
      <c r="A355" s="13">
        <v>700200132</v>
      </c>
      <c r="B355" s="13">
        <v>7002</v>
      </c>
      <c r="C355" s="13">
        <v>6</v>
      </c>
      <c r="D355" s="13">
        <v>3</v>
      </c>
      <c r="E355" s="13">
        <v>700200132</v>
      </c>
      <c r="F355" s="13">
        <v>1</v>
      </c>
      <c r="G355" s="13">
        <v>5000000</v>
      </c>
      <c r="H355" s="13" t="s">
        <v>840</v>
      </c>
      <c r="I355" s="13" t="s">
        <v>841</v>
      </c>
      <c r="J355" s="13" t="s">
        <v>842</v>
      </c>
      <c r="L355" s="17" t="s">
        <v>37</v>
      </c>
      <c r="M355" s="13">
        <v>3570001</v>
      </c>
    </row>
    <row r="356" spans="1:13">
      <c r="A356" s="13">
        <v>700200103</v>
      </c>
      <c r="B356" s="13">
        <v>7002</v>
      </c>
      <c r="C356" s="13">
        <v>7</v>
      </c>
      <c r="D356" s="13">
        <v>2</v>
      </c>
      <c r="E356" s="13">
        <v>700200103</v>
      </c>
      <c r="F356" s="13">
        <v>1</v>
      </c>
      <c r="G356" s="13">
        <v>0</v>
      </c>
      <c r="H356" s="13" t="s">
        <v>843</v>
      </c>
      <c r="I356" s="13" t="s">
        <v>844</v>
      </c>
      <c r="J356" s="13" t="s">
        <v>845</v>
      </c>
      <c r="L356" s="17" t="s">
        <v>37</v>
      </c>
      <c r="M356" s="13">
        <v>3570003</v>
      </c>
    </row>
    <row r="357" spans="1:13">
      <c r="A357" s="13">
        <v>700200104</v>
      </c>
      <c r="B357" s="13">
        <v>7002</v>
      </c>
      <c r="C357" s="13">
        <v>8</v>
      </c>
      <c r="D357" s="13">
        <v>4</v>
      </c>
      <c r="E357" s="13">
        <v>700200104</v>
      </c>
      <c r="F357" s="13">
        <v>1</v>
      </c>
      <c r="G357" s="13">
        <v>0</v>
      </c>
      <c r="H357" s="13" t="s">
        <v>846</v>
      </c>
      <c r="I357" s="13" t="s">
        <v>708</v>
      </c>
      <c r="J357" s="13" t="s">
        <v>709</v>
      </c>
      <c r="L357" s="17" t="s">
        <v>37</v>
      </c>
      <c r="M357" s="13">
        <v>3570002</v>
      </c>
    </row>
    <row r="358" spans="1:13">
      <c r="A358" s="13">
        <v>700200105</v>
      </c>
      <c r="B358" s="13">
        <v>7002</v>
      </c>
      <c r="C358" s="13">
        <v>9</v>
      </c>
      <c r="D358" s="13">
        <v>5</v>
      </c>
      <c r="E358" s="13">
        <v>700200105</v>
      </c>
      <c r="F358" s="13">
        <v>1</v>
      </c>
      <c r="G358" s="13">
        <v>0</v>
      </c>
      <c r="H358" s="13" t="s">
        <v>847</v>
      </c>
      <c r="I358" s="13" t="s">
        <v>722</v>
      </c>
      <c r="J358" s="13" t="s">
        <v>725</v>
      </c>
      <c r="L358" s="17" t="s">
        <v>37</v>
      </c>
      <c r="M358" s="13">
        <v>3570003</v>
      </c>
    </row>
    <row r="359" spans="1:13">
      <c r="A359" s="13">
        <v>700200106</v>
      </c>
      <c r="B359" s="13">
        <v>7002</v>
      </c>
      <c r="C359" s="13">
        <v>10</v>
      </c>
      <c r="D359" s="13">
        <v>5</v>
      </c>
      <c r="E359" s="13">
        <v>700200106</v>
      </c>
      <c r="F359" s="13">
        <v>1</v>
      </c>
      <c r="G359" s="13">
        <v>0</v>
      </c>
      <c r="H359" s="13" t="s">
        <v>848</v>
      </c>
      <c r="I359" s="13" t="s">
        <v>727</v>
      </c>
      <c r="J359" s="13" t="s">
        <v>849</v>
      </c>
      <c r="L359" s="17" t="s">
        <v>37</v>
      </c>
      <c r="M359" s="13">
        <v>3570003</v>
      </c>
    </row>
    <row r="360" spans="1:13">
      <c r="A360" s="13">
        <v>700200107</v>
      </c>
      <c r="B360" s="13">
        <v>7002</v>
      </c>
      <c r="C360" s="13">
        <v>11</v>
      </c>
      <c r="D360" s="13">
        <v>5</v>
      </c>
      <c r="E360" s="13">
        <v>700200107</v>
      </c>
      <c r="F360" s="13">
        <v>1</v>
      </c>
      <c r="G360" s="13">
        <v>0</v>
      </c>
      <c r="H360" s="13" t="s">
        <v>850</v>
      </c>
      <c r="I360" s="13" t="s">
        <v>711</v>
      </c>
      <c r="J360" s="13" t="s">
        <v>851</v>
      </c>
      <c r="L360" s="17" t="s">
        <v>37</v>
      </c>
      <c r="M360" s="13">
        <v>3570003</v>
      </c>
    </row>
    <row r="361" spans="1:13">
      <c r="A361" s="13">
        <v>700200108</v>
      </c>
      <c r="B361" s="13">
        <v>7002</v>
      </c>
      <c r="C361" s="13">
        <v>12</v>
      </c>
      <c r="D361" s="13">
        <v>6</v>
      </c>
      <c r="E361" s="13">
        <v>700200108</v>
      </c>
      <c r="F361" s="13">
        <v>1</v>
      </c>
      <c r="G361" s="13">
        <v>0</v>
      </c>
      <c r="H361" s="13" t="s">
        <v>852</v>
      </c>
      <c r="I361" s="13" t="s">
        <v>853</v>
      </c>
      <c r="J361" s="13" t="s">
        <v>854</v>
      </c>
      <c r="L361" s="17" t="s">
        <v>37</v>
      </c>
      <c r="M361" s="13">
        <v>3570002</v>
      </c>
    </row>
    <row r="362" spans="1:13">
      <c r="A362" s="13">
        <v>700400001</v>
      </c>
      <c r="B362" s="13">
        <v>7004</v>
      </c>
      <c r="C362" s="13">
        <v>1</v>
      </c>
      <c r="D362" s="13">
        <v>1</v>
      </c>
      <c r="E362" s="14" t="s">
        <v>33</v>
      </c>
      <c r="F362" s="13">
        <v>1</v>
      </c>
      <c r="G362" s="13">
        <v>0</v>
      </c>
      <c r="H362" s="13" t="s">
        <v>855</v>
      </c>
      <c r="I362" s="13" t="s">
        <v>358</v>
      </c>
      <c r="J362" s="13" t="s">
        <v>731</v>
      </c>
      <c r="L362" s="17" t="s">
        <v>856</v>
      </c>
      <c r="M362" s="13">
        <v>3600004</v>
      </c>
    </row>
    <row r="363" spans="1:13">
      <c r="A363" s="13">
        <v>700400002</v>
      </c>
      <c r="B363" s="13">
        <v>7004</v>
      </c>
      <c r="C363" s="13">
        <v>2</v>
      </c>
      <c r="D363" s="13">
        <v>2</v>
      </c>
      <c r="E363" s="13">
        <v>700400002</v>
      </c>
      <c r="F363" s="13">
        <v>1</v>
      </c>
      <c r="G363" s="13">
        <v>0</v>
      </c>
      <c r="H363" s="13" t="s">
        <v>855</v>
      </c>
      <c r="I363" s="13" t="s">
        <v>857</v>
      </c>
      <c r="J363" s="13" t="s">
        <v>731</v>
      </c>
      <c r="L363" s="17" t="s">
        <v>858</v>
      </c>
      <c r="M363" s="13">
        <v>3600004</v>
      </c>
    </row>
    <row r="364" spans="1:13">
      <c r="A364" s="13">
        <v>700400003</v>
      </c>
      <c r="B364" s="13">
        <v>7004</v>
      </c>
      <c r="C364" s="13">
        <v>3</v>
      </c>
      <c r="D364" s="13">
        <v>3</v>
      </c>
      <c r="E364" s="13">
        <v>700400003</v>
      </c>
      <c r="F364" s="13">
        <v>1</v>
      </c>
      <c r="G364" s="13">
        <v>0</v>
      </c>
      <c r="H364" s="13" t="s">
        <v>859</v>
      </c>
      <c r="I364" s="13" t="s">
        <v>860</v>
      </c>
      <c r="J364" s="13" t="s">
        <v>740</v>
      </c>
      <c r="L364" s="17" t="s">
        <v>861</v>
      </c>
      <c r="M364" s="13">
        <v>3600004</v>
      </c>
    </row>
    <row r="365" spans="1:13">
      <c r="A365" s="13">
        <v>700400004</v>
      </c>
      <c r="B365" s="13">
        <v>7004</v>
      </c>
      <c r="C365" s="13">
        <v>4</v>
      </c>
      <c r="D365" s="13">
        <v>4</v>
      </c>
      <c r="E365" s="13">
        <v>700400004</v>
      </c>
      <c r="F365" s="13">
        <v>1</v>
      </c>
      <c r="G365" s="13">
        <v>0</v>
      </c>
      <c r="H365" s="13" t="s">
        <v>862</v>
      </c>
      <c r="I365" s="13" t="s">
        <v>863</v>
      </c>
      <c r="J365" s="13" t="s">
        <v>864</v>
      </c>
      <c r="L365" s="17" t="s">
        <v>865</v>
      </c>
      <c r="M365" s="13">
        <v>3600004</v>
      </c>
    </row>
    <row r="366" spans="1:13">
      <c r="A366" s="13">
        <v>700400101</v>
      </c>
      <c r="B366" s="13">
        <v>7004</v>
      </c>
      <c r="C366" s="13">
        <v>5</v>
      </c>
      <c r="D366" s="13">
        <v>1</v>
      </c>
      <c r="E366" s="14" t="s">
        <v>33</v>
      </c>
      <c r="F366" s="13">
        <v>1</v>
      </c>
      <c r="G366" s="13">
        <v>0</v>
      </c>
      <c r="H366" s="13" t="s">
        <v>866</v>
      </c>
      <c r="I366" s="13" t="s">
        <v>867</v>
      </c>
      <c r="J366" s="13" t="s">
        <v>868</v>
      </c>
      <c r="L366" s="17" t="s">
        <v>869</v>
      </c>
      <c r="M366" s="13">
        <v>3610003</v>
      </c>
    </row>
    <row r="367" spans="1:13">
      <c r="A367" s="13">
        <v>700400102</v>
      </c>
      <c r="B367" s="13">
        <v>7004</v>
      </c>
      <c r="C367" s="13">
        <v>6</v>
      </c>
      <c r="D367" s="13">
        <v>2</v>
      </c>
      <c r="E367" s="13">
        <v>700400102</v>
      </c>
      <c r="F367" s="13">
        <v>1</v>
      </c>
      <c r="G367" s="13">
        <v>0</v>
      </c>
      <c r="H367" s="13" t="s">
        <v>870</v>
      </c>
      <c r="I367" s="13" t="s">
        <v>871</v>
      </c>
      <c r="J367" s="13" t="s">
        <v>868</v>
      </c>
      <c r="L367" s="17" t="s">
        <v>872</v>
      </c>
      <c r="M367" s="13">
        <v>3610003</v>
      </c>
    </row>
    <row r="368" spans="1:13">
      <c r="A368" s="13">
        <v>700400103</v>
      </c>
      <c r="B368" s="13">
        <v>7004</v>
      </c>
      <c r="C368" s="13">
        <v>7</v>
      </c>
      <c r="D368" s="13">
        <v>3</v>
      </c>
      <c r="E368" s="13">
        <v>700400103</v>
      </c>
      <c r="F368" s="13">
        <v>1</v>
      </c>
      <c r="G368" s="13">
        <v>0</v>
      </c>
      <c r="H368" s="13" t="s">
        <v>873</v>
      </c>
      <c r="I368" s="13" t="s">
        <v>874</v>
      </c>
      <c r="J368" s="13" t="s">
        <v>875</v>
      </c>
      <c r="L368" s="17" t="s">
        <v>876</v>
      </c>
      <c r="M368" s="13">
        <v>3610003</v>
      </c>
    </row>
    <row r="369" spans="1:13">
      <c r="A369" s="13">
        <v>700400104</v>
      </c>
      <c r="B369" s="13">
        <v>7004</v>
      </c>
      <c r="C369" s="13">
        <v>8</v>
      </c>
      <c r="D369" s="13">
        <v>4</v>
      </c>
      <c r="E369" s="13">
        <v>700400104</v>
      </c>
      <c r="F369" s="13">
        <v>1</v>
      </c>
      <c r="G369" s="13">
        <v>0</v>
      </c>
      <c r="H369" s="13" t="s">
        <v>877</v>
      </c>
      <c r="I369" s="13" t="s">
        <v>878</v>
      </c>
      <c r="J369" s="13" t="s">
        <v>879</v>
      </c>
      <c r="L369" s="17" t="s">
        <v>880</v>
      </c>
      <c r="M369" s="13">
        <v>3610003</v>
      </c>
    </row>
    <row r="370" spans="1:13">
      <c r="A370" s="17">
        <v>600100001</v>
      </c>
      <c r="B370" s="17">
        <v>6001</v>
      </c>
      <c r="C370" s="17">
        <v>1</v>
      </c>
      <c r="D370" s="13">
        <v>1</v>
      </c>
      <c r="E370" s="13">
        <v>0</v>
      </c>
      <c r="F370" s="13">
        <v>1</v>
      </c>
      <c r="G370" s="17">
        <v>200</v>
      </c>
      <c r="H370" s="13" t="s">
        <v>570</v>
      </c>
      <c r="I370" s="13" t="s">
        <v>296</v>
      </c>
      <c r="J370" s="13" t="s">
        <v>881</v>
      </c>
      <c r="L370" s="17" t="s">
        <v>37</v>
      </c>
      <c r="M370" s="13" t="s">
        <v>882</v>
      </c>
    </row>
    <row r="371" spans="1:13">
      <c r="A371" s="17">
        <v>600100101</v>
      </c>
      <c r="B371" s="17">
        <v>6001</v>
      </c>
      <c r="C371" s="17">
        <v>2</v>
      </c>
      <c r="D371" s="13">
        <v>2</v>
      </c>
      <c r="E371" s="17">
        <v>600100101</v>
      </c>
      <c r="F371" s="13">
        <v>2</v>
      </c>
      <c r="G371" s="17">
        <v>200</v>
      </c>
      <c r="H371" s="13" t="s">
        <v>883</v>
      </c>
      <c r="I371" s="13" t="s">
        <v>577</v>
      </c>
      <c r="J371" s="13" t="s">
        <v>578</v>
      </c>
      <c r="L371" s="17" t="s">
        <v>37</v>
      </c>
      <c r="M371" s="13" t="s">
        <v>884</v>
      </c>
    </row>
    <row r="372" spans="1:13">
      <c r="A372" s="17">
        <v>600100102</v>
      </c>
      <c r="B372" s="17">
        <v>6001</v>
      </c>
      <c r="C372" s="17">
        <v>3</v>
      </c>
      <c r="D372" s="13">
        <v>2</v>
      </c>
      <c r="E372" s="17">
        <v>600100102</v>
      </c>
      <c r="F372" s="13">
        <v>2</v>
      </c>
      <c r="G372" s="17">
        <v>200</v>
      </c>
      <c r="H372" s="13" t="s">
        <v>885</v>
      </c>
      <c r="I372" s="13" t="s">
        <v>580</v>
      </c>
      <c r="J372" s="13" t="s">
        <v>886</v>
      </c>
      <c r="L372" s="17" t="s">
        <v>37</v>
      </c>
      <c r="M372" s="13" t="s">
        <v>882</v>
      </c>
    </row>
    <row r="373" spans="1:13">
      <c r="A373" s="17">
        <v>600100103</v>
      </c>
      <c r="B373" s="17">
        <v>6001</v>
      </c>
      <c r="C373" s="17">
        <v>4</v>
      </c>
      <c r="D373" s="13">
        <v>2</v>
      </c>
      <c r="E373" s="17">
        <v>600100103</v>
      </c>
      <c r="F373" s="13">
        <v>2</v>
      </c>
      <c r="G373" s="17">
        <v>200</v>
      </c>
      <c r="H373" s="13" t="s">
        <v>582</v>
      </c>
      <c r="I373" s="13" t="s">
        <v>583</v>
      </c>
      <c r="J373" s="13" t="s">
        <v>887</v>
      </c>
      <c r="L373" s="17" t="s">
        <v>37</v>
      </c>
      <c r="M373" s="13" t="s">
        <v>888</v>
      </c>
    </row>
    <row r="374" spans="1:13">
      <c r="A374" s="17">
        <v>600100201</v>
      </c>
      <c r="B374" s="17">
        <v>6001</v>
      </c>
      <c r="C374" s="17">
        <v>5</v>
      </c>
      <c r="D374" s="13">
        <v>3</v>
      </c>
      <c r="E374" s="17">
        <v>600100201</v>
      </c>
      <c r="F374" s="13">
        <v>2</v>
      </c>
      <c r="G374" s="17">
        <v>400</v>
      </c>
      <c r="H374" s="13" t="s">
        <v>889</v>
      </c>
      <c r="I374" s="13" t="s">
        <v>586</v>
      </c>
      <c r="J374" s="13" t="s">
        <v>890</v>
      </c>
      <c r="L374" s="17" t="s">
        <v>37</v>
      </c>
      <c r="M374" s="13" t="s">
        <v>882</v>
      </c>
    </row>
    <row r="375" spans="1:13">
      <c r="A375" s="17">
        <v>600100202</v>
      </c>
      <c r="B375" s="17">
        <v>6001</v>
      </c>
      <c r="C375" s="17">
        <v>6</v>
      </c>
      <c r="D375" s="13">
        <v>3</v>
      </c>
      <c r="E375" s="17">
        <v>600100202</v>
      </c>
      <c r="F375" s="13">
        <v>1</v>
      </c>
      <c r="G375" s="17">
        <v>400</v>
      </c>
      <c r="H375" s="13" t="s">
        <v>588</v>
      </c>
      <c r="I375" s="13" t="s">
        <v>589</v>
      </c>
      <c r="J375" s="13" t="s">
        <v>891</v>
      </c>
      <c r="L375" s="17" t="s">
        <v>37</v>
      </c>
      <c r="M375" s="13" t="s">
        <v>892</v>
      </c>
    </row>
    <row r="376" spans="1:13">
      <c r="A376" s="17">
        <v>600100203</v>
      </c>
      <c r="B376" s="17">
        <v>6001</v>
      </c>
      <c r="C376" s="17">
        <v>7</v>
      </c>
      <c r="D376" s="13">
        <v>3</v>
      </c>
      <c r="E376" s="17">
        <v>600100203</v>
      </c>
      <c r="F376" s="13">
        <v>1</v>
      </c>
      <c r="G376" s="17">
        <v>400</v>
      </c>
      <c r="H376" s="13" t="s">
        <v>591</v>
      </c>
      <c r="I376" s="13" t="s">
        <v>592</v>
      </c>
      <c r="J376" s="13" t="s">
        <v>893</v>
      </c>
      <c r="L376" s="17" t="s">
        <v>37</v>
      </c>
      <c r="M376" s="13" t="s">
        <v>894</v>
      </c>
    </row>
    <row r="377" spans="1:13">
      <c r="A377" s="17">
        <v>600100301</v>
      </c>
      <c r="B377" s="17">
        <v>6001</v>
      </c>
      <c r="C377" s="17">
        <v>8</v>
      </c>
      <c r="D377" s="13">
        <v>4</v>
      </c>
      <c r="E377" s="17">
        <v>600100301</v>
      </c>
      <c r="F377" s="13">
        <v>2</v>
      </c>
      <c r="G377" s="17">
        <v>600</v>
      </c>
      <c r="H377" s="13" t="s">
        <v>895</v>
      </c>
      <c r="I377" s="13" t="s">
        <v>595</v>
      </c>
      <c r="J377" s="13" t="s">
        <v>896</v>
      </c>
      <c r="L377" s="17" t="s">
        <v>37</v>
      </c>
      <c r="M377" s="13" t="s">
        <v>892</v>
      </c>
    </row>
    <row r="378" spans="1:13">
      <c r="A378" s="17">
        <v>600100302</v>
      </c>
      <c r="B378" s="17">
        <v>6001</v>
      </c>
      <c r="C378" s="17">
        <v>9</v>
      </c>
      <c r="D378" s="13">
        <v>4</v>
      </c>
      <c r="E378" s="17">
        <v>600100302</v>
      </c>
      <c r="F378" s="13">
        <v>1</v>
      </c>
      <c r="G378" s="17">
        <v>600</v>
      </c>
      <c r="H378" s="13" t="s">
        <v>897</v>
      </c>
      <c r="I378" s="13" t="s">
        <v>598</v>
      </c>
      <c r="J378" s="13" t="s">
        <v>599</v>
      </c>
      <c r="L378" s="17" t="s">
        <v>37</v>
      </c>
      <c r="M378" s="13" t="s">
        <v>892</v>
      </c>
    </row>
    <row r="379" spans="1:13">
      <c r="A379" s="17">
        <v>600100303</v>
      </c>
      <c r="B379" s="17">
        <v>6001</v>
      </c>
      <c r="C379" s="17">
        <v>10</v>
      </c>
      <c r="D379" s="13">
        <v>4</v>
      </c>
      <c r="E379" s="17">
        <v>600100303</v>
      </c>
      <c r="F379" s="13">
        <v>2</v>
      </c>
      <c r="G379" s="17">
        <v>600</v>
      </c>
      <c r="H379" s="13" t="s">
        <v>898</v>
      </c>
      <c r="I379" s="13" t="s">
        <v>601</v>
      </c>
      <c r="J379" s="13" t="s">
        <v>899</v>
      </c>
      <c r="L379" s="17" t="s">
        <v>37</v>
      </c>
      <c r="M379" s="13" t="s">
        <v>894</v>
      </c>
    </row>
    <row r="380" spans="1:13">
      <c r="A380" s="17">
        <v>600100401</v>
      </c>
      <c r="B380" s="17">
        <v>6001</v>
      </c>
      <c r="C380" s="17">
        <v>11</v>
      </c>
      <c r="D380" s="13">
        <v>5</v>
      </c>
      <c r="E380" s="17">
        <v>600100401</v>
      </c>
      <c r="F380" s="13">
        <v>2</v>
      </c>
      <c r="G380" s="17">
        <v>800</v>
      </c>
      <c r="H380" s="13" t="s">
        <v>900</v>
      </c>
      <c r="I380" s="13" t="s">
        <v>604</v>
      </c>
      <c r="J380" s="13" t="s">
        <v>901</v>
      </c>
      <c r="L380" s="17" t="s">
        <v>37</v>
      </c>
      <c r="M380" s="13" t="s">
        <v>882</v>
      </c>
    </row>
    <row r="381" spans="1:13">
      <c r="A381" s="17">
        <v>600100501</v>
      </c>
      <c r="B381" s="17">
        <v>6001</v>
      </c>
      <c r="C381" s="17">
        <v>12</v>
      </c>
      <c r="D381" s="13">
        <v>6</v>
      </c>
      <c r="E381" s="17">
        <v>600100501</v>
      </c>
      <c r="F381" s="13">
        <v>1</v>
      </c>
      <c r="G381" s="17">
        <v>1600</v>
      </c>
      <c r="H381" s="13" t="s">
        <v>902</v>
      </c>
      <c r="I381" s="13" t="s">
        <v>607</v>
      </c>
      <c r="J381" s="13" t="s">
        <v>903</v>
      </c>
      <c r="L381" s="17" t="s">
        <v>37</v>
      </c>
      <c r="M381" s="13" t="s">
        <v>882</v>
      </c>
    </row>
    <row r="382" spans="1:13">
      <c r="A382" s="17">
        <v>600200001</v>
      </c>
      <c r="B382" s="17">
        <v>6002</v>
      </c>
      <c r="C382" s="17">
        <v>1</v>
      </c>
      <c r="D382" s="13">
        <v>1</v>
      </c>
      <c r="E382" s="13">
        <v>0</v>
      </c>
      <c r="F382" s="13">
        <v>1</v>
      </c>
      <c r="G382" s="17">
        <v>200</v>
      </c>
      <c r="H382" s="13" t="s">
        <v>904</v>
      </c>
      <c r="I382" s="13" t="s">
        <v>610</v>
      </c>
      <c r="J382" s="13" t="s">
        <v>905</v>
      </c>
      <c r="L382" s="17" t="s">
        <v>37</v>
      </c>
      <c r="M382" s="13" t="s">
        <v>906</v>
      </c>
    </row>
    <row r="383" spans="1:13">
      <c r="A383" s="17">
        <v>600200101</v>
      </c>
      <c r="B383" s="17">
        <v>6002</v>
      </c>
      <c r="C383" s="17">
        <v>2</v>
      </c>
      <c r="D383" s="13">
        <v>2</v>
      </c>
      <c r="E383" s="17">
        <v>600200101</v>
      </c>
      <c r="F383" s="13">
        <v>2</v>
      </c>
      <c r="G383" s="17">
        <v>200</v>
      </c>
      <c r="H383" s="13" t="s">
        <v>883</v>
      </c>
      <c r="I383" s="13" t="s">
        <v>577</v>
      </c>
      <c r="J383" s="13" t="s">
        <v>578</v>
      </c>
      <c r="L383" s="17" t="s">
        <v>37</v>
      </c>
      <c r="M383" s="13" t="s">
        <v>884</v>
      </c>
    </row>
    <row r="384" spans="1:13">
      <c r="A384" s="17">
        <v>600200102</v>
      </c>
      <c r="B384" s="17">
        <v>6002</v>
      </c>
      <c r="C384" s="17">
        <v>3</v>
      </c>
      <c r="D384" s="13">
        <v>2</v>
      </c>
      <c r="E384" s="17">
        <v>600200102</v>
      </c>
      <c r="F384" s="13">
        <v>1</v>
      </c>
      <c r="G384" s="17">
        <v>200</v>
      </c>
      <c r="H384" s="51" t="s">
        <v>907</v>
      </c>
      <c r="I384" s="13" t="s">
        <v>613</v>
      </c>
      <c r="J384" s="13" t="s">
        <v>614</v>
      </c>
      <c r="L384" s="17" t="s">
        <v>37</v>
      </c>
      <c r="M384" s="13" t="s">
        <v>908</v>
      </c>
    </row>
    <row r="385" spans="1:13">
      <c r="A385" s="17">
        <v>600200112</v>
      </c>
      <c r="B385" s="17">
        <v>6002</v>
      </c>
      <c r="C385" s="17">
        <v>21</v>
      </c>
      <c r="D385" s="13">
        <v>2</v>
      </c>
      <c r="E385" s="17">
        <v>600200112</v>
      </c>
      <c r="F385" s="13">
        <v>1</v>
      </c>
      <c r="G385" s="17">
        <v>200</v>
      </c>
      <c r="H385" s="51" t="s">
        <v>909</v>
      </c>
      <c r="I385" s="13" t="s">
        <v>910</v>
      </c>
      <c r="J385" s="13" t="s">
        <v>911</v>
      </c>
      <c r="L385" s="17" t="s">
        <v>37</v>
      </c>
      <c r="M385" s="13" t="s">
        <v>908</v>
      </c>
    </row>
    <row r="386" spans="1:13">
      <c r="A386" s="17">
        <v>600200103</v>
      </c>
      <c r="B386" s="17">
        <v>6002</v>
      </c>
      <c r="C386" s="17">
        <v>4</v>
      </c>
      <c r="D386" s="13">
        <v>2</v>
      </c>
      <c r="E386" s="17">
        <v>600200103</v>
      </c>
      <c r="F386" s="13">
        <v>2</v>
      </c>
      <c r="G386" s="17">
        <v>200</v>
      </c>
      <c r="H386" s="13" t="s">
        <v>912</v>
      </c>
      <c r="I386" s="13" t="s">
        <v>583</v>
      </c>
      <c r="J386" s="13" t="s">
        <v>913</v>
      </c>
      <c r="L386" s="17" t="s">
        <v>37</v>
      </c>
      <c r="M386" s="13" t="s">
        <v>888</v>
      </c>
    </row>
    <row r="387" spans="1:13">
      <c r="A387" s="17">
        <v>600200201</v>
      </c>
      <c r="B387" s="17">
        <v>6002</v>
      </c>
      <c r="C387" s="17">
        <v>5</v>
      </c>
      <c r="D387" s="13">
        <v>3</v>
      </c>
      <c r="E387" s="17">
        <v>600200201</v>
      </c>
      <c r="F387" s="13">
        <v>2</v>
      </c>
      <c r="G387" s="17">
        <v>400</v>
      </c>
      <c r="H387" s="51" t="s">
        <v>914</v>
      </c>
      <c r="I387" s="13" t="s">
        <v>618</v>
      </c>
      <c r="J387" s="13" t="s">
        <v>915</v>
      </c>
      <c r="L387" s="17" t="s">
        <v>37</v>
      </c>
      <c r="M387" s="13" t="s">
        <v>908</v>
      </c>
    </row>
    <row r="388" spans="1:13">
      <c r="A388" s="17">
        <v>600200202</v>
      </c>
      <c r="B388" s="17">
        <v>6002</v>
      </c>
      <c r="C388" s="17">
        <v>6</v>
      </c>
      <c r="D388" s="13">
        <v>3</v>
      </c>
      <c r="E388" s="17">
        <v>600200202</v>
      </c>
      <c r="F388" s="13">
        <v>1</v>
      </c>
      <c r="G388" s="17">
        <v>400</v>
      </c>
      <c r="H388" s="13" t="s">
        <v>620</v>
      </c>
      <c r="I388" s="13" t="s">
        <v>621</v>
      </c>
      <c r="J388" s="13" t="s">
        <v>916</v>
      </c>
      <c r="L388" s="17" t="s">
        <v>37</v>
      </c>
      <c r="M388" s="13" t="s">
        <v>906</v>
      </c>
    </row>
    <row r="389" spans="1:13">
      <c r="A389" s="17">
        <v>600200203</v>
      </c>
      <c r="B389" s="17">
        <v>6002</v>
      </c>
      <c r="C389" s="17">
        <v>7</v>
      </c>
      <c r="D389" s="13">
        <v>3</v>
      </c>
      <c r="E389" s="17">
        <v>600200203</v>
      </c>
      <c r="F389" s="13">
        <v>1</v>
      </c>
      <c r="G389" s="17">
        <v>400</v>
      </c>
      <c r="H389" s="51" t="s">
        <v>917</v>
      </c>
      <c r="I389" s="13" t="s">
        <v>624</v>
      </c>
      <c r="J389" s="13" t="s">
        <v>625</v>
      </c>
      <c r="L389" s="17" t="s">
        <v>37</v>
      </c>
      <c r="M389" s="13" t="s">
        <v>918</v>
      </c>
    </row>
    <row r="390" spans="1:13">
      <c r="A390" s="17">
        <v>600200301</v>
      </c>
      <c r="B390" s="17">
        <v>6002</v>
      </c>
      <c r="C390" s="17">
        <v>8</v>
      </c>
      <c r="D390" s="13">
        <v>4</v>
      </c>
      <c r="E390" s="17">
        <v>600200301</v>
      </c>
      <c r="F390" s="13">
        <v>2</v>
      </c>
      <c r="G390" s="17">
        <v>600</v>
      </c>
      <c r="H390" s="51" t="s">
        <v>919</v>
      </c>
      <c r="I390" s="13" t="s">
        <v>627</v>
      </c>
      <c r="J390" s="13" t="s">
        <v>628</v>
      </c>
      <c r="L390" s="17" t="s">
        <v>37</v>
      </c>
      <c r="M390" s="13" t="s">
        <v>906</v>
      </c>
    </row>
    <row r="391" spans="1:13">
      <c r="A391" s="17">
        <v>600200302</v>
      </c>
      <c r="B391" s="17">
        <v>6002</v>
      </c>
      <c r="C391" s="17">
        <v>9</v>
      </c>
      <c r="D391" s="13">
        <v>4</v>
      </c>
      <c r="E391" s="17">
        <v>600200302</v>
      </c>
      <c r="F391" s="13">
        <v>1</v>
      </c>
      <c r="G391" s="17">
        <v>600</v>
      </c>
      <c r="H391" s="13" t="s">
        <v>920</v>
      </c>
      <c r="I391" s="13" t="s">
        <v>630</v>
      </c>
      <c r="J391" s="13" t="s">
        <v>631</v>
      </c>
      <c r="L391" s="17" t="s">
        <v>37</v>
      </c>
      <c r="M391" s="13" t="s">
        <v>906</v>
      </c>
    </row>
    <row r="392" spans="1:13">
      <c r="A392" s="17">
        <v>600200303</v>
      </c>
      <c r="B392" s="17">
        <v>6002</v>
      </c>
      <c r="C392" s="17">
        <v>10</v>
      </c>
      <c r="D392" s="13">
        <v>4</v>
      </c>
      <c r="E392" s="17">
        <v>600200303</v>
      </c>
      <c r="F392" s="13">
        <v>2</v>
      </c>
      <c r="G392" s="17">
        <v>600</v>
      </c>
      <c r="H392" s="40" t="s">
        <v>921</v>
      </c>
      <c r="I392" s="13" t="s">
        <v>633</v>
      </c>
      <c r="J392" s="13" t="s">
        <v>922</v>
      </c>
      <c r="L392" s="17" t="s">
        <v>37</v>
      </c>
      <c r="M392" s="13" t="s">
        <v>918</v>
      </c>
    </row>
    <row r="393" spans="1:13">
      <c r="A393" s="17">
        <v>600200401</v>
      </c>
      <c r="B393" s="17">
        <v>6002</v>
      </c>
      <c r="C393" s="17">
        <v>11</v>
      </c>
      <c r="D393" s="13">
        <v>5</v>
      </c>
      <c r="E393" s="17">
        <v>600200401</v>
      </c>
      <c r="F393" s="13">
        <v>2</v>
      </c>
      <c r="G393" s="17">
        <v>800</v>
      </c>
      <c r="H393" s="13" t="s">
        <v>923</v>
      </c>
      <c r="I393" s="13" t="s">
        <v>636</v>
      </c>
      <c r="J393" s="13" t="s">
        <v>924</v>
      </c>
      <c r="L393" s="17" t="s">
        <v>37</v>
      </c>
      <c r="M393" s="13" t="s">
        <v>906</v>
      </c>
    </row>
    <row r="394" spans="1:13">
      <c r="A394" s="17">
        <v>600200501</v>
      </c>
      <c r="B394" s="17">
        <v>6002</v>
      </c>
      <c r="C394" s="17">
        <v>12</v>
      </c>
      <c r="D394" s="13">
        <v>6</v>
      </c>
      <c r="E394" s="17">
        <v>600200501</v>
      </c>
      <c r="F394" s="13">
        <v>1</v>
      </c>
      <c r="G394" s="17">
        <v>1600</v>
      </c>
      <c r="H394" s="13" t="s">
        <v>638</v>
      </c>
      <c r="I394" s="13" t="s">
        <v>639</v>
      </c>
      <c r="J394" s="13" t="s">
        <v>640</v>
      </c>
      <c r="L394" s="17" t="s">
        <v>37</v>
      </c>
      <c r="M394" s="13" t="s">
        <v>906</v>
      </c>
    </row>
    <row r="395" spans="1:13">
      <c r="A395" s="17">
        <v>600300001</v>
      </c>
      <c r="B395" s="17">
        <v>6003</v>
      </c>
      <c r="C395" s="17">
        <v>1</v>
      </c>
      <c r="D395" s="13">
        <v>1</v>
      </c>
      <c r="E395" s="13">
        <v>0</v>
      </c>
      <c r="F395" s="13">
        <v>1</v>
      </c>
      <c r="G395" s="17">
        <v>200</v>
      </c>
      <c r="H395" s="13" t="s">
        <v>641</v>
      </c>
      <c r="I395" s="13" t="s">
        <v>642</v>
      </c>
      <c r="J395" s="13" t="s">
        <v>925</v>
      </c>
      <c r="L395" s="17" t="s">
        <v>37</v>
      </c>
      <c r="M395" s="13" t="s">
        <v>926</v>
      </c>
    </row>
    <row r="396" spans="1:13">
      <c r="A396" s="17">
        <v>600300101</v>
      </c>
      <c r="B396" s="17">
        <v>6003</v>
      </c>
      <c r="C396" s="17">
        <v>2</v>
      </c>
      <c r="D396" s="13">
        <v>2</v>
      </c>
      <c r="E396" s="17">
        <v>600300101</v>
      </c>
      <c r="F396" s="13">
        <v>2</v>
      </c>
      <c r="G396" s="17">
        <v>200</v>
      </c>
      <c r="H396" s="52" t="s">
        <v>927</v>
      </c>
      <c r="I396" s="13" t="s">
        <v>928</v>
      </c>
      <c r="J396" s="13" t="s">
        <v>929</v>
      </c>
      <c r="L396" s="17" t="s">
        <v>37</v>
      </c>
      <c r="M396" s="13" t="s">
        <v>930</v>
      </c>
    </row>
    <row r="397" spans="1:13">
      <c r="A397" s="17">
        <v>600300102</v>
      </c>
      <c r="B397" s="17">
        <v>6003</v>
      </c>
      <c r="C397" s="17">
        <v>3</v>
      </c>
      <c r="D397" s="13">
        <v>2</v>
      </c>
      <c r="E397" s="17">
        <v>600300102</v>
      </c>
      <c r="F397" s="13">
        <v>2</v>
      </c>
      <c r="G397" s="17">
        <v>200</v>
      </c>
      <c r="H397" s="52" t="s">
        <v>931</v>
      </c>
      <c r="I397" s="13" t="s">
        <v>932</v>
      </c>
      <c r="J397" s="13" t="s">
        <v>933</v>
      </c>
      <c r="L397" s="17" t="s">
        <v>37</v>
      </c>
      <c r="M397" s="13" t="s">
        <v>926</v>
      </c>
    </row>
    <row r="398" spans="1:13">
      <c r="A398" s="17">
        <v>600300103</v>
      </c>
      <c r="B398" s="17">
        <v>6003</v>
      </c>
      <c r="C398" s="17">
        <v>4</v>
      </c>
      <c r="D398" s="13">
        <v>2</v>
      </c>
      <c r="E398" s="17">
        <v>600300103</v>
      </c>
      <c r="F398" s="13">
        <v>2</v>
      </c>
      <c r="G398" s="17">
        <v>200</v>
      </c>
      <c r="H398" s="52" t="s">
        <v>934</v>
      </c>
      <c r="I398" s="13" t="s">
        <v>935</v>
      </c>
      <c r="J398" s="13" t="s">
        <v>936</v>
      </c>
      <c r="L398" s="17" t="s">
        <v>37</v>
      </c>
      <c r="M398" s="13" t="s">
        <v>937</v>
      </c>
    </row>
    <row r="399" spans="1:13">
      <c r="A399" s="17">
        <v>600300201</v>
      </c>
      <c r="B399" s="17">
        <v>6003</v>
      </c>
      <c r="C399" s="17">
        <v>5</v>
      </c>
      <c r="D399" s="13">
        <v>3</v>
      </c>
      <c r="E399" s="17">
        <v>600300201</v>
      </c>
      <c r="F399" s="13">
        <v>2</v>
      </c>
      <c r="G399" s="17">
        <v>400</v>
      </c>
      <c r="H399" s="52" t="s">
        <v>938</v>
      </c>
      <c r="I399" s="13" t="s">
        <v>939</v>
      </c>
      <c r="J399" s="13" t="s">
        <v>940</v>
      </c>
      <c r="L399" s="17" t="s">
        <v>37</v>
      </c>
      <c r="M399" s="13" t="s">
        <v>926</v>
      </c>
    </row>
    <row r="400" spans="1:13">
      <c r="A400" s="17">
        <v>600300202</v>
      </c>
      <c r="B400" s="17">
        <v>6003</v>
      </c>
      <c r="C400" s="17">
        <v>6</v>
      </c>
      <c r="D400" s="13">
        <v>3</v>
      </c>
      <c r="E400" s="17">
        <v>600300202</v>
      </c>
      <c r="F400" s="13">
        <v>1</v>
      </c>
      <c r="G400" s="17">
        <v>400</v>
      </c>
      <c r="H400" s="52" t="s">
        <v>941</v>
      </c>
      <c r="I400" s="13" t="s">
        <v>645</v>
      </c>
      <c r="J400" s="13" t="s">
        <v>942</v>
      </c>
      <c r="L400" s="17" t="s">
        <v>37</v>
      </c>
      <c r="M400" s="13" t="s">
        <v>926</v>
      </c>
    </row>
    <row r="401" spans="1:13">
      <c r="A401" s="17">
        <v>600300203</v>
      </c>
      <c r="B401" s="17">
        <v>6003</v>
      </c>
      <c r="C401" s="17">
        <v>7</v>
      </c>
      <c r="D401" s="13">
        <v>3</v>
      </c>
      <c r="E401" s="17">
        <v>600300203</v>
      </c>
      <c r="F401" s="13">
        <v>1</v>
      </c>
      <c r="G401" s="17">
        <v>400</v>
      </c>
      <c r="H401" s="52" t="s">
        <v>943</v>
      </c>
      <c r="I401" s="13" t="s">
        <v>648</v>
      </c>
      <c r="J401" s="13" t="s">
        <v>944</v>
      </c>
      <c r="L401" s="17" t="s">
        <v>37</v>
      </c>
      <c r="M401" s="13" t="s">
        <v>926</v>
      </c>
    </row>
    <row r="402" spans="1:13">
      <c r="A402" s="17">
        <v>600300301</v>
      </c>
      <c r="B402" s="17">
        <v>6003</v>
      </c>
      <c r="C402" s="17">
        <v>8</v>
      </c>
      <c r="D402" s="13">
        <v>4</v>
      </c>
      <c r="E402" s="17">
        <v>600300301</v>
      </c>
      <c r="F402" s="13">
        <v>2</v>
      </c>
      <c r="G402" s="17">
        <v>600</v>
      </c>
      <c r="H402" s="52" t="s">
        <v>945</v>
      </c>
      <c r="I402" s="13" t="s">
        <v>946</v>
      </c>
      <c r="J402" s="13" t="s">
        <v>947</v>
      </c>
      <c r="L402" s="17" t="s">
        <v>37</v>
      </c>
      <c r="M402" s="13" t="s">
        <v>926</v>
      </c>
    </row>
    <row r="403" spans="1:13">
      <c r="A403" s="17">
        <v>600300302</v>
      </c>
      <c r="B403" s="17">
        <v>6003</v>
      </c>
      <c r="C403" s="17">
        <v>9</v>
      </c>
      <c r="D403" s="13">
        <v>4</v>
      </c>
      <c r="E403" s="17">
        <v>600300302</v>
      </c>
      <c r="F403" s="13">
        <v>1</v>
      </c>
      <c r="G403" s="17">
        <v>600</v>
      </c>
      <c r="H403" s="52" t="s">
        <v>948</v>
      </c>
      <c r="I403" s="13" t="s">
        <v>949</v>
      </c>
      <c r="J403" s="13" t="s">
        <v>950</v>
      </c>
      <c r="L403" s="17" t="s">
        <v>37</v>
      </c>
      <c r="M403" s="13" t="s">
        <v>926</v>
      </c>
    </row>
    <row r="404" spans="1:13">
      <c r="A404" s="17">
        <v>600300303</v>
      </c>
      <c r="B404" s="17">
        <v>6003</v>
      </c>
      <c r="C404" s="17">
        <v>10</v>
      </c>
      <c r="D404" s="13">
        <v>4</v>
      </c>
      <c r="E404" s="17">
        <v>600300303</v>
      </c>
      <c r="F404" s="13">
        <v>2</v>
      </c>
      <c r="G404" s="17">
        <v>600</v>
      </c>
      <c r="H404" s="52" t="s">
        <v>951</v>
      </c>
      <c r="I404" s="13" t="s">
        <v>454</v>
      </c>
      <c r="J404" s="13" t="s">
        <v>952</v>
      </c>
      <c r="L404" s="17" t="s">
        <v>37</v>
      </c>
      <c r="M404" s="13" t="s">
        <v>926</v>
      </c>
    </row>
    <row r="405" spans="1:13">
      <c r="A405" s="17">
        <v>600300401</v>
      </c>
      <c r="B405" s="17">
        <v>6003</v>
      </c>
      <c r="C405" s="17">
        <v>11</v>
      </c>
      <c r="D405" s="13">
        <v>5</v>
      </c>
      <c r="E405" s="17">
        <v>600300401</v>
      </c>
      <c r="F405" s="13">
        <v>2</v>
      </c>
      <c r="G405" s="17">
        <v>800</v>
      </c>
      <c r="H405" s="52" t="s">
        <v>953</v>
      </c>
      <c r="I405" s="13" t="s">
        <v>954</v>
      </c>
      <c r="J405" s="13" t="s">
        <v>955</v>
      </c>
      <c r="L405" s="17" t="s">
        <v>37</v>
      </c>
      <c r="M405" s="13" t="s">
        <v>926</v>
      </c>
    </row>
    <row r="406" spans="1:13">
      <c r="A406" s="17">
        <v>600300501</v>
      </c>
      <c r="B406" s="17">
        <v>6003</v>
      </c>
      <c r="C406" s="17">
        <v>12</v>
      </c>
      <c r="D406" s="13">
        <v>6</v>
      </c>
      <c r="E406" s="17">
        <v>600300501</v>
      </c>
      <c r="F406" s="13">
        <v>1</v>
      </c>
      <c r="G406" s="17">
        <v>1600</v>
      </c>
      <c r="H406" s="52" t="s">
        <v>956</v>
      </c>
      <c r="I406" s="13" t="s">
        <v>957</v>
      </c>
      <c r="J406" s="13" t="s">
        <v>958</v>
      </c>
      <c r="L406" s="17" t="s">
        <v>37</v>
      </c>
      <c r="M406" s="13" t="s">
        <v>926</v>
      </c>
    </row>
    <row r="407" spans="1:13">
      <c r="A407" s="17">
        <v>600400001</v>
      </c>
      <c r="B407" s="17">
        <v>6004</v>
      </c>
      <c r="C407" s="17">
        <v>1</v>
      </c>
      <c r="D407" s="13">
        <v>1</v>
      </c>
      <c r="E407" s="13">
        <v>0</v>
      </c>
      <c r="F407" s="13">
        <v>1</v>
      </c>
      <c r="G407" s="17">
        <v>200</v>
      </c>
      <c r="H407" s="52" t="s">
        <v>959</v>
      </c>
      <c r="I407" s="13" t="s">
        <v>766</v>
      </c>
      <c r="J407" s="13" t="s">
        <v>960</v>
      </c>
      <c r="L407" s="17" t="s">
        <v>37</v>
      </c>
      <c r="M407" s="13" t="s">
        <v>961</v>
      </c>
    </row>
    <row r="408" spans="1:13">
      <c r="A408" s="17">
        <v>600400101</v>
      </c>
      <c r="B408" s="17">
        <v>6004</v>
      </c>
      <c r="C408" s="17">
        <v>2</v>
      </c>
      <c r="D408" s="13">
        <v>2</v>
      </c>
      <c r="E408" s="17">
        <v>600400101</v>
      </c>
      <c r="F408" s="13">
        <v>2</v>
      </c>
      <c r="G408" s="17">
        <v>200</v>
      </c>
      <c r="H408" s="52" t="s">
        <v>927</v>
      </c>
      <c r="I408" s="13" t="s">
        <v>928</v>
      </c>
      <c r="J408" s="13" t="s">
        <v>929</v>
      </c>
      <c r="L408" s="17" t="s">
        <v>37</v>
      </c>
      <c r="M408" s="13" t="s">
        <v>930</v>
      </c>
    </row>
    <row r="409" spans="1:13">
      <c r="A409" s="17">
        <v>600400102</v>
      </c>
      <c r="B409" s="17">
        <v>6004</v>
      </c>
      <c r="C409" s="17">
        <v>3</v>
      </c>
      <c r="D409" s="13">
        <v>2</v>
      </c>
      <c r="E409" s="17">
        <v>600400102</v>
      </c>
      <c r="F409" s="13">
        <v>1</v>
      </c>
      <c r="G409" s="17">
        <v>200</v>
      </c>
      <c r="H409" s="51" t="s">
        <v>962</v>
      </c>
      <c r="I409" s="13" t="s">
        <v>963</v>
      </c>
      <c r="J409" s="13" t="s">
        <v>964</v>
      </c>
      <c r="L409" s="17" t="s">
        <v>37</v>
      </c>
      <c r="M409" s="13" t="s">
        <v>965</v>
      </c>
    </row>
    <row r="410" spans="1:13">
      <c r="A410" s="17">
        <v>600400112</v>
      </c>
      <c r="B410" s="17">
        <v>6004</v>
      </c>
      <c r="C410" s="17">
        <v>21</v>
      </c>
      <c r="D410" s="13">
        <v>2</v>
      </c>
      <c r="E410" s="17">
        <v>600400112</v>
      </c>
      <c r="F410" s="13">
        <v>1</v>
      </c>
      <c r="G410" s="17">
        <v>200</v>
      </c>
      <c r="H410" s="51" t="s">
        <v>966</v>
      </c>
      <c r="I410" s="13" t="s">
        <v>967</v>
      </c>
      <c r="J410" s="13" t="s">
        <v>968</v>
      </c>
      <c r="L410" s="17" t="s">
        <v>37</v>
      </c>
      <c r="M410" s="13" t="s">
        <v>965</v>
      </c>
    </row>
    <row r="411" spans="1:13">
      <c r="A411" s="17">
        <v>600400103</v>
      </c>
      <c r="B411" s="17">
        <v>6004</v>
      </c>
      <c r="C411" s="17">
        <v>4</v>
      </c>
      <c r="D411" s="13">
        <v>2</v>
      </c>
      <c r="E411" s="17">
        <v>600400103</v>
      </c>
      <c r="F411" s="13">
        <v>2</v>
      </c>
      <c r="G411" s="17">
        <v>200</v>
      </c>
      <c r="H411" s="52" t="s">
        <v>969</v>
      </c>
      <c r="I411" s="13" t="s">
        <v>970</v>
      </c>
      <c r="J411" s="13" t="s">
        <v>971</v>
      </c>
      <c r="L411" s="17" t="s">
        <v>37</v>
      </c>
      <c r="M411" s="13" t="s">
        <v>937</v>
      </c>
    </row>
    <row r="412" spans="1:13">
      <c r="A412" s="17">
        <v>600400201</v>
      </c>
      <c r="B412" s="17">
        <v>6004</v>
      </c>
      <c r="C412" s="17">
        <v>5</v>
      </c>
      <c r="D412" s="13">
        <v>3</v>
      </c>
      <c r="E412" s="17">
        <v>600400201</v>
      </c>
      <c r="F412" s="13">
        <v>2</v>
      </c>
      <c r="G412" s="17">
        <v>400</v>
      </c>
      <c r="H412" s="52" t="s">
        <v>972</v>
      </c>
      <c r="I412" s="13" t="s">
        <v>973</v>
      </c>
      <c r="J412" s="13" t="s">
        <v>974</v>
      </c>
      <c r="L412" s="17" t="s">
        <v>37</v>
      </c>
      <c r="M412" s="13" t="s">
        <v>965</v>
      </c>
    </row>
    <row r="413" spans="1:13">
      <c r="A413" s="17">
        <v>600400202</v>
      </c>
      <c r="B413" s="17">
        <v>6004</v>
      </c>
      <c r="C413" s="17">
        <v>6</v>
      </c>
      <c r="D413" s="13">
        <v>3</v>
      </c>
      <c r="E413" s="17">
        <v>600400202</v>
      </c>
      <c r="F413" s="13">
        <v>1</v>
      </c>
      <c r="G413" s="17">
        <v>400</v>
      </c>
      <c r="H413" s="52" t="s">
        <v>975</v>
      </c>
      <c r="I413" s="13" t="s">
        <v>976</v>
      </c>
      <c r="J413" s="13" t="s">
        <v>977</v>
      </c>
      <c r="L413" s="17" t="s">
        <v>37</v>
      </c>
      <c r="M413" s="13" t="s">
        <v>978</v>
      </c>
    </row>
    <row r="414" spans="1:13">
      <c r="A414" s="17">
        <v>600400203</v>
      </c>
      <c r="B414" s="17">
        <v>6004</v>
      </c>
      <c r="C414" s="17">
        <v>7</v>
      </c>
      <c r="D414" s="13">
        <v>3</v>
      </c>
      <c r="E414" s="17">
        <v>600400203</v>
      </c>
      <c r="F414" s="13">
        <v>1</v>
      </c>
      <c r="G414" s="17">
        <v>400</v>
      </c>
      <c r="H414" s="52" t="s">
        <v>979</v>
      </c>
      <c r="I414" s="13" t="s">
        <v>980</v>
      </c>
      <c r="J414" s="13" t="s">
        <v>981</v>
      </c>
      <c r="L414" s="17" t="s">
        <v>37</v>
      </c>
      <c r="M414" s="13" t="s">
        <v>982</v>
      </c>
    </row>
    <row r="415" spans="1:13">
      <c r="A415" s="17">
        <v>600400301</v>
      </c>
      <c r="B415" s="17">
        <v>6004</v>
      </c>
      <c r="C415" s="17">
        <v>8</v>
      </c>
      <c r="D415" s="13">
        <v>4</v>
      </c>
      <c r="E415" s="17">
        <v>600400301</v>
      </c>
      <c r="F415" s="13">
        <v>2</v>
      </c>
      <c r="G415" s="17">
        <v>600</v>
      </c>
      <c r="H415" s="52" t="s">
        <v>983</v>
      </c>
      <c r="I415" s="13" t="s">
        <v>984</v>
      </c>
      <c r="J415" s="13" t="s">
        <v>985</v>
      </c>
      <c r="L415" s="17" t="s">
        <v>37</v>
      </c>
      <c r="M415" s="13" t="s">
        <v>978</v>
      </c>
    </row>
    <row r="416" spans="1:13">
      <c r="A416" s="17">
        <v>600400302</v>
      </c>
      <c r="B416" s="17">
        <v>6004</v>
      </c>
      <c r="C416" s="17">
        <v>9</v>
      </c>
      <c r="D416" s="13">
        <v>4</v>
      </c>
      <c r="E416" s="17">
        <v>600400302</v>
      </c>
      <c r="F416" s="13">
        <v>1</v>
      </c>
      <c r="G416" s="17">
        <v>600</v>
      </c>
      <c r="H416" s="52" t="s">
        <v>986</v>
      </c>
      <c r="I416" s="13" t="s">
        <v>987</v>
      </c>
      <c r="J416" s="13" t="s">
        <v>988</v>
      </c>
      <c r="L416" s="17" t="s">
        <v>37</v>
      </c>
      <c r="M416" s="13" t="s">
        <v>989</v>
      </c>
    </row>
    <row r="417" spans="1:13">
      <c r="A417" s="17">
        <v>600400303</v>
      </c>
      <c r="B417" s="17">
        <v>6004</v>
      </c>
      <c r="C417" s="17">
        <v>10</v>
      </c>
      <c r="D417" s="13">
        <v>4</v>
      </c>
      <c r="E417" s="17">
        <v>600400303</v>
      </c>
      <c r="F417" s="13">
        <v>2</v>
      </c>
      <c r="G417" s="17">
        <v>600</v>
      </c>
      <c r="H417" s="52" t="s">
        <v>990</v>
      </c>
      <c r="I417" s="13" t="s">
        <v>991</v>
      </c>
      <c r="J417" s="13" t="s">
        <v>992</v>
      </c>
      <c r="L417" s="17" t="s">
        <v>37</v>
      </c>
      <c r="M417" s="13" t="s">
        <v>982</v>
      </c>
    </row>
    <row r="418" spans="1:13">
      <c r="A418" s="17">
        <v>600400401</v>
      </c>
      <c r="B418" s="17">
        <v>6004</v>
      </c>
      <c r="C418" s="17">
        <v>11</v>
      </c>
      <c r="D418" s="13">
        <v>5</v>
      </c>
      <c r="E418" s="17">
        <v>600400401</v>
      </c>
      <c r="F418" s="13">
        <v>2</v>
      </c>
      <c r="G418" s="17">
        <v>800</v>
      </c>
      <c r="H418" s="52" t="s">
        <v>986</v>
      </c>
      <c r="I418" s="13" t="s">
        <v>993</v>
      </c>
      <c r="J418" s="13" t="s">
        <v>994</v>
      </c>
      <c r="L418" s="17" t="s">
        <v>37</v>
      </c>
      <c r="M418" s="13" t="s">
        <v>989</v>
      </c>
    </row>
    <row r="419" spans="1:13">
      <c r="A419" s="17">
        <v>600400501</v>
      </c>
      <c r="B419" s="17">
        <v>6004</v>
      </c>
      <c r="C419" s="17">
        <v>12</v>
      </c>
      <c r="D419" s="13">
        <v>6</v>
      </c>
      <c r="E419" s="17">
        <v>600400501</v>
      </c>
      <c r="F419" s="13">
        <v>1</v>
      </c>
      <c r="G419" s="17">
        <v>1600</v>
      </c>
      <c r="H419" s="52" t="s">
        <v>995</v>
      </c>
      <c r="I419" s="13" t="s">
        <v>645</v>
      </c>
      <c r="J419" s="13" t="s">
        <v>996</v>
      </c>
      <c r="L419" s="17" t="s">
        <v>37</v>
      </c>
      <c r="M419" s="13" t="s">
        <v>978</v>
      </c>
    </row>
    <row r="420" spans="1:13">
      <c r="A420" s="17">
        <v>600500001</v>
      </c>
      <c r="B420" s="17">
        <v>6005</v>
      </c>
      <c r="C420" s="17">
        <v>1</v>
      </c>
      <c r="D420" s="13">
        <v>1</v>
      </c>
      <c r="E420" s="13">
        <v>0</v>
      </c>
      <c r="F420" s="13">
        <v>1</v>
      </c>
      <c r="G420" s="17">
        <v>200</v>
      </c>
      <c r="H420" s="13" t="s">
        <v>997</v>
      </c>
      <c r="I420" s="13" t="s">
        <v>271</v>
      </c>
      <c r="J420" s="13" t="s">
        <v>998</v>
      </c>
      <c r="L420" s="17" t="s">
        <v>37</v>
      </c>
      <c r="M420" s="13" t="s">
        <v>999</v>
      </c>
    </row>
    <row r="421" ht="15" customHeight="1" spans="1:13">
      <c r="A421" s="17">
        <v>600500101</v>
      </c>
      <c r="B421" s="17">
        <v>6005</v>
      </c>
      <c r="C421" s="17">
        <v>2</v>
      </c>
      <c r="D421" s="13">
        <v>2</v>
      </c>
      <c r="E421" s="17">
        <v>600500101</v>
      </c>
      <c r="F421" s="13">
        <v>2</v>
      </c>
      <c r="G421" s="17">
        <v>200</v>
      </c>
      <c r="H421" s="13" t="s">
        <v>797</v>
      </c>
      <c r="I421" s="13" t="s">
        <v>1000</v>
      </c>
      <c r="J421" s="13" t="s">
        <v>1001</v>
      </c>
      <c r="L421" s="17" t="s">
        <v>37</v>
      </c>
      <c r="M421" s="13" t="s">
        <v>1002</v>
      </c>
    </row>
    <row r="422" spans="1:13">
      <c r="A422" s="17">
        <v>600500102</v>
      </c>
      <c r="B422" s="17">
        <v>6005</v>
      </c>
      <c r="C422" s="17">
        <v>3</v>
      </c>
      <c r="D422" s="13">
        <v>2</v>
      </c>
      <c r="E422" s="17">
        <v>600500102</v>
      </c>
      <c r="F422" s="13">
        <v>2</v>
      </c>
      <c r="G422" s="17">
        <v>200</v>
      </c>
      <c r="H422" s="13" t="s">
        <v>797</v>
      </c>
      <c r="I422" s="13" t="s">
        <v>1003</v>
      </c>
      <c r="J422" s="13" t="s">
        <v>1004</v>
      </c>
      <c r="L422" s="17" t="s">
        <v>37</v>
      </c>
      <c r="M422" s="13" t="s">
        <v>999</v>
      </c>
    </row>
    <row r="423" spans="1:13">
      <c r="A423" s="17">
        <v>600500103</v>
      </c>
      <c r="B423" s="17">
        <v>6005</v>
      </c>
      <c r="C423" s="17">
        <v>4</v>
      </c>
      <c r="D423" s="13">
        <v>2</v>
      </c>
      <c r="E423" s="17">
        <v>600500103</v>
      </c>
      <c r="F423" s="13">
        <v>2</v>
      </c>
      <c r="G423" s="17">
        <v>200</v>
      </c>
      <c r="H423" s="13" t="s">
        <v>797</v>
      </c>
      <c r="I423" s="13" t="s">
        <v>1005</v>
      </c>
      <c r="J423" s="13" t="s">
        <v>1006</v>
      </c>
      <c r="L423" s="17" t="s">
        <v>37</v>
      </c>
      <c r="M423" s="13" t="s">
        <v>1007</v>
      </c>
    </row>
    <row r="424" spans="1:13">
      <c r="A424" s="17">
        <v>600500201</v>
      </c>
      <c r="B424" s="17">
        <v>6005</v>
      </c>
      <c r="C424" s="17">
        <v>5</v>
      </c>
      <c r="D424" s="13">
        <v>3</v>
      </c>
      <c r="E424" s="17">
        <v>600500201</v>
      </c>
      <c r="F424" s="13">
        <v>2</v>
      </c>
      <c r="G424" s="17">
        <v>400</v>
      </c>
      <c r="H424" s="13" t="s">
        <v>803</v>
      </c>
      <c r="I424" s="13" t="s">
        <v>1008</v>
      </c>
      <c r="J424" s="13" t="s">
        <v>1009</v>
      </c>
      <c r="L424" s="17" t="s">
        <v>37</v>
      </c>
      <c r="M424" s="13" t="s">
        <v>999</v>
      </c>
    </row>
    <row r="425" spans="1:13">
      <c r="A425" s="17">
        <v>600500202</v>
      </c>
      <c r="B425" s="17">
        <v>6005</v>
      </c>
      <c r="C425" s="17">
        <v>6</v>
      </c>
      <c r="D425" s="13">
        <v>3</v>
      </c>
      <c r="E425" s="17">
        <v>600500202</v>
      </c>
      <c r="F425" s="13">
        <v>1</v>
      </c>
      <c r="G425" s="17">
        <v>400</v>
      </c>
      <c r="H425" s="13" t="s">
        <v>803</v>
      </c>
      <c r="I425" s="13" t="s">
        <v>1010</v>
      </c>
      <c r="J425" s="13" t="s">
        <v>1011</v>
      </c>
      <c r="L425" s="17" t="s">
        <v>37</v>
      </c>
      <c r="M425" s="13" t="s">
        <v>999</v>
      </c>
    </row>
    <row r="426" spans="1:13">
      <c r="A426" s="17">
        <v>600500203</v>
      </c>
      <c r="B426" s="17">
        <v>6005</v>
      </c>
      <c r="C426" s="17">
        <v>7</v>
      </c>
      <c r="D426" s="13">
        <v>3</v>
      </c>
      <c r="E426" s="17">
        <v>600500203</v>
      </c>
      <c r="F426" s="13">
        <v>1</v>
      </c>
      <c r="G426" s="17">
        <v>400</v>
      </c>
      <c r="H426" s="13" t="s">
        <v>803</v>
      </c>
      <c r="I426" s="13" t="s">
        <v>1012</v>
      </c>
      <c r="J426" s="13" t="s">
        <v>1013</v>
      </c>
      <c r="L426" s="17" t="s">
        <v>37</v>
      </c>
      <c r="M426" s="13" t="s">
        <v>999</v>
      </c>
    </row>
    <row r="427" spans="1:13">
      <c r="A427" s="17">
        <v>600500301</v>
      </c>
      <c r="B427" s="17">
        <v>6005</v>
      </c>
      <c r="C427" s="17">
        <v>8</v>
      </c>
      <c r="D427" s="13">
        <v>4</v>
      </c>
      <c r="E427" s="17">
        <v>600500301</v>
      </c>
      <c r="F427" s="13">
        <v>2</v>
      </c>
      <c r="G427" s="17">
        <v>600</v>
      </c>
      <c r="H427" s="13" t="s">
        <v>1014</v>
      </c>
      <c r="I427" s="13" t="s">
        <v>993</v>
      </c>
      <c r="J427" s="13" t="s">
        <v>1015</v>
      </c>
      <c r="L427" s="17" t="s">
        <v>37</v>
      </c>
      <c r="M427" s="13" t="s">
        <v>999</v>
      </c>
    </row>
    <row r="428" spans="1:13">
      <c r="A428" s="17">
        <v>600500302</v>
      </c>
      <c r="B428" s="17">
        <v>6005</v>
      </c>
      <c r="C428" s="17">
        <v>9</v>
      </c>
      <c r="D428" s="13">
        <v>4</v>
      </c>
      <c r="E428" s="17">
        <v>600500302</v>
      </c>
      <c r="F428" s="13">
        <v>1</v>
      </c>
      <c r="G428" s="17">
        <v>600</v>
      </c>
      <c r="H428" s="13" t="s">
        <v>1014</v>
      </c>
      <c r="I428" s="13" t="s">
        <v>1016</v>
      </c>
      <c r="J428" s="13" t="s">
        <v>1017</v>
      </c>
      <c r="L428" s="17" t="s">
        <v>37</v>
      </c>
      <c r="M428" s="13" t="s">
        <v>1018</v>
      </c>
    </row>
    <row r="429" spans="1:13">
      <c r="A429" s="17">
        <v>600500303</v>
      </c>
      <c r="B429" s="17">
        <v>6005</v>
      </c>
      <c r="C429" s="17">
        <v>10</v>
      </c>
      <c r="D429" s="13">
        <v>4</v>
      </c>
      <c r="E429" s="17">
        <v>600500303</v>
      </c>
      <c r="F429" s="13">
        <v>2</v>
      </c>
      <c r="G429" s="17">
        <v>600</v>
      </c>
      <c r="H429" s="13" t="s">
        <v>1014</v>
      </c>
      <c r="I429" s="13" t="s">
        <v>1019</v>
      </c>
      <c r="J429" s="13" t="s">
        <v>1020</v>
      </c>
      <c r="L429" s="17" t="s">
        <v>37</v>
      </c>
      <c r="M429" s="13" t="s">
        <v>999</v>
      </c>
    </row>
    <row r="430" spans="1:13">
      <c r="A430" s="17">
        <v>600500401</v>
      </c>
      <c r="B430" s="17">
        <v>6005</v>
      </c>
      <c r="C430" s="17">
        <v>11</v>
      </c>
      <c r="D430" s="13">
        <v>5</v>
      </c>
      <c r="E430" s="17">
        <v>600500401</v>
      </c>
      <c r="F430" s="13">
        <v>2</v>
      </c>
      <c r="G430" s="17">
        <v>800</v>
      </c>
      <c r="H430" s="13" t="s">
        <v>1021</v>
      </c>
      <c r="I430" s="13" t="s">
        <v>1022</v>
      </c>
      <c r="J430" s="13" t="s">
        <v>1023</v>
      </c>
      <c r="L430" s="17" t="s">
        <v>37</v>
      </c>
      <c r="M430" s="13" t="s">
        <v>1018</v>
      </c>
    </row>
    <row r="431" spans="1:13">
      <c r="A431" s="17">
        <v>600500501</v>
      </c>
      <c r="B431" s="17">
        <v>6005</v>
      </c>
      <c r="C431" s="17">
        <v>12</v>
      </c>
      <c r="D431" s="13">
        <v>6</v>
      </c>
      <c r="E431" s="17">
        <v>600500501</v>
      </c>
      <c r="F431" s="13">
        <v>1</v>
      </c>
      <c r="G431" s="17">
        <v>1600</v>
      </c>
      <c r="H431" s="13" t="s">
        <v>1024</v>
      </c>
      <c r="I431" s="13" t="s">
        <v>1025</v>
      </c>
      <c r="J431" s="13" t="s">
        <v>1026</v>
      </c>
      <c r="L431" s="17" t="s">
        <v>37</v>
      </c>
      <c r="M431" s="13" t="s">
        <v>1027</v>
      </c>
    </row>
    <row r="432" spans="1:13">
      <c r="A432" s="17">
        <v>600600001</v>
      </c>
      <c r="B432" s="17">
        <v>6006</v>
      </c>
      <c r="C432" s="17">
        <v>1</v>
      </c>
      <c r="D432" s="13">
        <v>1</v>
      </c>
      <c r="E432" s="13">
        <v>0</v>
      </c>
      <c r="F432" s="13">
        <v>1</v>
      </c>
      <c r="G432" s="17">
        <v>200</v>
      </c>
      <c r="H432" s="13" t="s">
        <v>997</v>
      </c>
      <c r="I432" s="13" t="s">
        <v>1028</v>
      </c>
      <c r="J432" s="13" t="s">
        <v>1029</v>
      </c>
      <c r="L432" s="17" t="s">
        <v>37</v>
      </c>
      <c r="M432" s="13" t="s">
        <v>1030</v>
      </c>
    </row>
    <row r="433" spans="1:13">
      <c r="A433" s="17">
        <v>600600101</v>
      </c>
      <c r="B433" s="17">
        <v>6006</v>
      </c>
      <c r="C433" s="17">
        <v>2</v>
      </c>
      <c r="D433" s="13">
        <v>2</v>
      </c>
      <c r="E433" s="17">
        <v>600600101</v>
      </c>
      <c r="F433" s="13">
        <v>2</v>
      </c>
      <c r="G433" s="17">
        <v>200</v>
      </c>
      <c r="H433" s="13" t="s">
        <v>797</v>
      </c>
      <c r="I433" s="13" t="s">
        <v>1031</v>
      </c>
      <c r="J433" s="13" t="s">
        <v>1001</v>
      </c>
      <c r="L433" s="17" t="s">
        <v>37</v>
      </c>
      <c r="M433" s="13" t="s">
        <v>1002</v>
      </c>
    </row>
    <row r="434" spans="1:13">
      <c r="A434" s="17">
        <v>600600102</v>
      </c>
      <c r="B434" s="17">
        <v>6006</v>
      </c>
      <c r="C434" s="17">
        <v>3</v>
      </c>
      <c r="D434" s="13">
        <v>2</v>
      </c>
      <c r="E434" s="17">
        <v>600600102</v>
      </c>
      <c r="F434" s="13">
        <v>1</v>
      </c>
      <c r="G434" s="17">
        <v>200</v>
      </c>
      <c r="H434" s="13" t="s">
        <v>797</v>
      </c>
      <c r="I434" s="13" t="s">
        <v>1032</v>
      </c>
      <c r="J434" s="13" t="s">
        <v>1033</v>
      </c>
      <c r="L434" s="17" t="s">
        <v>37</v>
      </c>
      <c r="M434" s="13" t="s">
        <v>1034</v>
      </c>
    </row>
    <row r="435" spans="1:13">
      <c r="A435" s="17">
        <v>600600112</v>
      </c>
      <c r="B435" s="17">
        <v>6006</v>
      </c>
      <c r="C435" s="17">
        <v>21</v>
      </c>
      <c r="D435" s="13">
        <v>2</v>
      </c>
      <c r="E435" s="17">
        <v>600600112</v>
      </c>
      <c r="F435" s="13">
        <v>1</v>
      </c>
      <c r="G435" s="17">
        <v>200</v>
      </c>
      <c r="H435" s="13" t="s">
        <v>797</v>
      </c>
      <c r="I435" s="13" t="s">
        <v>1035</v>
      </c>
      <c r="J435" s="13" t="s">
        <v>1036</v>
      </c>
      <c r="L435" s="17" t="s">
        <v>37</v>
      </c>
      <c r="M435" s="13" t="s">
        <v>1034</v>
      </c>
    </row>
    <row r="436" spans="1:13">
      <c r="A436" s="17">
        <v>600600103</v>
      </c>
      <c r="B436" s="17">
        <v>6006</v>
      </c>
      <c r="C436" s="17">
        <v>4</v>
      </c>
      <c r="D436" s="13">
        <v>2</v>
      </c>
      <c r="E436" s="17">
        <v>600600103</v>
      </c>
      <c r="F436" s="13">
        <v>2</v>
      </c>
      <c r="G436" s="17">
        <v>200</v>
      </c>
      <c r="H436" s="13" t="s">
        <v>797</v>
      </c>
      <c r="I436" s="13" t="s">
        <v>1005</v>
      </c>
      <c r="J436" s="13" t="s">
        <v>1006</v>
      </c>
      <c r="L436" s="17" t="s">
        <v>37</v>
      </c>
      <c r="M436" s="13" t="s">
        <v>1007</v>
      </c>
    </row>
    <row r="437" spans="1:13">
      <c r="A437" s="17">
        <v>600600201</v>
      </c>
      <c r="B437" s="17">
        <v>6006</v>
      </c>
      <c r="C437" s="17">
        <v>5</v>
      </c>
      <c r="D437" s="13">
        <v>3</v>
      </c>
      <c r="E437" s="17">
        <v>600600201</v>
      </c>
      <c r="F437" s="13">
        <v>2</v>
      </c>
      <c r="G437" s="17">
        <v>400</v>
      </c>
      <c r="H437" s="13" t="s">
        <v>803</v>
      </c>
      <c r="I437" s="13" t="s">
        <v>1037</v>
      </c>
      <c r="J437" s="13" t="s">
        <v>1038</v>
      </c>
      <c r="L437" s="17" t="s">
        <v>37</v>
      </c>
      <c r="M437" s="13" t="s">
        <v>1034</v>
      </c>
    </row>
    <row r="438" spans="1:13">
      <c r="A438" s="17">
        <v>600600202</v>
      </c>
      <c r="B438" s="17">
        <v>6006</v>
      </c>
      <c r="C438" s="17">
        <v>6</v>
      </c>
      <c r="D438" s="13">
        <v>3</v>
      </c>
      <c r="E438" s="17">
        <v>600600202</v>
      </c>
      <c r="F438" s="13">
        <v>1</v>
      </c>
      <c r="G438" s="17">
        <v>400</v>
      </c>
      <c r="H438" s="13" t="s">
        <v>803</v>
      </c>
      <c r="I438" s="13" t="s">
        <v>1039</v>
      </c>
      <c r="J438" s="13" t="s">
        <v>1040</v>
      </c>
      <c r="L438" s="17" t="s">
        <v>37</v>
      </c>
      <c r="M438" s="13" t="s">
        <v>1041</v>
      </c>
    </row>
    <row r="439" spans="1:13">
      <c r="A439" s="17">
        <v>600600203</v>
      </c>
      <c r="B439" s="17">
        <v>6006</v>
      </c>
      <c r="C439" s="17">
        <v>7</v>
      </c>
      <c r="D439" s="13">
        <v>3</v>
      </c>
      <c r="E439" s="17">
        <v>600600203</v>
      </c>
      <c r="F439" s="13">
        <v>1</v>
      </c>
      <c r="G439" s="17">
        <v>400</v>
      </c>
      <c r="H439" s="13" t="s">
        <v>803</v>
      </c>
      <c r="I439" s="13" t="s">
        <v>1042</v>
      </c>
      <c r="J439" s="13" t="s">
        <v>1043</v>
      </c>
      <c r="L439" s="17" t="s">
        <v>37</v>
      </c>
      <c r="M439" s="13" t="s">
        <v>1044</v>
      </c>
    </row>
    <row r="440" spans="1:13">
      <c r="A440" s="17">
        <v>600600301</v>
      </c>
      <c r="B440" s="17">
        <v>6006</v>
      </c>
      <c r="C440" s="17">
        <v>8</v>
      </c>
      <c r="D440" s="13">
        <v>4</v>
      </c>
      <c r="E440" s="17">
        <v>600600301</v>
      </c>
      <c r="F440" s="13">
        <v>2</v>
      </c>
      <c r="G440" s="17">
        <v>600</v>
      </c>
      <c r="H440" s="13" t="s">
        <v>1014</v>
      </c>
      <c r="I440" s="13" t="s">
        <v>1045</v>
      </c>
      <c r="J440" s="13" t="s">
        <v>1046</v>
      </c>
      <c r="L440" s="17" t="s">
        <v>37</v>
      </c>
      <c r="M440" s="13" t="s">
        <v>1041</v>
      </c>
    </row>
    <row r="441" spans="1:13">
      <c r="A441" s="17">
        <v>600600302</v>
      </c>
      <c r="B441" s="17">
        <v>6006</v>
      </c>
      <c r="C441" s="17">
        <v>9</v>
      </c>
      <c r="D441" s="13">
        <v>4</v>
      </c>
      <c r="E441" s="17">
        <v>600600302</v>
      </c>
      <c r="F441" s="13">
        <v>1</v>
      </c>
      <c r="G441" s="17">
        <v>600</v>
      </c>
      <c r="H441" s="13" t="s">
        <v>1014</v>
      </c>
      <c r="I441" s="13" t="s">
        <v>1047</v>
      </c>
      <c r="J441" s="13" t="s">
        <v>1048</v>
      </c>
      <c r="L441" s="17" t="s">
        <v>37</v>
      </c>
      <c r="M441" s="13" t="s">
        <v>1041</v>
      </c>
    </row>
    <row r="442" spans="1:13">
      <c r="A442" s="17">
        <v>600600303</v>
      </c>
      <c r="B442" s="17">
        <v>6006</v>
      </c>
      <c r="C442" s="17">
        <v>10</v>
      </c>
      <c r="D442" s="13">
        <v>4</v>
      </c>
      <c r="E442" s="17">
        <v>600600303</v>
      </c>
      <c r="F442" s="13">
        <v>2</v>
      </c>
      <c r="G442" s="17">
        <v>600</v>
      </c>
      <c r="H442" s="13" t="s">
        <v>1014</v>
      </c>
      <c r="I442" s="13" t="s">
        <v>1049</v>
      </c>
      <c r="J442" s="13" t="s">
        <v>1050</v>
      </c>
      <c r="L442" s="17" t="s">
        <v>37</v>
      </c>
      <c r="M442" s="13" t="s">
        <v>1044</v>
      </c>
    </row>
    <row r="443" spans="1:13">
      <c r="A443" s="17">
        <v>600600401</v>
      </c>
      <c r="B443" s="17">
        <v>6006</v>
      </c>
      <c r="C443" s="17">
        <v>11</v>
      </c>
      <c r="D443" s="13">
        <v>5</v>
      </c>
      <c r="E443" s="17">
        <v>600600401</v>
      </c>
      <c r="F443" s="13">
        <v>2</v>
      </c>
      <c r="G443" s="17">
        <v>800</v>
      </c>
      <c r="H443" s="13" t="s">
        <v>1021</v>
      </c>
      <c r="I443" s="13" t="s">
        <v>1051</v>
      </c>
      <c r="J443" s="13" t="s">
        <v>1052</v>
      </c>
      <c r="L443" s="17" t="s">
        <v>37</v>
      </c>
      <c r="M443" s="13" t="s">
        <v>1041</v>
      </c>
    </row>
    <row r="444" spans="1:13">
      <c r="A444" s="17">
        <v>600600501</v>
      </c>
      <c r="B444" s="17">
        <v>6006</v>
      </c>
      <c r="C444" s="17">
        <v>12</v>
      </c>
      <c r="D444" s="13">
        <v>6</v>
      </c>
      <c r="E444" s="17">
        <v>600600501</v>
      </c>
      <c r="F444" s="13">
        <v>1</v>
      </c>
      <c r="G444" s="17">
        <v>1600</v>
      </c>
      <c r="H444" s="13" t="s">
        <v>1024</v>
      </c>
      <c r="I444" s="13" t="s">
        <v>1053</v>
      </c>
      <c r="J444" s="13" t="s">
        <v>1054</v>
      </c>
      <c r="L444" s="17" t="s">
        <v>37</v>
      </c>
      <c r="M444" s="13" t="s">
        <v>1055</v>
      </c>
    </row>
    <row r="445" spans="1:13">
      <c r="A445" s="17">
        <v>600700001</v>
      </c>
      <c r="B445" s="17">
        <v>6007</v>
      </c>
      <c r="C445" s="17">
        <v>1</v>
      </c>
      <c r="D445" s="13">
        <v>1</v>
      </c>
      <c r="E445" s="13">
        <v>0</v>
      </c>
      <c r="F445" s="13">
        <v>1</v>
      </c>
      <c r="G445" s="17">
        <v>200</v>
      </c>
      <c r="H445" s="13" t="s">
        <v>1056</v>
      </c>
      <c r="I445" s="13" t="s">
        <v>1057</v>
      </c>
      <c r="J445" s="13" t="s">
        <v>1058</v>
      </c>
      <c r="L445" s="17" t="s">
        <v>37</v>
      </c>
      <c r="M445" s="13" t="s">
        <v>1059</v>
      </c>
    </row>
    <row r="446" spans="1:13">
      <c r="A446" s="17">
        <v>600700101</v>
      </c>
      <c r="B446" s="17">
        <v>6007</v>
      </c>
      <c r="C446" s="17">
        <v>2</v>
      </c>
      <c r="D446" s="13">
        <v>2</v>
      </c>
      <c r="E446" s="17">
        <v>600700101</v>
      </c>
      <c r="F446" s="13">
        <v>2</v>
      </c>
      <c r="G446" s="17">
        <v>200</v>
      </c>
      <c r="H446" s="13" t="s">
        <v>1060</v>
      </c>
      <c r="I446" s="13" t="s">
        <v>1061</v>
      </c>
      <c r="J446" s="13" t="s">
        <v>1062</v>
      </c>
      <c r="L446" s="17" t="s">
        <v>37</v>
      </c>
      <c r="M446" s="13" t="s">
        <v>1063</v>
      </c>
    </row>
    <row r="447" spans="1:13">
      <c r="A447" s="17">
        <v>600700102</v>
      </c>
      <c r="B447" s="17">
        <v>6007</v>
      </c>
      <c r="C447" s="17">
        <v>3</v>
      </c>
      <c r="D447" s="13">
        <v>2</v>
      </c>
      <c r="E447" s="17">
        <v>600700102</v>
      </c>
      <c r="F447" s="13">
        <v>2</v>
      </c>
      <c r="G447" s="17">
        <v>200</v>
      </c>
      <c r="H447" s="13" t="s">
        <v>1060</v>
      </c>
      <c r="I447" s="13" t="s">
        <v>1064</v>
      </c>
      <c r="J447" s="13" t="s">
        <v>1065</v>
      </c>
      <c r="L447" s="17" t="s">
        <v>37</v>
      </c>
      <c r="M447" s="13" t="s">
        <v>1059</v>
      </c>
    </row>
    <row r="448" spans="1:13">
      <c r="A448" s="17">
        <v>600700103</v>
      </c>
      <c r="B448" s="17">
        <v>6007</v>
      </c>
      <c r="C448" s="17">
        <v>4</v>
      </c>
      <c r="D448" s="13">
        <v>2</v>
      </c>
      <c r="E448" s="17">
        <v>600700103</v>
      </c>
      <c r="F448" s="13">
        <v>2</v>
      </c>
      <c r="G448" s="17">
        <v>200</v>
      </c>
      <c r="H448" s="13" t="s">
        <v>1066</v>
      </c>
      <c r="I448" s="13" t="s">
        <v>1067</v>
      </c>
      <c r="J448" s="13" t="s">
        <v>1068</v>
      </c>
      <c r="L448" s="17" t="s">
        <v>37</v>
      </c>
      <c r="M448" s="13" t="s">
        <v>1069</v>
      </c>
    </row>
    <row r="449" spans="1:13">
      <c r="A449" s="17">
        <v>600700201</v>
      </c>
      <c r="B449" s="17">
        <v>6007</v>
      </c>
      <c r="C449" s="17">
        <v>5</v>
      </c>
      <c r="D449" s="13">
        <v>3</v>
      </c>
      <c r="E449" s="17">
        <v>600700201</v>
      </c>
      <c r="F449" s="13">
        <v>2</v>
      </c>
      <c r="G449" s="17">
        <v>400</v>
      </c>
      <c r="H449" s="13" t="s">
        <v>1070</v>
      </c>
      <c r="I449" s="13" t="s">
        <v>1071</v>
      </c>
      <c r="J449" s="13" t="s">
        <v>1072</v>
      </c>
      <c r="L449" s="17" t="s">
        <v>37</v>
      </c>
      <c r="M449" s="13" t="s">
        <v>1059</v>
      </c>
    </row>
    <row r="450" spans="1:13">
      <c r="A450" s="17">
        <v>600700202</v>
      </c>
      <c r="B450" s="17">
        <v>6007</v>
      </c>
      <c r="C450" s="17">
        <v>6</v>
      </c>
      <c r="D450" s="13">
        <v>3</v>
      </c>
      <c r="E450" s="17">
        <v>600700202</v>
      </c>
      <c r="F450" s="13">
        <v>1</v>
      </c>
      <c r="G450" s="17">
        <v>400</v>
      </c>
      <c r="H450" s="13" t="s">
        <v>1070</v>
      </c>
      <c r="I450" s="13" t="s">
        <v>1073</v>
      </c>
      <c r="J450" s="13" t="s">
        <v>1074</v>
      </c>
      <c r="L450" s="17" t="s">
        <v>37</v>
      </c>
      <c r="M450" s="13" t="s">
        <v>1059</v>
      </c>
    </row>
    <row r="451" spans="1:13">
      <c r="A451" s="17">
        <v>600700203</v>
      </c>
      <c r="B451" s="17">
        <v>6007</v>
      </c>
      <c r="C451" s="17">
        <v>7</v>
      </c>
      <c r="D451" s="13">
        <v>3</v>
      </c>
      <c r="E451" s="17">
        <v>600700203</v>
      </c>
      <c r="F451" s="13">
        <v>1</v>
      </c>
      <c r="G451" s="17">
        <v>400</v>
      </c>
      <c r="H451" s="13" t="s">
        <v>1070</v>
      </c>
      <c r="I451" s="13" t="s">
        <v>320</v>
      </c>
      <c r="J451" s="13" t="s">
        <v>1075</v>
      </c>
      <c r="L451" s="17" t="s">
        <v>37</v>
      </c>
      <c r="M451" s="13" t="s">
        <v>1059</v>
      </c>
    </row>
    <row r="452" spans="1:13">
      <c r="A452" s="17">
        <v>600700301</v>
      </c>
      <c r="B452" s="17">
        <v>6007</v>
      </c>
      <c r="C452" s="17">
        <v>8</v>
      </c>
      <c r="D452" s="13">
        <v>4</v>
      </c>
      <c r="E452" s="17">
        <v>600700301</v>
      </c>
      <c r="F452" s="13">
        <v>2</v>
      </c>
      <c r="G452" s="17">
        <v>600</v>
      </c>
      <c r="H452" s="13" t="s">
        <v>1076</v>
      </c>
      <c r="I452" s="13" t="s">
        <v>1077</v>
      </c>
      <c r="J452" s="13" t="s">
        <v>1078</v>
      </c>
      <c r="L452" s="17" t="s">
        <v>37</v>
      </c>
      <c r="M452" s="13" t="s">
        <v>1059</v>
      </c>
    </row>
    <row r="453" spans="1:13">
      <c r="A453" s="17">
        <v>600700302</v>
      </c>
      <c r="B453" s="17">
        <v>6007</v>
      </c>
      <c r="C453" s="17">
        <v>9</v>
      </c>
      <c r="D453" s="13">
        <v>4</v>
      </c>
      <c r="E453" s="17">
        <v>600700302</v>
      </c>
      <c r="F453" s="13">
        <v>1</v>
      </c>
      <c r="G453" s="17">
        <v>600</v>
      </c>
      <c r="H453" s="13" t="s">
        <v>1076</v>
      </c>
      <c r="I453" s="13" t="s">
        <v>1079</v>
      </c>
      <c r="J453" s="13" t="s">
        <v>1080</v>
      </c>
      <c r="L453" s="17" t="s">
        <v>37</v>
      </c>
      <c r="M453" s="13" t="s">
        <v>1059</v>
      </c>
    </row>
    <row r="454" spans="1:13">
      <c r="A454" s="17">
        <v>600700303</v>
      </c>
      <c r="B454" s="17">
        <v>6007</v>
      </c>
      <c r="C454" s="17">
        <v>10</v>
      </c>
      <c r="D454" s="13">
        <v>4</v>
      </c>
      <c r="E454" s="17">
        <v>600700303</v>
      </c>
      <c r="F454" s="13">
        <v>2</v>
      </c>
      <c r="G454" s="17">
        <v>600</v>
      </c>
      <c r="H454" s="13" t="s">
        <v>1076</v>
      </c>
      <c r="I454" s="13" t="s">
        <v>1081</v>
      </c>
      <c r="J454" s="13" t="s">
        <v>1082</v>
      </c>
      <c r="L454" s="17" t="s">
        <v>37</v>
      </c>
      <c r="M454" s="13" t="s">
        <v>1059</v>
      </c>
    </row>
    <row r="455" spans="1:13">
      <c r="A455" s="17">
        <v>600700401</v>
      </c>
      <c r="B455" s="17">
        <v>6007</v>
      </c>
      <c r="C455" s="17">
        <v>11</v>
      </c>
      <c r="D455" s="13">
        <v>5</v>
      </c>
      <c r="E455" s="17">
        <v>600700401</v>
      </c>
      <c r="F455" s="13">
        <v>2</v>
      </c>
      <c r="G455" s="17">
        <v>800</v>
      </c>
      <c r="H455" s="13" t="s">
        <v>1083</v>
      </c>
      <c r="I455" s="13" t="s">
        <v>1084</v>
      </c>
      <c r="J455" s="13" t="s">
        <v>1085</v>
      </c>
      <c r="L455" s="17" t="s">
        <v>37</v>
      </c>
      <c r="M455" s="13" t="s">
        <v>1059</v>
      </c>
    </row>
    <row r="456" spans="1:13">
      <c r="A456" s="17">
        <v>600700501</v>
      </c>
      <c r="B456" s="17">
        <v>6007</v>
      </c>
      <c r="C456" s="17">
        <v>12</v>
      </c>
      <c r="D456" s="13">
        <v>6</v>
      </c>
      <c r="E456" s="17">
        <v>600700501</v>
      </c>
      <c r="F456" s="13">
        <v>1</v>
      </c>
      <c r="G456" s="17">
        <v>1600</v>
      </c>
      <c r="H456" s="13" t="s">
        <v>1086</v>
      </c>
      <c r="I456" s="13" t="s">
        <v>1087</v>
      </c>
      <c r="J456" s="13" t="s">
        <v>1088</v>
      </c>
      <c r="L456" s="17" t="s">
        <v>37</v>
      </c>
      <c r="M456" s="13" t="s">
        <v>1089</v>
      </c>
    </row>
    <row r="457" spans="1:13">
      <c r="A457" s="17">
        <v>600800001</v>
      </c>
      <c r="B457" s="17">
        <v>6008</v>
      </c>
      <c r="C457" s="17">
        <v>1</v>
      </c>
      <c r="D457" s="13">
        <v>1</v>
      </c>
      <c r="E457" s="13">
        <v>0</v>
      </c>
      <c r="F457" s="13">
        <v>1</v>
      </c>
      <c r="G457" s="17">
        <v>200</v>
      </c>
      <c r="H457" s="13" t="s">
        <v>1056</v>
      </c>
      <c r="I457" s="13" t="s">
        <v>1090</v>
      </c>
      <c r="J457" s="13" t="s">
        <v>1091</v>
      </c>
      <c r="L457" s="17" t="s">
        <v>37</v>
      </c>
      <c r="M457" s="13" t="s">
        <v>1092</v>
      </c>
    </row>
    <row r="458" spans="1:13">
      <c r="A458" s="17">
        <v>600800101</v>
      </c>
      <c r="B458" s="17">
        <v>6008</v>
      </c>
      <c r="C458" s="17">
        <v>2</v>
      </c>
      <c r="D458" s="13">
        <v>2</v>
      </c>
      <c r="E458" s="17">
        <v>600800101</v>
      </c>
      <c r="F458" s="13">
        <v>2</v>
      </c>
      <c r="G458" s="17">
        <v>200</v>
      </c>
      <c r="H458" s="13" t="s">
        <v>1060</v>
      </c>
      <c r="I458" s="13" t="s">
        <v>1061</v>
      </c>
      <c r="J458" s="13" t="s">
        <v>1093</v>
      </c>
      <c r="L458" s="17" t="s">
        <v>37</v>
      </c>
      <c r="M458" s="13" t="s">
        <v>1063</v>
      </c>
    </row>
    <row r="459" spans="1:13">
      <c r="A459" s="17">
        <v>600800102</v>
      </c>
      <c r="B459" s="17">
        <v>6008</v>
      </c>
      <c r="C459" s="17">
        <v>3</v>
      </c>
      <c r="D459" s="13">
        <v>2</v>
      </c>
      <c r="E459" s="17">
        <v>600800102</v>
      </c>
      <c r="F459" s="13">
        <v>1</v>
      </c>
      <c r="G459" s="17">
        <v>200</v>
      </c>
      <c r="H459" s="13" t="s">
        <v>1060</v>
      </c>
      <c r="I459" s="13" t="s">
        <v>1094</v>
      </c>
      <c r="J459" s="13" t="s">
        <v>1095</v>
      </c>
      <c r="L459" s="17" t="s">
        <v>37</v>
      </c>
      <c r="M459" s="13" t="s">
        <v>1096</v>
      </c>
    </row>
    <row r="460" spans="1:13">
      <c r="A460" s="17">
        <v>600800112</v>
      </c>
      <c r="B460" s="17">
        <v>6008</v>
      </c>
      <c r="C460" s="17">
        <v>21</v>
      </c>
      <c r="D460" s="13">
        <v>2</v>
      </c>
      <c r="E460" s="17">
        <v>600800112</v>
      </c>
      <c r="F460" s="13">
        <v>1</v>
      </c>
      <c r="G460" s="17">
        <v>200</v>
      </c>
      <c r="H460" s="13" t="s">
        <v>1066</v>
      </c>
      <c r="I460" s="13" t="s">
        <v>1097</v>
      </c>
      <c r="J460" s="13" t="s">
        <v>1036</v>
      </c>
      <c r="L460" s="17" t="s">
        <v>37</v>
      </c>
      <c r="M460" s="13" t="s">
        <v>1096</v>
      </c>
    </row>
    <row r="461" spans="1:13">
      <c r="A461" s="17">
        <v>600800103</v>
      </c>
      <c r="B461" s="17">
        <v>6008</v>
      </c>
      <c r="C461" s="17">
        <v>4</v>
      </c>
      <c r="D461" s="13">
        <v>2</v>
      </c>
      <c r="E461" s="17">
        <v>600800103</v>
      </c>
      <c r="F461" s="13">
        <v>2</v>
      </c>
      <c r="G461" s="17">
        <v>200</v>
      </c>
      <c r="H461" s="13" t="s">
        <v>1060</v>
      </c>
      <c r="I461" s="13" t="s">
        <v>1098</v>
      </c>
      <c r="J461" s="13" t="s">
        <v>1099</v>
      </c>
      <c r="L461" s="17" t="s">
        <v>37</v>
      </c>
      <c r="M461" s="13" t="s">
        <v>1069</v>
      </c>
    </row>
    <row r="462" spans="1:13">
      <c r="A462" s="17">
        <v>600800201</v>
      </c>
      <c r="B462" s="17">
        <v>6008</v>
      </c>
      <c r="C462" s="17">
        <v>5</v>
      </c>
      <c r="D462" s="13">
        <v>3</v>
      </c>
      <c r="E462" s="17">
        <v>600800201</v>
      </c>
      <c r="F462" s="13">
        <v>2</v>
      </c>
      <c r="G462" s="17">
        <v>400</v>
      </c>
      <c r="H462" s="13" t="s">
        <v>1070</v>
      </c>
      <c r="I462" s="13" t="s">
        <v>1100</v>
      </c>
      <c r="J462" s="13" t="s">
        <v>1101</v>
      </c>
      <c r="L462" s="17" t="s">
        <v>37</v>
      </c>
      <c r="M462" s="13" t="s">
        <v>1092</v>
      </c>
    </row>
    <row r="463" spans="1:13">
      <c r="A463" s="17">
        <v>600800202</v>
      </c>
      <c r="B463" s="17">
        <v>6008</v>
      </c>
      <c r="C463" s="17">
        <v>6</v>
      </c>
      <c r="D463" s="13">
        <v>3</v>
      </c>
      <c r="E463" s="17">
        <v>600800202</v>
      </c>
      <c r="F463" s="13">
        <v>1</v>
      </c>
      <c r="G463" s="17">
        <v>400</v>
      </c>
      <c r="H463" s="13" t="s">
        <v>1070</v>
      </c>
      <c r="I463" s="13" t="s">
        <v>1102</v>
      </c>
      <c r="J463" s="13" t="s">
        <v>1103</v>
      </c>
      <c r="L463" s="17" t="s">
        <v>37</v>
      </c>
      <c r="M463" s="13" t="s">
        <v>1104</v>
      </c>
    </row>
    <row r="464" spans="1:13">
      <c r="A464" s="17">
        <v>600800203</v>
      </c>
      <c r="B464" s="17">
        <v>6008</v>
      </c>
      <c r="C464" s="17">
        <v>7</v>
      </c>
      <c r="D464" s="13">
        <v>3</v>
      </c>
      <c r="E464" s="17">
        <v>600800203</v>
      </c>
      <c r="F464" s="13">
        <v>1</v>
      </c>
      <c r="G464" s="17">
        <v>400</v>
      </c>
      <c r="H464" s="13" t="s">
        <v>1070</v>
      </c>
      <c r="I464" s="13" t="s">
        <v>1105</v>
      </c>
      <c r="J464" s="13" t="s">
        <v>1106</v>
      </c>
      <c r="L464" s="17" t="s">
        <v>37</v>
      </c>
      <c r="M464" s="13" t="s">
        <v>1107</v>
      </c>
    </row>
    <row r="465" spans="1:13">
      <c r="A465" s="17">
        <v>600800301</v>
      </c>
      <c r="B465" s="17">
        <v>6008</v>
      </c>
      <c r="C465" s="17">
        <v>8</v>
      </c>
      <c r="D465" s="13">
        <v>4</v>
      </c>
      <c r="E465" s="17">
        <v>600800301</v>
      </c>
      <c r="F465" s="13">
        <v>2</v>
      </c>
      <c r="G465" s="17">
        <v>600</v>
      </c>
      <c r="H465" s="13" t="s">
        <v>1076</v>
      </c>
      <c r="I465" s="13" t="s">
        <v>1108</v>
      </c>
      <c r="J465" s="13" t="s">
        <v>1109</v>
      </c>
      <c r="L465" s="17" t="s">
        <v>37</v>
      </c>
      <c r="M465" s="13" t="s">
        <v>1104</v>
      </c>
    </row>
    <row r="466" spans="1:13">
      <c r="A466" s="17">
        <v>600800302</v>
      </c>
      <c r="B466" s="17">
        <v>6008</v>
      </c>
      <c r="C466" s="17">
        <v>9</v>
      </c>
      <c r="D466" s="13">
        <v>4</v>
      </c>
      <c r="E466" s="17">
        <v>600800302</v>
      </c>
      <c r="F466" s="13">
        <v>1</v>
      </c>
      <c r="G466" s="17">
        <v>600</v>
      </c>
      <c r="H466" s="13" t="s">
        <v>1076</v>
      </c>
      <c r="I466" s="13" t="s">
        <v>1110</v>
      </c>
      <c r="J466" s="13" t="s">
        <v>1111</v>
      </c>
      <c r="L466" s="17" t="s">
        <v>37</v>
      </c>
      <c r="M466" s="13" t="s">
        <v>1112</v>
      </c>
    </row>
    <row r="467" spans="1:13">
      <c r="A467" s="17">
        <v>600800303</v>
      </c>
      <c r="B467" s="17">
        <v>6008</v>
      </c>
      <c r="C467" s="17">
        <v>10</v>
      </c>
      <c r="D467" s="13">
        <v>4</v>
      </c>
      <c r="E467" s="17">
        <v>600800303</v>
      </c>
      <c r="F467" s="13">
        <v>2</v>
      </c>
      <c r="G467" s="17">
        <v>600</v>
      </c>
      <c r="H467" s="13" t="s">
        <v>1076</v>
      </c>
      <c r="I467" s="13" t="s">
        <v>1113</v>
      </c>
      <c r="J467" s="13" t="s">
        <v>1114</v>
      </c>
      <c r="L467" s="17" t="s">
        <v>37</v>
      </c>
      <c r="M467" s="13" t="s">
        <v>1107</v>
      </c>
    </row>
    <row r="468" spans="1:13">
      <c r="A468" s="17">
        <v>600800401</v>
      </c>
      <c r="B468" s="17">
        <v>6008</v>
      </c>
      <c r="C468" s="17">
        <v>11</v>
      </c>
      <c r="D468" s="13">
        <v>5</v>
      </c>
      <c r="E468" s="17">
        <v>600800401</v>
      </c>
      <c r="F468" s="13">
        <v>2</v>
      </c>
      <c r="G468" s="17">
        <v>800</v>
      </c>
      <c r="H468" s="13" t="s">
        <v>1083</v>
      </c>
      <c r="I468" s="13" t="s">
        <v>1115</v>
      </c>
      <c r="J468" s="13" t="s">
        <v>1116</v>
      </c>
      <c r="L468" s="17" t="s">
        <v>37</v>
      </c>
      <c r="M468" s="13" t="s">
        <v>1112</v>
      </c>
    </row>
    <row r="469" spans="1:13">
      <c r="A469" s="17">
        <v>600800501</v>
      </c>
      <c r="B469" s="17">
        <v>6008</v>
      </c>
      <c r="C469" s="17">
        <v>12</v>
      </c>
      <c r="D469" s="13">
        <v>6</v>
      </c>
      <c r="E469" s="17">
        <v>600800501</v>
      </c>
      <c r="F469" s="13">
        <v>1</v>
      </c>
      <c r="G469" s="17">
        <v>1600</v>
      </c>
      <c r="H469" s="13" t="s">
        <v>1086</v>
      </c>
      <c r="I469" s="13" t="s">
        <v>1117</v>
      </c>
      <c r="J469" s="13" t="s">
        <v>1118</v>
      </c>
      <c r="L469" s="17" t="s">
        <v>37</v>
      </c>
      <c r="M469" s="13" t="s">
        <v>1119</v>
      </c>
    </row>
    <row r="470" spans="1:13">
      <c r="A470" s="17">
        <v>600900001</v>
      </c>
      <c r="B470" s="17">
        <v>6009</v>
      </c>
      <c r="C470" s="17">
        <v>1</v>
      </c>
      <c r="D470" s="13">
        <v>1</v>
      </c>
      <c r="E470" s="17">
        <v>0</v>
      </c>
      <c r="F470" s="13">
        <v>1</v>
      </c>
      <c r="G470" s="17">
        <v>200</v>
      </c>
      <c r="H470" s="13" t="s">
        <v>1120</v>
      </c>
      <c r="I470" s="13" t="s">
        <v>1121</v>
      </c>
      <c r="J470" s="13" t="s">
        <v>1122</v>
      </c>
      <c r="L470" s="17" t="s">
        <v>37</v>
      </c>
      <c r="M470" s="13" t="s">
        <v>1123</v>
      </c>
    </row>
    <row r="471" spans="1:13">
      <c r="A471" s="17">
        <v>600900101</v>
      </c>
      <c r="B471" s="17">
        <v>6009</v>
      </c>
      <c r="C471" s="17">
        <v>2</v>
      </c>
      <c r="D471" s="13">
        <v>2</v>
      </c>
      <c r="E471" s="17">
        <v>600900101</v>
      </c>
      <c r="F471" s="13">
        <v>1</v>
      </c>
      <c r="G471" s="17">
        <v>200</v>
      </c>
      <c r="H471" s="13" t="s">
        <v>1120</v>
      </c>
      <c r="I471" s="13" t="s">
        <v>1121</v>
      </c>
      <c r="J471" s="13" t="s">
        <v>1122</v>
      </c>
      <c r="L471" s="17" t="s">
        <v>37</v>
      </c>
      <c r="M471" s="13" t="s">
        <v>1123</v>
      </c>
    </row>
    <row r="472" spans="1:13">
      <c r="A472" s="17">
        <v>600900102</v>
      </c>
      <c r="B472" s="17">
        <v>6009</v>
      </c>
      <c r="C472" s="17">
        <v>3</v>
      </c>
      <c r="D472" s="13">
        <v>2</v>
      </c>
      <c r="E472" s="17">
        <v>600900102</v>
      </c>
      <c r="F472" s="13">
        <v>1</v>
      </c>
      <c r="G472" s="17">
        <v>200</v>
      </c>
      <c r="H472" s="13" t="s">
        <v>1124</v>
      </c>
      <c r="I472" s="13" t="s">
        <v>1125</v>
      </c>
      <c r="J472" s="13" t="s">
        <v>1126</v>
      </c>
      <c r="L472" s="17" t="s">
        <v>37</v>
      </c>
      <c r="M472" s="13" t="s">
        <v>1127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W175"/>
  <sheetViews>
    <sheetView zoomScale="130" zoomScaleNormal="130" workbookViewId="0">
      <pane ySplit="2" topLeftCell="A159" activePane="bottomLeft" state="frozen"/>
      <selection/>
      <selection pane="bottomLeft" activeCell="B35" sqref="B35"/>
    </sheetView>
  </sheetViews>
  <sheetFormatPr defaultColWidth="9" defaultRowHeight="11.25"/>
  <cols>
    <col min="1" max="1" width="2.625" style="1" customWidth="1"/>
    <col min="2" max="2" width="15" style="1" customWidth="1"/>
    <col min="3" max="3" width="10.25" style="1" customWidth="1"/>
    <col min="4" max="6" width="13.875" style="1" customWidth="1"/>
    <col min="7" max="7" width="9" style="1"/>
    <col min="8" max="8" width="12.75" style="2" customWidth="1"/>
    <col min="9" max="13" width="9" style="1"/>
    <col min="14" max="14" width="9.625" style="1" customWidth="1"/>
    <col min="15" max="15" width="12.25" style="1" customWidth="1"/>
    <col min="16" max="16" width="9.625" style="1" customWidth="1"/>
    <col min="17" max="17" width="15.5" style="1" customWidth="1"/>
    <col min="18" max="18" width="9.625" style="1" customWidth="1"/>
    <col min="19" max="19" width="15.5" style="1" customWidth="1"/>
    <col min="20" max="20" width="9.625" style="1" customWidth="1"/>
    <col min="21" max="21" width="15.5" style="1" customWidth="1"/>
    <col min="22" max="22" width="9.625" style="1" customWidth="1"/>
    <col min="23" max="23" width="15.5" style="1" customWidth="1"/>
    <col min="24" max="16384" width="9" style="1"/>
  </cols>
  <sheetData>
    <row r="2" spans="2:5">
      <c r="B2" s="1" t="s">
        <v>1128</v>
      </c>
      <c r="E2" s="1">
        <f>SUM(E3:E7)</f>
        <v>1100</v>
      </c>
    </row>
    <row r="3" ht="33.75" spans="1:23">
      <c r="A3" s="1">
        <v>1</v>
      </c>
      <c r="B3" s="3" t="s">
        <v>1129</v>
      </c>
      <c r="C3" s="4" t="s">
        <v>35</v>
      </c>
      <c r="D3" s="1">
        <v>3040101</v>
      </c>
      <c r="E3" s="1">
        <v>80</v>
      </c>
      <c r="F3" s="1" t="str">
        <f>D3&amp;":"&amp;E3</f>
        <v>3040101:80</v>
      </c>
      <c r="H3" s="2" t="str">
        <f>_xlfn.TEXTJOIN("_",TRUE,F3:G3)</f>
        <v>3040101:80</v>
      </c>
      <c r="J3" s="1" t="s">
        <v>1130</v>
      </c>
      <c r="N3" s="9">
        <v>3040301</v>
      </c>
      <c r="O3" s="10" t="s">
        <v>50</v>
      </c>
      <c r="P3" s="9">
        <v>3050001</v>
      </c>
      <c r="Q3" s="10" t="s">
        <v>127</v>
      </c>
      <c r="R3" s="9">
        <v>3060001</v>
      </c>
      <c r="S3" s="10" t="s">
        <v>161</v>
      </c>
      <c r="T3" s="9">
        <v>3070001</v>
      </c>
      <c r="U3" s="10" t="s">
        <v>195</v>
      </c>
      <c r="V3" s="9">
        <v>3080001</v>
      </c>
      <c r="W3" s="10" t="s">
        <v>229</v>
      </c>
    </row>
    <row r="4" ht="12" customHeight="1" spans="1:23">
      <c r="A4" s="1">
        <f>A3+1</f>
        <v>2</v>
      </c>
      <c r="B4" s="3" t="s">
        <v>1131</v>
      </c>
      <c r="C4" s="4" t="s">
        <v>35</v>
      </c>
      <c r="D4" s="1">
        <v>3040101</v>
      </c>
      <c r="E4" s="1">
        <v>140</v>
      </c>
      <c r="F4" s="1" t="str">
        <f>D4&amp;":"&amp;E4</f>
        <v>3040101:140</v>
      </c>
      <c r="H4" s="2" t="str">
        <f>_xlfn.TEXTJOIN("_",TRUE,F4:G4)</f>
        <v>3040101:140</v>
      </c>
      <c r="J4" s="1" t="s">
        <v>1132</v>
      </c>
      <c r="N4" s="9">
        <v>3040401</v>
      </c>
      <c r="O4" s="10" t="s">
        <v>1133</v>
      </c>
      <c r="P4" s="9">
        <v>3050101</v>
      </c>
      <c r="Q4" s="10" t="s">
        <v>139</v>
      </c>
      <c r="R4" s="9">
        <v>3060101</v>
      </c>
      <c r="S4" s="10" t="s">
        <v>173</v>
      </c>
      <c r="T4" s="9">
        <v>3070101</v>
      </c>
      <c r="U4" s="10" t="s">
        <v>207</v>
      </c>
      <c r="V4" s="9">
        <v>3080101</v>
      </c>
      <c r="W4" s="10" t="s">
        <v>241</v>
      </c>
    </row>
    <row r="5" spans="1:23">
      <c r="A5" s="1">
        <f t="shared" ref="A5:A11" si="0">A4+1</f>
        <v>3</v>
      </c>
      <c r="B5" s="5" t="s">
        <v>1134</v>
      </c>
      <c r="C5" s="6" t="s">
        <v>35</v>
      </c>
      <c r="D5" s="1">
        <v>3040101</v>
      </c>
      <c r="E5" s="1">
        <v>190</v>
      </c>
      <c r="F5" s="1" t="str">
        <f>D5&amp;":"&amp;E5</f>
        <v>3040101:190</v>
      </c>
      <c r="H5" s="2" t="str">
        <f t="shared" ref="H5:H67" si="1">_xlfn.TEXTJOIN("_",TRUE,F5:G5)</f>
        <v>3040101:190</v>
      </c>
      <c r="J5" s="1" t="s">
        <v>1135</v>
      </c>
      <c r="N5" s="9">
        <v>3040501</v>
      </c>
      <c r="O5" s="10" t="s">
        <v>1136</v>
      </c>
      <c r="P5" s="9">
        <v>3050102</v>
      </c>
      <c r="Q5" s="10" t="s">
        <v>139</v>
      </c>
      <c r="R5" s="9">
        <v>3060102</v>
      </c>
      <c r="S5" s="10" t="s">
        <v>173</v>
      </c>
      <c r="T5" s="9">
        <v>3070102</v>
      </c>
      <c r="U5" s="10" t="s">
        <v>207</v>
      </c>
      <c r="V5" s="9">
        <v>3080102</v>
      </c>
      <c r="W5" s="10" t="s">
        <v>241</v>
      </c>
    </row>
    <row r="6" spans="1:23">
      <c r="A6" s="1">
        <f t="shared" si="0"/>
        <v>4</v>
      </c>
      <c r="B6" s="5" t="s">
        <v>1137</v>
      </c>
      <c r="C6" s="6" t="s">
        <v>35</v>
      </c>
      <c r="D6" s="1">
        <v>3040101</v>
      </c>
      <c r="E6" s="1">
        <v>280</v>
      </c>
      <c r="F6" s="1" t="str">
        <f>D6&amp;":"&amp;E6</f>
        <v>3040101:280</v>
      </c>
      <c r="H6" s="2" t="str">
        <f t="shared" si="1"/>
        <v>3040101:280</v>
      </c>
      <c r="J6" s="1" t="s">
        <v>1138</v>
      </c>
      <c r="N6" s="9">
        <v>3040601</v>
      </c>
      <c r="O6" s="10" t="s">
        <v>1139</v>
      </c>
      <c r="P6" s="9">
        <v>3050301</v>
      </c>
      <c r="Q6" s="10" t="s">
        <v>150</v>
      </c>
      <c r="R6" s="9">
        <v>3060301</v>
      </c>
      <c r="S6" s="10" t="s">
        <v>184</v>
      </c>
      <c r="T6" s="9">
        <v>3070301</v>
      </c>
      <c r="U6" s="10" t="s">
        <v>218</v>
      </c>
      <c r="V6" s="9">
        <v>3080301</v>
      </c>
      <c r="W6" s="10" t="s">
        <v>252</v>
      </c>
    </row>
    <row r="7" spans="1:23">
      <c r="A7" s="1">
        <f t="shared" si="0"/>
        <v>5</v>
      </c>
      <c r="B7" s="5" t="s">
        <v>1140</v>
      </c>
      <c r="C7" s="6" t="s">
        <v>35</v>
      </c>
      <c r="D7" s="1">
        <v>3040101</v>
      </c>
      <c r="E7" s="1">
        <v>410</v>
      </c>
      <c r="F7" s="1" t="str">
        <f>D7&amp;":"&amp;E7</f>
        <v>3040101:410</v>
      </c>
      <c r="H7" s="2" t="str">
        <f t="shared" si="1"/>
        <v>3040101:410</v>
      </c>
      <c r="J7" s="1" t="s">
        <v>1141</v>
      </c>
      <c r="N7" s="9">
        <v>3040701</v>
      </c>
      <c r="O7" s="10" t="s">
        <v>61</v>
      </c>
      <c r="P7" s="9">
        <v>3050401</v>
      </c>
      <c r="Q7" s="10" t="s">
        <v>1142</v>
      </c>
      <c r="R7" s="9">
        <v>3060401</v>
      </c>
      <c r="S7" s="10" t="s">
        <v>1143</v>
      </c>
      <c r="T7" s="9">
        <v>3070401</v>
      </c>
      <c r="U7" s="10" t="s">
        <v>1144</v>
      </c>
      <c r="V7" s="9">
        <v>3080401</v>
      </c>
      <c r="W7" s="10" t="s">
        <v>1145</v>
      </c>
    </row>
    <row r="8" spans="1:23">
      <c r="A8" s="1">
        <f t="shared" si="0"/>
        <v>6</v>
      </c>
      <c r="B8" s="5" t="s">
        <v>1146</v>
      </c>
      <c r="C8" s="5" t="s">
        <v>35</v>
      </c>
      <c r="D8" s="1">
        <v>3040102</v>
      </c>
      <c r="E8" s="1">
        <v>3000</v>
      </c>
      <c r="F8" s="1" t="str">
        <f t="shared" ref="F8:F67" si="2">D8&amp;":"&amp;E8</f>
        <v>3040102:3000</v>
      </c>
      <c r="H8" s="2" t="str">
        <f t="shared" si="1"/>
        <v>3040102:3000</v>
      </c>
      <c r="J8" s="1" t="s">
        <v>1147</v>
      </c>
      <c r="N8" s="9">
        <v>3040801</v>
      </c>
      <c r="O8" s="10" t="s">
        <v>1148</v>
      </c>
      <c r="P8" s="9">
        <v>3050501</v>
      </c>
      <c r="Q8" s="10" t="s">
        <v>1149</v>
      </c>
      <c r="R8" s="9">
        <v>3060501</v>
      </c>
      <c r="S8" s="10" t="s">
        <v>1150</v>
      </c>
      <c r="T8" s="9">
        <v>3070501</v>
      </c>
      <c r="U8" s="10" t="s">
        <v>1151</v>
      </c>
      <c r="V8" s="9">
        <v>3080501</v>
      </c>
      <c r="W8" s="10" t="s">
        <v>1152</v>
      </c>
    </row>
    <row r="9" ht="45" spans="1:23">
      <c r="A9" s="1">
        <f t="shared" si="0"/>
        <v>7</v>
      </c>
      <c r="B9" s="3" t="s">
        <v>1153</v>
      </c>
      <c r="C9" s="3" t="s">
        <v>35</v>
      </c>
      <c r="D9" s="1">
        <v>3040102</v>
      </c>
      <c r="E9" s="1">
        <v>5000</v>
      </c>
      <c r="F9" s="1" t="str">
        <f t="shared" si="2"/>
        <v>3040102:5000</v>
      </c>
      <c r="H9" s="2" t="str">
        <f t="shared" si="1"/>
        <v>3040102:5000</v>
      </c>
      <c r="J9" s="1" t="s">
        <v>1154</v>
      </c>
      <c r="N9" s="9">
        <v>3040901</v>
      </c>
      <c r="O9" s="10" t="s">
        <v>72</v>
      </c>
      <c r="P9" s="9">
        <v>3050601</v>
      </c>
      <c r="Q9" s="10" t="s">
        <v>1155</v>
      </c>
      <c r="R9" s="9">
        <v>3060601</v>
      </c>
      <c r="S9" s="10" t="s">
        <v>1156</v>
      </c>
      <c r="T9" s="9">
        <v>3070601</v>
      </c>
      <c r="U9" s="10" t="s">
        <v>1157</v>
      </c>
      <c r="V9" s="9">
        <v>3080601</v>
      </c>
      <c r="W9" s="10" t="s">
        <v>1158</v>
      </c>
    </row>
    <row r="10" ht="13.5" customHeight="1" spans="1:18">
      <c r="A10" s="1">
        <f t="shared" si="0"/>
        <v>8</v>
      </c>
      <c r="B10" s="3" t="s">
        <v>1159</v>
      </c>
      <c r="C10" s="3" t="s">
        <v>35</v>
      </c>
      <c r="D10" s="1">
        <v>3040102</v>
      </c>
      <c r="E10" s="1">
        <v>7000</v>
      </c>
      <c r="F10" s="1" t="str">
        <f t="shared" si="2"/>
        <v>3040102:7000</v>
      </c>
      <c r="H10" s="2" t="str">
        <f t="shared" si="1"/>
        <v>3040102:7000</v>
      </c>
      <c r="J10" s="1" t="s">
        <v>1160</v>
      </c>
      <c r="N10" s="9">
        <v>3041001</v>
      </c>
      <c r="O10" s="10" t="s">
        <v>97</v>
      </c>
      <c r="P10" s="1">
        <v>3050700</v>
      </c>
      <c r="Q10" s="1" t="s">
        <v>1161</v>
      </c>
      <c r="R10" s="1" t="s">
        <v>1162</v>
      </c>
    </row>
    <row r="11" ht="33.75" spans="1:18">
      <c r="A11" s="1">
        <f t="shared" si="0"/>
        <v>9</v>
      </c>
      <c r="B11" s="3" t="s">
        <v>1163</v>
      </c>
      <c r="C11" s="3" t="s">
        <v>35</v>
      </c>
      <c r="D11" s="1">
        <v>3040102</v>
      </c>
      <c r="E11" s="1">
        <v>10000</v>
      </c>
      <c r="F11" s="1" t="str">
        <f t="shared" si="2"/>
        <v>3040102:10000</v>
      </c>
      <c r="H11" s="2" t="str">
        <f t="shared" si="1"/>
        <v>3040102:10000</v>
      </c>
      <c r="J11" s="1" t="s">
        <v>1164</v>
      </c>
      <c r="N11" s="9">
        <v>3041101</v>
      </c>
      <c r="O11" s="10" t="s">
        <v>1165</v>
      </c>
      <c r="P11" s="1">
        <v>3050800</v>
      </c>
      <c r="Q11" s="1" t="s">
        <v>1166</v>
      </c>
      <c r="R11" s="1" t="s">
        <v>1167</v>
      </c>
    </row>
    <row r="12" spans="3:18">
      <c r="C12" s="1" t="s">
        <v>35</v>
      </c>
      <c r="D12" s="1">
        <v>3040102</v>
      </c>
      <c r="E12" s="1">
        <v>15000</v>
      </c>
      <c r="F12" s="1" t="str">
        <f t="shared" si="2"/>
        <v>3040102:15000</v>
      </c>
      <c r="H12" s="2" t="str">
        <f t="shared" si="1"/>
        <v>3040102:15000</v>
      </c>
      <c r="J12" s="1" t="s">
        <v>1168</v>
      </c>
      <c r="N12" s="9">
        <v>3041201</v>
      </c>
      <c r="O12" s="10" t="s">
        <v>105</v>
      </c>
      <c r="P12" s="1">
        <v>3050801</v>
      </c>
      <c r="Q12" s="1" t="s">
        <v>1169</v>
      </c>
      <c r="R12" s="1" t="s">
        <v>1170</v>
      </c>
    </row>
    <row r="13" spans="3:18">
      <c r="C13" s="7" t="s">
        <v>47</v>
      </c>
      <c r="D13" s="1">
        <v>3040201</v>
      </c>
      <c r="E13" s="1">
        <v>80</v>
      </c>
      <c r="F13" s="1" t="str">
        <f t="shared" si="2"/>
        <v>3040201:80</v>
      </c>
      <c r="H13" s="2" t="str">
        <f t="shared" si="1"/>
        <v>3040201:80</v>
      </c>
      <c r="J13" s="1" t="s">
        <v>1171</v>
      </c>
      <c r="N13" s="9">
        <v>3041301</v>
      </c>
      <c r="O13" s="10" t="s">
        <v>116</v>
      </c>
      <c r="P13" s="1">
        <v>3050802</v>
      </c>
      <c r="Q13" s="1" t="s">
        <v>1172</v>
      </c>
      <c r="R13" s="1" t="s">
        <v>1173</v>
      </c>
    </row>
    <row r="14" spans="3:18">
      <c r="C14" s="7" t="s">
        <v>47</v>
      </c>
      <c r="D14" s="1">
        <v>3040201</v>
      </c>
      <c r="E14" s="1">
        <v>140</v>
      </c>
      <c r="F14" s="1" t="str">
        <f t="shared" si="2"/>
        <v>3040201:140</v>
      </c>
      <c r="H14" s="2" t="str">
        <f t="shared" si="1"/>
        <v>3040201:140</v>
      </c>
      <c r="J14" s="1" t="s">
        <v>1174</v>
      </c>
      <c r="N14" s="9">
        <v>3041401</v>
      </c>
      <c r="O14" s="10" t="s">
        <v>1175</v>
      </c>
      <c r="P14" s="1">
        <v>3050900</v>
      </c>
      <c r="Q14" s="1" t="s">
        <v>1176</v>
      </c>
      <c r="R14" s="1" t="s">
        <v>1162</v>
      </c>
    </row>
    <row r="15" spans="3:18">
      <c r="C15" s="7" t="s">
        <v>47</v>
      </c>
      <c r="D15" s="1">
        <v>3040201</v>
      </c>
      <c r="E15" s="1">
        <v>190</v>
      </c>
      <c r="F15" s="1" t="str">
        <f t="shared" si="2"/>
        <v>3040201:190</v>
      </c>
      <c r="H15" s="2" t="str">
        <f t="shared" si="1"/>
        <v>3040201:190</v>
      </c>
      <c r="J15" s="1" t="s">
        <v>1177</v>
      </c>
      <c r="N15" s="9">
        <v>3041501</v>
      </c>
      <c r="O15" s="10" t="s">
        <v>1178</v>
      </c>
      <c r="P15" s="1">
        <v>3051000</v>
      </c>
      <c r="Q15" s="1" t="s">
        <v>1179</v>
      </c>
      <c r="R15" s="1" t="s">
        <v>1167</v>
      </c>
    </row>
    <row r="16" spans="3:18">
      <c r="C16" s="7" t="s">
        <v>47</v>
      </c>
      <c r="D16" s="1">
        <v>3040201</v>
      </c>
      <c r="E16" s="1">
        <v>280</v>
      </c>
      <c r="F16" s="1" t="str">
        <f t="shared" si="2"/>
        <v>3040201:280</v>
      </c>
      <c r="H16" s="2" t="str">
        <f t="shared" si="1"/>
        <v>3040201:280</v>
      </c>
      <c r="J16" s="1" t="s">
        <v>1180</v>
      </c>
      <c r="P16" s="1">
        <f>P15+1</f>
        <v>3051001</v>
      </c>
      <c r="Q16" s="1" t="s">
        <v>1181</v>
      </c>
      <c r="R16" s="1" t="s">
        <v>1182</v>
      </c>
    </row>
    <row r="17" spans="3:18">
      <c r="C17" s="7" t="s">
        <v>47</v>
      </c>
      <c r="D17" s="1">
        <v>3040201</v>
      </c>
      <c r="E17" s="1">
        <v>410</v>
      </c>
      <c r="F17" s="1" t="str">
        <f t="shared" si="2"/>
        <v>3040201:410</v>
      </c>
      <c r="H17" s="2" t="str">
        <f t="shared" si="1"/>
        <v>3040201:410</v>
      </c>
      <c r="J17" s="1" t="s">
        <v>1183</v>
      </c>
      <c r="P17" s="1">
        <f>P16+1</f>
        <v>3051002</v>
      </c>
      <c r="Q17" s="1" t="s">
        <v>1184</v>
      </c>
      <c r="R17" s="1" t="s">
        <v>1185</v>
      </c>
    </row>
    <row r="18" spans="3:18">
      <c r="C18" s="1" t="s">
        <v>47</v>
      </c>
      <c r="D18" s="1">
        <v>3040202</v>
      </c>
      <c r="E18" s="1">
        <v>3000</v>
      </c>
      <c r="F18" s="1" t="str">
        <f t="shared" si="2"/>
        <v>3040202:3000</v>
      </c>
      <c r="H18" s="2" t="str">
        <f t="shared" si="1"/>
        <v>3040202:3000</v>
      </c>
      <c r="J18" s="1" t="s">
        <v>1186</v>
      </c>
      <c r="P18" s="1">
        <v>3051000</v>
      </c>
      <c r="Q18" s="1" t="s">
        <v>1187</v>
      </c>
      <c r="R18" s="1" t="s">
        <v>1162</v>
      </c>
    </row>
    <row r="19" spans="3:18">
      <c r="C19" s="1" t="s">
        <v>47</v>
      </c>
      <c r="D19" s="1">
        <v>3040202</v>
      </c>
      <c r="E19" s="1">
        <v>5000</v>
      </c>
      <c r="F19" s="1" t="str">
        <f t="shared" si="2"/>
        <v>3040202:5000</v>
      </c>
      <c r="H19" s="2" t="str">
        <f t="shared" si="1"/>
        <v>3040202:5000</v>
      </c>
      <c r="J19" s="1" t="s">
        <v>1188</v>
      </c>
      <c r="P19" s="1">
        <f>P18+1</f>
        <v>3051001</v>
      </c>
      <c r="Q19" s="1" t="s">
        <v>1189</v>
      </c>
      <c r="R19" s="1" t="s">
        <v>1190</v>
      </c>
    </row>
    <row r="20" spans="3:18">
      <c r="C20" s="1" t="s">
        <v>47</v>
      </c>
      <c r="D20" s="1">
        <v>3040202</v>
      </c>
      <c r="E20" s="1">
        <v>7000</v>
      </c>
      <c r="F20" s="1" t="str">
        <f t="shared" si="2"/>
        <v>3040202:7000</v>
      </c>
      <c r="H20" s="2" t="str">
        <f t="shared" si="1"/>
        <v>3040202:7000</v>
      </c>
      <c r="J20" s="1" t="s">
        <v>1191</v>
      </c>
      <c r="P20" s="1">
        <f>P19+1</f>
        <v>3051002</v>
      </c>
      <c r="Q20" s="1" t="s">
        <v>1192</v>
      </c>
      <c r="R20" s="1" t="s">
        <v>1193</v>
      </c>
    </row>
    <row r="21" spans="3:16">
      <c r="C21" s="1" t="s">
        <v>47</v>
      </c>
      <c r="D21" s="1">
        <v>3040202</v>
      </c>
      <c r="E21" s="1">
        <v>10000</v>
      </c>
      <c r="F21" s="1" t="str">
        <f t="shared" si="2"/>
        <v>3040202:10000</v>
      </c>
      <c r="H21" s="2" t="str">
        <f t="shared" si="1"/>
        <v>3040202:10000</v>
      </c>
      <c r="J21" s="1" t="s">
        <v>1194</v>
      </c>
      <c r="P21" s="1">
        <f>P20+1</f>
        <v>3051003</v>
      </c>
    </row>
    <row r="22" spans="3:17">
      <c r="C22" s="1" t="s">
        <v>47</v>
      </c>
      <c r="D22" s="1">
        <v>3040202</v>
      </c>
      <c r="E22" s="1">
        <v>15000</v>
      </c>
      <c r="F22" s="1" t="str">
        <f t="shared" si="2"/>
        <v>3040202:15000</v>
      </c>
      <c r="H22" s="2" t="str">
        <f t="shared" si="1"/>
        <v>3040202:15000</v>
      </c>
      <c r="J22" s="1" t="s">
        <v>1195</v>
      </c>
      <c r="N22" s="1" t="str">
        <f>_xlfn.TEXTJOIN(",",TRUE,N23:N43)</f>
        <v>1010901,1010902,1010903,1010904,1010905,905010101,905010202,905010302,905010403,905010503,905010604,905010704,905010805,901010101,901010202,901010302,901010403,901010503,901010604,901010704,901010805</v>
      </c>
      <c r="P22" s="1">
        <v>3051100</v>
      </c>
      <c r="Q22" s="1" t="s">
        <v>1196</v>
      </c>
    </row>
    <row r="23" spans="3:17">
      <c r="C23" s="1" t="s">
        <v>50</v>
      </c>
      <c r="D23" s="1">
        <v>3040301</v>
      </c>
      <c r="E23" s="1">
        <v>3000</v>
      </c>
      <c r="F23" s="1" t="str">
        <f t="shared" si="2"/>
        <v>3040301:3000</v>
      </c>
      <c r="H23" s="2" t="str">
        <f t="shared" si="1"/>
        <v>3040301:3000</v>
      </c>
      <c r="J23" s="1" t="s">
        <v>1197</v>
      </c>
      <c r="N23" s="11">
        <v>1010901</v>
      </c>
      <c r="O23" s="11" t="s">
        <v>83</v>
      </c>
      <c r="P23" s="1">
        <v>3051101</v>
      </c>
      <c r="Q23" s="1" t="s">
        <v>1198</v>
      </c>
    </row>
    <row r="24" spans="3:17">
      <c r="C24" s="1" t="s">
        <v>50</v>
      </c>
      <c r="D24" s="1">
        <v>3040301</v>
      </c>
      <c r="E24" s="1">
        <v>5000</v>
      </c>
      <c r="F24" s="1" t="str">
        <f t="shared" si="2"/>
        <v>3040301:5000</v>
      </c>
      <c r="H24" s="2" t="str">
        <f t="shared" si="1"/>
        <v>3040301:5000</v>
      </c>
      <c r="J24" s="1" t="s">
        <v>1199</v>
      </c>
      <c r="N24" s="11">
        <v>1010902</v>
      </c>
      <c r="O24" s="11" t="s">
        <v>83</v>
      </c>
      <c r="P24" s="1">
        <f>P23+1</f>
        <v>3051102</v>
      </c>
      <c r="Q24" s="1" t="s">
        <v>1200</v>
      </c>
    </row>
    <row r="25" spans="3:16">
      <c r="C25" s="1" t="s">
        <v>50</v>
      </c>
      <c r="D25" s="1">
        <v>3040301</v>
      </c>
      <c r="E25" s="1">
        <v>7000</v>
      </c>
      <c r="F25" s="1" t="str">
        <f t="shared" si="2"/>
        <v>3040301:7000</v>
      </c>
      <c r="H25" s="2" t="str">
        <f t="shared" si="1"/>
        <v>3040301:7000</v>
      </c>
      <c r="J25" s="1" t="s">
        <v>1201</v>
      </c>
      <c r="N25" s="11">
        <v>1010903</v>
      </c>
      <c r="O25" s="11" t="s">
        <v>83</v>
      </c>
      <c r="P25" s="1">
        <v>3051200</v>
      </c>
    </row>
    <row r="26" spans="3:15">
      <c r="C26" s="1" t="s">
        <v>50</v>
      </c>
      <c r="D26" s="1">
        <v>3040301</v>
      </c>
      <c r="E26" s="1">
        <v>10000</v>
      </c>
      <c r="F26" s="1" t="str">
        <f t="shared" si="2"/>
        <v>3040301:10000</v>
      </c>
      <c r="H26" s="2" t="str">
        <f t="shared" si="1"/>
        <v>3040301:10000</v>
      </c>
      <c r="J26" s="1" t="s">
        <v>1202</v>
      </c>
      <c r="N26" s="11">
        <v>1010904</v>
      </c>
      <c r="O26" s="11" t="s">
        <v>83</v>
      </c>
    </row>
    <row r="27" spans="3:15">
      <c r="C27" s="1" t="s">
        <v>50</v>
      </c>
      <c r="D27" s="1">
        <v>3040301</v>
      </c>
      <c r="E27" s="1">
        <v>15000</v>
      </c>
      <c r="F27" s="1" t="str">
        <f t="shared" si="2"/>
        <v>3040301:15000</v>
      </c>
      <c r="H27" s="2" t="str">
        <f t="shared" si="1"/>
        <v>3040301:15000</v>
      </c>
      <c r="J27" s="1" t="s">
        <v>1203</v>
      </c>
      <c r="N27" s="11">
        <v>1010905</v>
      </c>
      <c r="O27" s="11" t="s">
        <v>83</v>
      </c>
    </row>
    <row r="28" spans="3:15">
      <c r="C28" s="8" t="s">
        <v>1136</v>
      </c>
      <c r="D28" s="1">
        <v>3040501</v>
      </c>
      <c r="E28" s="1">
        <v>80</v>
      </c>
      <c r="F28" s="1" t="str">
        <f t="shared" si="2"/>
        <v>3040501:80</v>
      </c>
      <c r="H28" s="2" t="str">
        <f t="shared" si="1"/>
        <v>3040501:80</v>
      </c>
      <c r="J28" s="1" t="s">
        <v>1204</v>
      </c>
      <c r="N28" s="2">
        <v>905010101</v>
      </c>
      <c r="O28" s="2" t="s">
        <v>358</v>
      </c>
    </row>
    <row r="29" spans="3:15">
      <c r="C29" s="8" t="s">
        <v>1136</v>
      </c>
      <c r="D29" s="1">
        <v>3040501</v>
      </c>
      <c r="E29" s="1">
        <v>140</v>
      </c>
      <c r="F29" s="1" t="str">
        <f t="shared" si="2"/>
        <v>3040501:140</v>
      </c>
      <c r="H29" s="2" t="str">
        <f t="shared" si="1"/>
        <v>3040501:140</v>
      </c>
      <c r="J29" s="1" t="s">
        <v>1205</v>
      </c>
      <c r="N29" s="2">
        <v>905010202</v>
      </c>
      <c r="O29" s="2" t="s">
        <v>360</v>
      </c>
    </row>
    <row r="30" spans="3:15">
      <c r="C30" s="8" t="s">
        <v>1136</v>
      </c>
      <c r="D30" s="1">
        <v>3040501</v>
      </c>
      <c r="E30" s="1">
        <v>190</v>
      </c>
      <c r="F30" s="1" t="str">
        <f t="shared" si="2"/>
        <v>3040501:190</v>
      </c>
      <c r="H30" s="2" t="str">
        <f t="shared" si="1"/>
        <v>3040501:190</v>
      </c>
      <c r="J30" s="1" t="s">
        <v>1206</v>
      </c>
      <c r="N30" s="2">
        <v>905010302</v>
      </c>
      <c r="O30" s="2" t="s">
        <v>364</v>
      </c>
    </row>
    <row r="31" spans="3:15">
      <c r="C31" s="8" t="s">
        <v>1136</v>
      </c>
      <c r="D31" s="1">
        <v>3040501</v>
      </c>
      <c r="E31" s="1">
        <v>280</v>
      </c>
      <c r="F31" s="1" t="str">
        <f t="shared" si="2"/>
        <v>3040501:280</v>
      </c>
      <c r="H31" s="2" t="str">
        <f t="shared" si="1"/>
        <v>3040501:280</v>
      </c>
      <c r="J31" s="1" t="s">
        <v>1207</v>
      </c>
      <c r="N31" s="2">
        <v>905010403</v>
      </c>
      <c r="O31" s="2" t="s">
        <v>368</v>
      </c>
    </row>
    <row r="32" spans="3:15">
      <c r="C32" s="8" t="s">
        <v>1136</v>
      </c>
      <c r="D32" s="1">
        <v>3040501</v>
      </c>
      <c r="E32" s="1">
        <v>410</v>
      </c>
      <c r="F32" s="1" t="str">
        <f t="shared" si="2"/>
        <v>3040501:410</v>
      </c>
      <c r="H32" s="2" t="str">
        <f t="shared" si="1"/>
        <v>3040501:410</v>
      </c>
      <c r="J32" s="1" t="s">
        <v>1208</v>
      </c>
      <c r="N32" s="2">
        <v>905010503</v>
      </c>
      <c r="O32" s="2" t="s">
        <v>371</v>
      </c>
    </row>
    <row r="33" spans="3:15">
      <c r="C33" s="1" t="s">
        <v>61</v>
      </c>
      <c r="D33" s="1">
        <v>3040701</v>
      </c>
      <c r="E33" s="1">
        <v>3000</v>
      </c>
      <c r="F33" s="1" t="str">
        <f t="shared" si="2"/>
        <v>3040701:3000</v>
      </c>
      <c r="H33" s="2" t="str">
        <f t="shared" si="1"/>
        <v>3040701:3000</v>
      </c>
      <c r="J33" s="1" t="s">
        <v>1209</v>
      </c>
      <c r="N33" s="2">
        <v>905010604</v>
      </c>
      <c r="O33" s="2" t="s">
        <v>1210</v>
      </c>
    </row>
    <row r="34" spans="3:15">
      <c r="C34" s="1" t="s">
        <v>61</v>
      </c>
      <c r="D34" s="1">
        <v>3040701</v>
      </c>
      <c r="E34" s="1">
        <v>5000</v>
      </c>
      <c r="F34" s="1" t="str">
        <f t="shared" si="2"/>
        <v>3040701:5000</v>
      </c>
      <c r="H34" s="2" t="str">
        <f t="shared" si="1"/>
        <v>3040701:5000</v>
      </c>
      <c r="J34" s="1" t="s">
        <v>1211</v>
      </c>
      <c r="N34" s="2">
        <v>905010704</v>
      </c>
      <c r="O34" s="2" t="s">
        <v>376</v>
      </c>
    </row>
    <row r="35" spans="3:15">
      <c r="C35" s="1" t="s">
        <v>61</v>
      </c>
      <c r="D35" s="1">
        <v>3040701</v>
      </c>
      <c r="E35" s="1">
        <v>7000</v>
      </c>
      <c r="F35" s="1" t="str">
        <f t="shared" si="2"/>
        <v>3040701:7000</v>
      </c>
      <c r="H35" s="2" t="str">
        <f t="shared" si="1"/>
        <v>3040701:7000</v>
      </c>
      <c r="J35" s="1" t="s">
        <v>1212</v>
      </c>
      <c r="N35" s="2">
        <v>905010805</v>
      </c>
      <c r="O35" s="2" t="s">
        <v>379</v>
      </c>
    </row>
    <row r="36" spans="3:15">
      <c r="C36" s="1" t="s">
        <v>61</v>
      </c>
      <c r="D36" s="1">
        <v>3040701</v>
      </c>
      <c r="E36" s="1">
        <v>10000</v>
      </c>
      <c r="F36" s="1" t="str">
        <f t="shared" si="2"/>
        <v>3040701:10000</v>
      </c>
      <c r="H36" s="2" t="str">
        <f t="shared" si="1"/>
        <v>3040701:10000</v>
      </c>
      <c r="J36" s="1" t="s">
        <v>1213</v>
      </c>
      <c r="N36" s="12">
        <v>901010101</v>
      </c>
      <c r="O36" s="12" t="s">
        <v>266</v>
      </c>
    </row>
    <row r="37" spans="3:15">
      <c r="C37" s="1" t="s">
        <v>61</v>
      </c>
      <c r="D37" s="1">
        <v>3040701</v>
      </c>
      <c r="E37" s="1">
        <v>15000</v>
      </c>
      <c r="F37" s="1" t="str">
        <f t="shared" si="2"/>
        <v>3040701:15000</v>
      </c>
      <c r="H37" s="2" t="str">
        <f t="shared" si="1"/>
        <v>3040701:15000</v>
      </c>
      <c r="J37" s="1" t="s">
        <v>1214</v>
      </c>
      <c r="N37" s="12">
        <v>901010202</v>
      </c>
      <c r="O37" s="12" t="s">
        <v>269</v>
      </c>
    </row>
    <row r="38" spans="3:15">
      <c r="C38" s="1" t="s">
        <v>72</v>
      </c>
      <c r="D38" s="1">
        <v>3040901</v>
      </c>
      <c r="E38" s="1">
        <v>2000</v>
      </c>
      <c r="F38" s="1" t="str">
        <f t="shared" si="2"/>
        <v>3040901:2000</v>
      </c>
      <c r="H38" s="2" t="str">
        <f t="shared" si="1"/>
        <v>3040901:2000</v>
      </c>
      <c r="J38" s="1" t="s">
        <v>1215</v>
      </c>
      <c r="N38" s="12">
        <v>901010302</v>
      </c>
      <c r="O38" s="12" t="s">
        <v>271</v>
      </c>
    </row>
    <row r="39" spans="3:15">
      <c r="C39" s="1" t="s">
        <v>72</v>
      </c>
      <c r="D39" s="1">
        <v>3040901</v>
      </c>
      <c r="E39" s="1">
        <v>3000</v>
      </c>
      <c r="F39" s="1" t="str">
        <f t="shared" si="2"/>
        <v>3040901:3000</v>
      </c>
      <c r="H39" s="2" t="str">
        <f t="shared" si="1"/>
        <v>3040901:3000</v>
      </c>
      <c r="J39" s="1" t="s">
        <v>1216</v>
      </c>
      <c r="N39" s="12">
        <v>901010403</v>
      </c>
      <c r="O39" s="12" t="s">
        <v>274</v>
      </c>
    </row>
    <row r="40" spans="3:15">
      <c r="C40" s="1" t="s">
        <v>72</v>
      </c>
      <c r="D40" s="1">
        <v>3040901</v>
      </c>
      <c r="E40" s="1">
        <v>4000</v>
      </c>
      <c r="F40" s="1" t="str">
        <f t="shared" si="2"/>
        <v>3040901:4000</v>
      </c>
      <c r="H40" s="2" t="str">
        <f t="shared" si="1"/>
        <v>3040901:4000</v>
      </c>
      <c r="J40" s="1" t="s">
        <v>1217</v>
      </c>
      <c r="N40" s="12">
        <v>901010503</v>
      </c>
      <c r="O40" s="12" t="s">
        <v>278</v>
      </c>
    </row>
    <row r="41" spans="3:15">
      <c r="C41" s="1" t="s">
        <v>72</v>
      </c>
      <c r="D41" s="1">
        <v>3040901</v>
      </c>
      <c r="E41" s="1">
        <v>5000</v>
      </c>
      <c r="F41" s="1" t="str">
        <f t="shared" si="2"/>
        <v>3040901:5000</v>
      </c>
      <c r="H41" s="2" t="str">
        <f t="shared" si="1"/>
        <v>3040901:5000</v>
      </c>
      <c r="J41" s="1" t="s">
        <v>1218</v>
      </c>
      <c r="N41" s="12">
        <v>901010604</v>
      </c>
      <c r="O41" s="12" t="s">
        <v>281</v>
      </c>
    </row>
    <row r="42" spans="3:15">
      <c r="C42" s="1" t="s">
        <v>72</v>
      </c>
      <c r="D42" s="1">
        <v>3040901</v>
      </c>
      <c r="E42" s="1">
        <v>6000</v>
      </c>
      <c r="F42" s="1" t="str">
        <f t="shared" si="2"/>
        <v>3040901:6000</v>
      </c>
      <c r="H42" s="2" t="str">
        <f t="shared" si="1"/>
        <v>3040901:6000</v>
      </c>
      <c r="J42" s="1" t="s">
        <v>1219</v>
      </c>
      <c r="N42" s="12">
        <v>901010704</v>
      </c>
      <c r="O42" s="12" t="s">
        <v>284</v>
      </c>
    </row>
    <row r="43" spans="3:15">
      <c r="C43" s="1" t="s">
        <v>97</v>
      </c>
      <c r="D43" s="1">
        <v>3041001</v>
      </c>
      <c r="E43" s="1">
        <v>3000</v>
      </c>
      <c r="F43" s="1" t="str">
        <f t="shared" si="2"/>
        <v>3041001:3000</v>
      </c>
      <c r="H43" s="2" t="str">
        <f t="shared" si="1"/>
        <v>3041001:3000</v>
      </c>
      <c r="J43" s="1" t="s">
        <v>1220</v>
      </c>
      <c r="N43" s="12">
        <v>901010805</v>
      </c>
      <c r="O43" s="12" t="s">
        <v>287</v>
      </c>
    </row>
    <row r="44" spans="3:10">
      <c r="C44" s="1" t="s">
        <v>97</v>
      </c>
      <c r="D44" s="1">
        <v>3041001</v>
      </c>
      <c r="E44" s="1">
        <v>5000</v>
      </c>
      <c r="F44" s="1" t="str">
        <f t="shared" si="2"/>
        <v>3041001:5000</v>
      </c>
      <c r="H44" s="2" t="str">
        <f t="shared" si="1"/>
        <v>3041001:5000</v>
      </c>
      <c r="J44" s="1" t="s">
        <v>1221</v>
      </c>
    </row>
    <row r="45" spans="3:10">
      <c r="C45" s="1" t="s">
        <v>97</v>
      </c>
      <c r="D45" s="1">
        <v>3041001</v>
      </c>
      <c r="E45" s="1">
        <v>7000</v>
      </c>
      <c r="F45" s="1" t="str">
        <f t="shared" si="2"/>
        <v>3041001:7000</v>
      </c>
      <c r="H45" s="2" t="str">
        <f t="shared" si="1"/>
        <v>3041001:7000</v>
      </c>
      <c r="J45" s="1" t="s">
        <v>1222</v>
      </c>
    </row>
    <row r="46" spans="3:10">
      <c r="C46" s="1" t="s">
        <v>97</v>
      </c>
      <c r="D46" s="1">
        <v>3041001</v>
      </c>
      <c r="E46" s="1">
        <v>10000</v>
      </c>
      <c r="F46" s="1" t="str">
        <f t="shared" si="2"/>
        <v>3041001:10000</v>
      </c>
      <c r="H46" s="2" t="str">
        <f t="shared" si="1"/>
        <v>3041001:10000</v>
      </c>
      <c r="J46" s="1" t="s">
        <v>1223</v>
      </c>
    </row>
    <row r="47" spans="3:10">
      <c r="C47" s="1" t="s">
        <v>97</v>
      </c>
      <c r="D47" s="1">
        <v>3041001</v>
      </c>
      <c r="E47" s="1">
        <v>15000</v>
      </c>
      <c r="F47" s="1" t="str">
        <f t="shared" si="2"/>
        <v>3041001:15000</v>
      </c>
      <c r="H47" s="2" t="str">
        <f t="shared" si="1"/>
        <v>3041001:15000</v>
      </c>
      <c r="J47" s="1" t="s">
        <v>1224</v>
      </c>
    </row>
    <row r="48" spans="3:10">
      <c r="C48" s="8" t="s">
        <v>1165</v>
      </c>
      <c r="D48" s="1">
        <v>3041101</v>
      </c>
      <c r="E48" s="1">
        <v>60</v>
      </c>
      <c r="F48" s="1" t="str">
        <f t="shared" si="2"/>
        <v>3041101:60</v>
      </c>
      <c r="H48" s="2" t="str">
        <f t="shared" si="1"/>
        <v>3041101:60</v>
      </c>
      <c r="J48" s="1" t="s">
        <v>1225</v>
      </c>
    </row>
    <row r="49" spans="3:10">
      <c r="C49" s="8" t="s">
        <v>1165</v>
      </c>
      <c r="D49" s="1">
        <v>3041101</v>
      </c>
      <c r="E49" s="1">
        <v>100</v>
      </c>
      <c r="F49" s="1" t="str">
        <f t="shared" si="2"/>
        <v>3041101:100</v>
      </c>
      <c r="H49" s="2" t="str">
        <f t="shared" si="1"/>
        <v>3041101:100</v>
      </c>
      <c r="J49" s="1" t="s">
        <v>1226</v>
      </c>
    </row>
    <row r="50" spans="3:10">
      <c r="C50" s="8" t="s">
        <v>1165</v>
      </c>
      <c r="D50" s="1">
        <v>3041101</v>
      </c>
      <c r="E50" s="1">
        <v>140</v>
      </c>
      <c r="F50" s="1" t="str">
        <f t="shared" si="2"/>
        <v>3041101:140</v>
      </c>
      <c r="H50" s="2" t="str">
        <f t="shared" si="1"/>
        <v>3041101:140</v>
      </c>
      <c r="J50" s="1" t="s">
        <v>1227</v>
      </c>
    </row>
    <row r="51" spans="3:10">
      <c r="C51" s="8" t="s">
        <v>1165</v>
      </c>
      <c r="D51" s="1">
        <v>3041101</v>
      </c>
      <c r="E51" s="1">
        <v>200</v>
      </c>
      <c r="F51" s="1" t="str">
        <f t="shared" si="2"/>
        <v>3041101:200</v>
      </c>
      <c r="H51" s="2" t="str">
        <f t="shared" si="1"/>
        <v>3041101:200</v>
      </c>
      <c r="J51" s="1" t="s">
        <v>1228</v>
      </c>
    </row>
    <row r="52" spans="3:10">
      <c r="C52" s="8" t="s">
        <v>1165</v>
      </c>
      <c r="D52" s="1">
        <v>3041101</v>
      </c>
      <c r="E52" s="1">
        <v>300</v>
      </c>
      <c r="F52" s="1" t="str">
        <f t="shared" si="2"/>
        <v>3041101:300</v>
      </c>
      <c r="H52" s="2" t="str">
        <f t="shared" si="1"/>
        <v>3041101:300</v>
      </c>
      <c r="J52" s="1" t="s">
        <v>1229</v>
      </c>
    </row>
    <row r="53" spans="3:10">
      <c r="C53" s="1" t="s">
        <v>105</v>
      </c>
      <c r="D53" s="1">
        <v>3041201</v>
      </c>
      <c r="E53" s="1">
        <v>1000</v>
      </c>
      <c r="F53" s="1" t="str">
        <f t="shared" si="2"/>
        <v>3041201:1000</v>
      </c>
      <c r="H53" s="2" t="str">
        <f t="shared" si="1"/>
        <v>3041201:1000</v>
      </c>
      <c r="J53" s="1" t="s">
        <v>1230</v>
      </c>
    </row>
    <row r="54" spans="3:10">
      <c r="C54" s="1" t="s">
        <v>105</v>
      </c>
      <c r="D54" s="1">
        <v>3041201</v>
      </c>
      <c r="E54" s="1">
        <v>1500</v>
      </c>
      <c r="F54" s="1" t="str">
        <f t="shared" si="2"/>
        <v>3041201:1500</v>
      </c>
      <c r="H54" s="2" t="str">
        <f t="shared" si="1"/>
        <v>3041201:1500</v>
      </c>
      <c r="J54" s="1" t="s">
        <v>1231</v>
      </c>
    </row>
    <row r="55" spans="3:10">
      <c r="C55" s="1" t="s">
        <v>105</v>
      </c>
      <c r="D55" s="1">
        <v>3041201</v>
      </c>
      <c r="E55" s="1">
        <v>2000</v>
      </c>
      <c r="F55" s="1" t="str">
        <f t="shared" si="2"/>
        <v>3041201:2000</v>
      </c>
      <c r="H55" s="2" t="str">
        <f t="shared" si="1"/>
        <v>3041201:2000</v>
      </c>
      <c r="J55" s="1" t="s">
        <v>1232</v>
      </c>
    </row>
    <row r="56" spans="3:10">
      <c r="C56" s="1" t="s">
        <v>105</v>
      </c>
      <c r="D56" s="1">
        <v>3041201</v>
      </c>
      <c r="E56" s="1">
        <v>2500</v>
      </c>
      <c r="F56" s="1" t="str">
        <f t="shared" si="2"/>
        <v>3041201:2500</v>
      </c>
      <c r="H56" s="2" t="str">
        <f t="shared" si="1"/>
        <v>3041201:2500</v>
      </c>
      <c r="J56" s="1" t="s">
        <v>1233</v>
      </c>
    </row>
    <row r="57" spans="3:10">
      <c r="C57" s="1" t="s">
        <v>105</v>
      </c>
      <c r="D57" s="1">
        <v>3041201</v>
      </c>
      <c r="E57" s="1">
        <v>3000</v>
      </c>
      <c r="F57" s="1" t="str">
        <f t="shared" si="2"/>
        <v>3041201:3000</v>
      </c>
      <c r="H57" s="2" t="str">
        <f t="shared" si="1"/>
        <v>3041201:3000</v>
      </c>
      <c r="J57" s="1" t="s">
        <v>1234</v>
      </c>
    </row>
    <row r="58" spans="3:10">
      <c r="C58" s="1" t="s">
        <v>116</v>
      </c>
      <c r="D58" s="1">
        <v>3041301</v>
      </c>
      <c r="E58" s="1">
        <v>3000</v>
      </c>
      <c r="F58" s="1" t="str">
        <f t="shared" si="2"/>
        <v>3041301:3000</v>
      </c>
      <c r="H58" s="2" t="str">
        <f t="shared" si="1"/>
        <v>3041301:3000</v>
      </c>
      <c r="J58" s="1" t="s">
        <v>1235</v>
      </c>
    </row>
    <row r="59" spans="3:10">
      <c r="C59" s="1" t="s">
        <v>116</v>
      </c>
      <c r="D59" s="1">
        <v>3041301</v>
      </c>
      <c r="E59" s="1">
        <v>5000</v>
      </c>
      <c r="F59" s="1" t="str">
        <f t="shared" si="2"/>
        <v>3041301:5000</v>
      </c>
      <c r="H59" s="2" t="str">
        <f t="shared" si="1"/>
        <v>3041301:5000</v>
      </c>
      <c r="J59" s="1" t="s">
        <v>1236</v>
      </c>
    </row>
    <row r="60" spans="3:10">
      <c r="C60" s="1" t="s">
        <v>116</v>
      </c>
      <c r="D60" s="1">
        <v>3041301</v>
      </c>
      <c r="E60" s="1">
        <v>7000</v>
      </c>
      <c r="F60" s="1" t="str">
        <f t="shared" si="2"/>
        <v>3041301:7000</v>
      </c>
      <c r="H60" s="2" t="str">
        <f t="shared" si="1"/>
        <v>3041301:7000</v>
      </c>
      <c r="J60" s="1" t="s">
        <v>1237</v>
      </c>
    </row>
    <row r="61" spans="3:10">
      <c r="C61" s="1" t="s">
        <v>116</v>
      </c>
      <c r="D61" s="1">
        <v>3041301</v>
      </c>
      <c r="E61" s="1">
        <v>10000</v>
      </c>
      <c r="F61" s="1" t="str">
        <f t="shared" si="2"/>
        <v>3041301:10000</v>
      </c>
      <c r="H61" s="2" t="str">
        <f t="shared" si="1"/>
        <v>3041301:10000</v>
      </c>
      <c r="J61" s="1" t="s">
        <v>1238</v>
      </c>
    </row>
    <row r="62" spans="3:10">
      <c r="C62" s="1" t="s">
        <v>116</v>
      </c>
      <c r="D62" s="1">
        <v>3041301</v>
      </c>
      <c r="E62" s="1">
        <v>15000</v>
      </c>
      <c r="F62" s="1" t="str">
        <f t="shared" si="2"/>
        <v>3041301:15000</v>
      </c>
      <c r="H62" s="2" t="str">
        <f t="shared" si="1"/>
        <v>3041301:15000</v>
      </c>
      <c r="J62" s="1" t="s">
        <v>1239</v>
      </c>
    </row>
    <row r="63" spans="3:10">
      <c r="C63" s="1" t="s">
        <v>1175</v>
      </c>
      <c r="D63" s="1">
        <v>3041401</v>
      </c>
      <c r="E63" s="1">
        <v>1000</v>
      </c>
      <c r="F63" s="1" t="str">
        <f t="shared" si="2"/>
        <v>3041401:1000</v>
      </c>
      <c r="H63" s="2" t="str">
        <f t="shared" si="1"/>
        <v>3041401:1000</v>
      </c>
      <c r="J63" s="1" t="s">
        <v>1240</v>
      </c>
    </row>
    <row r="64" spans="3:10">
      <c r="C64" s="1" t="s">
        <v>1175</v>
      </c>
      <c r="D64" s="1">
        <v>3041401</v>
      </c>
      <c r="E64" s="1">
        <v>2000</v>
      </c>
      <c r="F64" s="1" t="str">
        <f t="shared" si="2"/>
        <v>3041401:2000</v>
      </c>
      <c r="H64" s="2" t="str">
        <f t="shared" si="1"/>
        <v>3041401:2000</v>
      </c>
      <c r="J64" s="1" t="s">
        <v>1241</v>
      </c>
    </row>
    <row r="65" spans="3:10">
      <c r="C65" s="1" t="s">
        <v>1175</v>
      </c>
      <c r="D65" s="1">
        <v>3041401</v>
      </c>
      <c r="E65" s="1">
        <v>3000</v>
      </c>
      <c r="F65" s="1" t="str">
        <f t="shared" si="2"/>
        <v>3041401:3000</v>
      </c>
      <c r="H65" s="2" t="str">
        <f t="shared" si="1"/>
        <v>3041401:3000</v>
      </c>
      <c r="J65" s="1" t="s">
        <v>1242</v>
      </c>
    </row>
    <row r="66" spans="3:10">
      <c r="C66" s="1" t="s">
        <v>1175</v>
      </c>
      <c r="D66" s="1">
        <v>3041401</v>
      </c>
      <c r="E66" s="1">
        <v>4000</v>
      </c>
      <c r="F66" s="1" t="str">
        <f t="shared" si="2"/>
        <v>3041401:4000</v>
      </c>
      <c r="H66" s="2" t="str">
        <f t="shared" si="1"/>
        <v>3041401:4000</v>
      </c>
      <c r="J66" s="1" t="s">
        <v>1243</v>
      </c>
    </row>
    <row r="67" spans="3:10">
      <c r="C67" s="1" t="s">
        <v>1175</v>
      </c>
      <c r="D67" s="1">
        <v>3041401</v>
      </c>
      <c r="E67" s="1">
        <v>5000</v>
      </c>
      <c r="F67" s="1" t="str">
        <f t="shared" si="2"/>
        <v>3041401:5000</v>
      </c>
      <c r="H67" s="2" t="str">
        <f t="shared" si="1"/>
        <v>3041401:5000</v>
      </c>
      <c r="J67" s="1" t="s">
        <v>1244</v>
      </c>
    </row>
    <row r="68" spans="3:11">
      <c r="C68" s="1" t="s">
        <v>127</v>
      </c>
      <c r="D68" s="1">
        <v>3050001</v>
      </c>
      <c r="E68" s="1">
        <v>3000</v>
      </c>
      <c r="F68" s="1" t="str">
        <f t="shared" ref="F68:F131" si="3">D68&amp;":"&amp;E68</f>
        <v>3050001:3000</v>
      </c>
      <c r="G68" s="1" t="s">
        <v>1245</v>
      </c>
      <c r="H68" s="2" t="str">
        <f t="shared" ref="H68:H131" si="4">_xlfn.TEXTJOIN("_",TRUE,F68:G68)</f>
        <v>3050001:3000_3050000:1</v>
      </c>
      <c r="J68" s="1" t="s">
        <v>1246</v>
      </c>
      <c r="K68" s="1" t="s">
        <v>1245</v>
      </c>
    </row>
    <row r="69" spans="3:11">
      <c r="C69" s="1" t="s">
        <v>127</v>
      </c>
      <c r="D69" s="1">
        <v>3050001</v>
      </c>
      <c r="E69" s="1">
        <v>5000</v>
      </c>
      <c r="F69" s="1" t="str">
        <f t="shared" si="3"/>
        <v>3050001:5000</v>
      </c>
      <c r="G69" s="1" t="s">
        <v>1245</v>
      </c>
      <c r="H69" s="2" t="str">
        <f t="shared" si="4"/>
        <v>3050001:5000_3050000:1</v>
      </c>
      <c r="J69" s="1" t="s">
        <v>1247</v>
      </c>
      <c r="K69" s="1" t="s">
        <v>1245</v>
      </c>
    </row>
    <row r="70" spans="3:11">
      <c r="C70" s="1" t="s">
        <v>127</v>
      </c>
      <c r="D70" s="1">
        <v>3050001</v>
      </c>
      <c r="E70" s="1">
        <v>7000</v>
      </c>
      <c r="F70" s="1" t="str">
        <f t="shared" si="3"/>
        <v>3050001:7000</v>
      </c>
      <c r="G70" s="1" t="s">
        <v>1245</v>
      </c>
      <c r="H70" s="2" t="str">
        <f t="shared" si="4"/>
        <v>3050001:7000_3050000:1</v>
      </c>
      <c r="J70" s="1" t="s">
        <v>1248</v>
      </c>
      <c r="K70" s="1" t="s">
        <v>1245</v>
      </c>
    </row>
    <row r="71" spans="3:11">
      <c r="C71" s="1" t="s">
        <v>127</v>
      </c>
      <c r="D71" s="1">
        <v>3050001</v>
      </c>
      <c r="E71" s="1">
        <v>10000</v>
      </c>
      <c r="F71" s="1" t="str">
        <f t="shared" si="3"/>
        <v>3050001:10000</v>
      </c>
      <c r="G71" s="1" t="s">
        <v>1245</v>
      </c>
      <c r="H71" s="2" t="str">
        <f t="shared" si="4"/>
        <v>3050001:10000_3050000:1</v>
      </c>
      <c r="J71" s="1" t="s">
        <v>1249</v>
      </c>
      <c r="K71" s="1" t="s">
        <v>1245</v>
      </c>
    </row>
    <row r="72" spans="3:11">
      <c r="C72" s="1" t="s">
        <v>127</v>
      </c>
      <c r="D72" s="1">
        <v>3050001</v>
      </c>
      <c r="E72" s="1">
        <v>15000</v>
      </c>
      <c r="F72" s="1" t="str">
        <f t="shared" si="3"/>
        <v>3050001:15000</v>
      </c>
      <c r="G72" s="1" t="s">
        <v>1245</v>
      </c>
      <c r="H72" s="2" t="str">
        <f t="shared" si="4"/>
        <v>3050001:15000_3050000:1</v>
      </c>
      <c r="J72" s="1" t="s">
        <v>1250</v>
      </c>
      <c r="K72" s="1" t="s">
        <v>1245</v>
      </c>
    </row>
    <row r="73" spans="3:11">
      <c r="C73" s="7" t="s">
        <v>139</v>
      </c>
      <c r="D73" s="1">
        <v>3050101</v>
      </c>
      <c r="E73" s="1">
        <v>80</v>
      </c>
      <c r="F73" s="1" t="str">
        <f t="shared" si="3"/>
        <v>3050101:80</v>
      </c>
      <c r="G73" s="1" t="s">
        <v>1245</v>
      </c>
      <c r="H73" s="2" t="str">
        <f t="shared" si="4"/>
        <v>3050101:80_3050000:1</v>
      </c>
      <c r="J73" s="1" t="s">
        <v>1251</v>
      </c>
      <c r="K73" s="1" t="s">
        <v>1245</v>
      </c>
    </row>
    <row r="74" spans="3:11">
      <c r="C74" s="7" t="s">
        <v>139</v>
      </c>
      <c r="D74" s="1">
        <v>3050101</v>
      </c>
      <c r="E74" s="1">
        <v>140</v>
      </c>
      <c r="F74" s="1" t="str">
        <f t="shared" si="3"/>
        <v>3050101:140</v>
      </c>
      <c r="G74" s="1" t="s">
        <v>1245</v>
      </c>
      <c r="H74" s="2" t="str">
        <f t="shared" si="4"/>
        <v>3050101:140_3050000:1</v>
      </c>
      <c r="J74" s="1" t="s">
        <v>1252</v>
      </c>
      <c r="K74" s="1" t="s">
        <v>1245</v>
      </c>
    </row>
    <row r="75" spans="3:11">
      <c r="C75" s="7" t="s">
        <v>139</v>
      </c>
      <c r="D75" s="1">
        <v>3050101</v>
      </c>
      <c r="E75" s="1">
        <v>190</v>
      </c>
      <c r="F75" s="1" t="str">
        <f t="shared" si="3"/>
        <v>3050101:190</v>
      </c>
      <c r="G75" s="1" t="s">
        <v>1245</v>
      </c>
      <c r="H75" s="2" t="str">
        <f t="shared" si="4"/>
        <v>3050101:190_3050000:1</v>
      </c>
      <c r="J75" s="1" t="s">
        <v>1253</v>
      </c>
      <c r="K75" s="1" t="s">
        <v>1245</v>
      </c>
    </row>
    <row r="76" spans="3:11">
      <c r="C76" s="7" t="s">
        <v>139</v>
      </c>
      <c r="D76" s="1">
        <v>3050101</v>
      </c>
      <c r="E76" s="1">
        <v>280</v>
      </c>
      <c r="F76" s="1" t="str">
        <f t="shared" si="3"/>
        <v>3050101:280</v>
      </c>
      <c r="G76" s="1" t="s">
        <v>1245</v>
      </c>
      <c r="H76" s="2" t="str">
        <f t="shared" si="4"/>
        <v>3050101:280_3050000:1</v>
      </c>
      <c r="J76" s="1" t="s">
        <v>1254</v>
      </c>
      <c r="K76" s="1" t="s">
        <v>1245</v>
      </c>
    </row>
    <row r="77" spans="3:11">
      <c r="C77" s="7" t="s">
        <v>139</v>
      </c>
      <c r="D77" s="1">
        <v>3050101</v>
      </c>
      <c r="E77" s="1">
        <v>410</v>
      </c>
      <c r="F77" s="1" t="str">
        <f t="shared" si="3"/>
        <v>3050101:410</v>
      </c>
      <c r="G77" s="1" t="s">
        <v>1245</v>
      </c>
      <c r="H77" s="2" t="str">
        <f t="shared" si="4"/>
        <v>3050101:410_3050000:1</v>
      </c>
      <c r="J77" s="1" t="s">
        <v>1255</v>
      </c>
      <c r="K77" s="1" t="s">
        <v>1245</v>
      </c>
    </row>
    <row r="78" spans="3:10">
      <c r="C78" s="1" t="s">
        <v>139</v>
      </c>
      <c r="D78" s="1">
        <v>3050102</v>
      </c>
      <c r="E78" s="1">
        <v>3000</v>
      </c>
      <c r="F78" s="1" t="str">
        <f t="shared" si="3"/>
        <v>3050102:3000</v>
      </c>
      <c r="H78" s="2" t="str">
        <f t="shared" si="4"/>
        <v>3050102:3000</v>
      </c>
      <c r="J78" s="1" t="s">
        <v>1256</v>
      </c>
    </row>
    <row r="79" spans="3:10">
      <c r="C79" s="1" t="s">
        <v>139</v>
      </c>
      <c r="D79" s="1">
        <v>3050102</v>
      </c>
      <c r="E79" s="1">
        <v>5000</v>
      </c>
      <c r="F79" s="1" t="str">
        <f t="shared" si="3"/>
        <v>3050102:5000</v>
      </c>
      <c r="H79" s="2" t="str">
        <f t="shared" si="4"/>
        <v>3050102:5000</v>
      </c>
      <c r="J79" s="1" t="s">
        <v>1257</v>
      </c>
    </row>
    <row r="80" spans="3:10">
      <c r="C80" s="1" t="s">
        <v>139</v>
      </c>
      <c r="D80" s="1">
        <v>3050102</v>
      </c>
      <c r="E80" s="1">
        <v>7000</v>
      </c>
      <c r="F80" s="1" t="str">
        <f t="shared" si="3"/>
        <v>3050102:7000</v>
      </c>
      <c r="H80" s="2" t="str">
        <f t="shared" si="4"/>
        <v>3050102:7000</v>
      </c>
      <c r="J80" s="1" t="s">
        <v>1258</v>
      </c>
    </row>
    <row r="81" spans="3:10">
      <c r="C81" s="1" t="s">
        <v>139</v>
      </c>
      <c r="D81" s="1">
        <v>3050102</v>
      </c>
      <c r="E81" s="1">
        <v>10000</v>
      </c>
      <c r="F81" s="1" t="str">
        <f t="shared" si="3"/>
        <v>3050102:10000</v>
      </c>
      <c r="H81" s="2" t="str">
        <f t="shared" si="4"/>
        <v>3050102:10000</v>
      </c>
      <c r="J81" s="1" t="s">
        <v>1259</v>
      </c>
    </row>
    <row r="82" spans="3:10">
      <c r="C82" s="1" t="s">
        <v>139</v>
      </c>
      <c r="D82" s="1">
        <v>3050102</v>
      </c>
      <c r="E82" s="1">
        <v>15000</v>
      </c>
      <c r="F82" s="1" t="str">
        <f t="shared" si="3"/>
        <v>3050102:15000</v>
      </c>
      <c r="H82" s="2" t="str">
        <f t="shared" si="4"/>
        <v>3050102:15000</v>
      </c>
      <c r="J82" s="1" t="s">
        <v>1260</v>
      </c>
    </row>
    <row r="83" spans="3:10">
      <c r="C83" s="1" t="s">
        <v>150</v>
      </c>
      <c r="D83" s="1">
        <v>3050301</v>
      </c>
      <c r="E83" s="1">
        <v>3000</v>
      </c>
      <c r="F83" s="1" t="str">
        <f t="shared" si="3"/>
        <v>3050301:3000</v>
      </c>
      <c r="H83" s="2" t="str">
        <f t="shared" si="4"/>
        <v>3050301:3000</v>
      </c>
      <c r="J83" s="1" t="s">
        <v>1261</v>
      </c>
    </row>
    <row r="84" spans="3:10">
      <c r="C84" s="1" t="s">
        <v>150</v>
      </c>
      <c r="D84" s="1">
        <v>3050301</v>
      </c>
      <c r="E84" s="1">
        <v>5000</v>
      </c>
      <c r="F84" s="1" t="str">
        <f t="shared" si="3"/>
        <v>3050301:5000</v>
      </c>
      <c r="H84" s="2" t="str">
        <f t="shared" si="4"/>
        <v>3050301:5000</v>
      </c>
      <c r="J84" s="1" t="s">
        <v>1262</v>
      </c>
    </row>
    <row r="85" spans="3:10">
      <c r="C85" s="1" t="s">
        <v>150</v>
      </c>
      <c r="D85" s="1">
        <v>3050301</v>
      </c>
      <c r="E85" s="1">
        <v>7000</v>
      </c>
      <c r="F85" s="1" t="str">
        <f t="shared" si="3"/>
        <v>3050301:7000</v>
      </c>
      <c r="H85" s="2" t="str">
        <f t="shared" si="4"/>
        <v>3050301:7000</v>
      </c>
      <c r="J85" s="1" t="s">
        <v>1263</v>
      </c>
    </row>
    <row r="86" spans="3:10">
      <c r="C86" s="1" t="s">
        <v>150</v>
      </c>
      <c r="D86" s="1">
        <v>3050301</v>
      </c>
      <c r="E86" s="1">
        <v>10000</v>
      </c>
      <c r="F86" s="1" t="str">
        <f t="shared" si="3"/>
        <v>3050301:10000</v>
      </c>
      <c r="H86" s="2" t="str">
        <f t="shared" si="4"/>
        <v>3050301:10000</v>
      </c>
      <c r="J86" s="1" t="s">
        <v>1264</v>
      </c>
    </row>
    <row r="87" spans="3:10">
      <c r="C87" s="1" t="s">
        <v>150</v>
      </c>
      <c r="D87" s="1">
        <v>3050301</v>
      </c>
      <c r="E87" s="1">
        <v>15000</v>
      </c>
      <c r="F87" s="1" t="str">
        <f t="shared" si="3"/>
        <v>3050301:15000</v>
      </c>
      <c r="H87" s="2" t="str">
        <f t="shared" si="4"/>
        <v>3050301:15000</v>
      </c>
      <c r="J87" s="1" t="s">
        <v>1265</v>
      </c>
    </row>
    <row r="88" spans="3:11">
      <c r="C88" s="8" t="s">
        <v>1149</v>
      </c>
      <c r="D88" s="1">
        <v>3050501</v>
      </c>
      <c r="E88" s="1">
        <v>80</v>
      </c>
      <c r="F88" s="1" t="str">
        <f t="shared" si="3"/>
        <v>3050501:80</v>
      </c>
      <c r="G88" s="1" t="s">
        <v>1245</v>
      </c>
      <c r="H88" s="2" t="str">
        <f t="shared" si="4"/>
        <v>3050501:80_3050000:1</v>
      </c>
      <c r="J88" s="1" t="s">
        <v>1266</v>
      </c>
      <c r="K88" s="1" t="s">
        <v>1245</v>
      </c>
    </row>
    <row r="89" spans="3:11">
      <c r="C89" s="8" t="s">
        <v>1149</v>
      </c>
      <c r="D89" s="1">
        <v>3050501</v>
      </c>
      <c r="E89" s="1">
        <v>140</v>
      </c>
      <c r="F89" s="1" t="str">
        <f t="shared" si="3"/>
        <v>3050501:140</v>
      </c>
      <c r="G89" s="1" t="s">
        <v>1245</v>
      </c>
      <c r="H89" s="2" t="str">
        <f t="shared" si="4"/>
        <v>3050501:140_3050000:1</v>
      </c>
      <c r="J89" s="1" t="s">
        <v>1267</v>
      </c>
      <c r="K89" s="1" t="s">
        <v>1245</v>
      </c>
    </row>
    <row r="90" spans="3:11">
      <c r="C90" s="8" t="s">
        <v>1149</v>
      </c>
      <c r="D90" s="1">
        <v>3050501</v>
      </c>
      <c r="E90" s="1">
        <v>190</v>
      </c>
      <c r="F90" s="1" t="str">
        <f t="shared" si="3"/>
        <v>3050501:190</v>
      </c>
      <c r="G90" s="1" t="s">
        <v>1245</v>
      </c>
      <c r="H90" s="2" t="str">
        <f t="shared" si="4"/>
        <v>3050501:190_3050000:1</v>
      </c>
      <c r="J90" s="1" t="s">
        <v>1268</v>
      </c>
      <c r="K90" s="1" t="s">
        <v>1245</v>
      </c>
    </row>
    <row r="91" spans="3:11">
      <c r="C91" s="8" t="s">
        <v>1149</v>
      </c>
      <c r="D91" s="1">
        <v>3050501</v>
      </c>
      <c r="E91" s="1">
        <v>280</v>
      </c>
      <c r="F91" s="1" t="str">
        <f t="shared" si="3"/>
        <v>3050501:280</v>
      </c>
      <c r="G91" s="1" t="s">
        <v>1245</v>
      </c>
      <c r="H91" s="2" t="str">
        <f t="shared" si="4"/>
        <v>3050501:280_3050000:1</v>
      </c>
      <c r="J91" s="1" t="s">
        <v>1269</v>
      </c>
      <c r="K91" s="1" t="s">
        <v>1245</v>
      </c>
    </row>
    <row r="92" spans="3:11">
      <c r="C92" s="8" t="s">
        <v>1149</v>
      </c>
      <c r="D92" s="1">
        <v>3050501</v>
      </c>
      <c r="E92" s="1">
        <v>410</v>
      </c>
      <c r="F92" s="1" t="str">
        <f t="shared" si="3"/>
        <v>3050501:410</v>
      </c>
      <c r="G92" s="1" t="s">
        <v>1245</v>
      </c>
      <c r="H92" s="2" t="str">
        <f t="shared" si="4"/>
        <v>3050501:410_3050000:1</v>
      </c>
      <c r="J92" s="1" t="s">
        <v>1270</v>
      </c>
      <c r="K92" s="1" t="s">
        <v>1245</v>
      </c>
    </row>
    <row r="93" spans="3:11">
      <c r="C93" s="1" t="s">
        <v>161</v>
      </c>
      <c r="D93" s="1">
        <v>3060001</v>
      </c>
      <c r="E93" s="1">
        <v>3000</v>
      </c>
      <c r="F93" s="1" t="str">
        <f t="shared" si="3"/>
        <v>3060001:3000</v>
      </c>
      <c r="G93" s="1" t="s">
        <v>1271</v>
      </c>
      <c r="H93" s="2" t="str">
        <f t="shared" si="4"/>
        <v>3060001:3000_3060000:1</v>
      </c>
      <c r="J93" s="1" t="s">
        <v>1272</v>
      </c>
      <c r="K93" s="1" t="s">
        <v>1271</v>
      </c>
    </row>
    <row r="94" spans="3:11">
      <c r="C94" s="1" t="s">
        <v>161</v>
      </c>
      <c r="D94" s="1">
        <v>3060001</v>
      </c>
      <c r="E94" s="1">
        <v>5000</v>
      </c>
      <c r="F94" s="1" t="str">
        <f t="shared" si="3"/>
        <v>3060001:5000</v>
      </c>
      <c r="G94" s="1" t="s">
        <v>1271</v>
      </c>
      <c r="H94" s="2" t="str">
        <f t="shared" si="4"/>
        <v>3060001:5000_3060000:1</v>
      </c>
      <c r="J94" s="1" t="s">
        <v>1273</v>
      </c>
      <c r="K94" s="1" t="s">
        <v>1271</v>
      </c>
    </row>
    <row r="95" spans="3:11">
      <c r="C95" s="1" t="s">
        <v>161</v>
      </c>
      <c r="D95" s="1">
        <v>3060001</v>
      </c>
      <c r="E95" s="1">
        <v>7000</v>
      </c>
      <c r="F95" s="1" t="str">
        <f t="shared" si="3"/>
        <v>3060001:7000</v>
      </c>
      <c r="G95" s="1" t="s">
        <v>1271</v>
      </c>
      <c r="H95" s="2" t="str">
        <f t="shared" si="4"/>
        <v>3060001:7000_3060000:1</v>
      </c>
      <c r="J95" s="1" t="s">
        <v>1274</v>
      </c>
      <c r="K95" s="1" t="s">
        <v>1271</v>
      </c>
    </row>
    <row r="96" spans="3:11">
      <c r="C96" s="1" t="s">
        <v>161</v>
      </c>
      <c r="D96" s="1">
        <v>3060001</v>
      </c>
      <c r="E96" s="1">
        <v>10000</v>
      </c>
      <c r="F96" s="1" t="str">
        <f t="shared" si="3"/>
        <v>3060001:10000</v>
      </c>
      <c r="G96" s="1" t="s">
        <v>1271</v>
      </c>
      <c r="H96" s="2" t="str">
        <f t="shared" si="4"/>
        <v>3060001:10000_3060000:1</v>
      </c>
      <c r="J96" s="1" t="s">
        <v>1275</v>
      </c>
      <c r="K96" s="1" t="s">
        <v>1271</v>
      </c>
    </row>
    <row r="97" spans="3:11">
      <c r="C97" s="1" t="s">
        <v>161</v>
      </c>
      <c r="D97" s="1">
        <v>3060001</v>
      </c>
      <c r="E97" s="1">
        <v>15000</v>
      </c>
      <c r="F97" s="1" t="str">
        <f t="shared" si="3"/>
        <v>3060001:15000</v>
      </c>
      <c r="G97" s="1" t="s">
        <v>1271</v>
      </c>
      <c r="H97" s="2" t="str">
        <f t="shared" si="4"/>
        <v>3060001:15000_3060000:1</v>
      </c>
      <c r="J97" s="1" t="s">
        <v>1276</v>
      </c>
      <c r="K97" s="1" t="s">
        <v>1271</v>
      </c>
    </row>
    <row r="98" spans="3:11">
      <c r="C98" s="7" t="s">
        <v>173</v>
      </c>
      <c r="D98" s="1">
        <v>3060101</v>
      </c>
      <c r="E98" s="1">
        <v>80</v>
      </c>
      <c r="F98" s="1" t="str">
        <f t="shared" si="3"/>
        <v>3060101:80</v>
      </c>
      <c r="G98" s="1" t="s">
        <v>1271</v>
      </c>
      <c r="H98" s="2" t="str">
        <f t="shared" si="4"/>
        <v>3060101:80_3060000:1</v>
      </c>
      <c r="J98" s="1" t="s">
        <v>1277</v>
      </c>
      <c r="K98" s="1" t="s">
        <v>1271</v>
      </c>
    </row>
    <row r="99" spans="3:11">
      <c r="C99" s="7" t="s">
        <v>173</v>
      </c>
      <c r="D99" s="1">
        <v>3060101</v>
      </c>
      <c r="E99" s="1">
        <v>140</v>
      </c>
      <c r="F99" s="1" t="str">
        <f t="shared" si="3"/>
        <v>3060101:140</v>
      </c>
      <c r="G99" s="1" t="s">
        <v>1271</v>
      </c>
      <c r="H99" s="2" t="str">
        <f t="shared" si="4"/>
        <v>3060101:140_3060000:1</v>
      </c>
      <c r="J99" s="1" t="s">
        <v>1278</v>
      </c>
      <c r="K99" s="1" t="s">
        <v>1271</v>
      </c>
    </row>
    <row r="100" spans="3:11">
      <c r="C100" s="7" t="s">
        <v>173</v>
      </c>
      <c r="D100" s="1">
        <v>3060101</v>
      </c>
      <c r="E100" s="1">
        <v>190</v>
      </c>
      <c r="F100" s="1" t="str">
        <f t="shared" si="3"/>
        <v>3060101:190</v>
      </c>
      <c r="G100" s="1" t="s">
        <v>1271</v>
      </c>
      <c r="H100" s="2" t="str">
        <f t="shared" si="4"/>
        <v>3060101:190_3060000:1</v>
      </c>
      <c r="J100" s="1" t="s">
        <v>1279</v>
      </c>
      <c r="K100" s="1" t="s">
        <v>1271</v>
      </c>
    </row>
    <row r="101" spans="3:11">
      <c r="C101" s="7" t="s">
        <v>173</v>
      </c>
      <c r="D101" s="1">
        <v>3060101</v>
      </c>
      <c r="E101" s="1">
        <v>280</v>
      </c>
      <c r="F101" s="1" t="str">
        <f t="shared" si="3"/>
        <v>3060101:280</v>
      </c>
      <c r="G101" s="1" t="s">
        <v>1271</v>
      </c>
      <c r="H101" s="2" t="str">
        <f t="shared" si="4"/>
        <v>3060101:280_3060000:1</v>
      </c>
      <c r="J101" s="1" t="s">
        <v>1280</v>
      </c>
      <c r="K101" s="1" t="s">
        <v>1271</v>
      </c>
    </row>
    <row r="102" spans="3:11">
      <c r="C102" s="7" t="s">
        <v>173</v>
      </c>
      <c r="D102" s="1">
        <v>3060101</v>
      </c>
      <c r="E102" s="1">
        <v>410</v>
      </c>
      <c r="F102" s="1" t="str">
        <f t="shared" si="3"/>
        <v>3060101:410</v>
      </c>
      <c r="G102" s="1" t="s">
        <v>1271</v>
      </c>
      <c r="H102" s="2" t="str">
        <f t="shared" si="4"/>
        <v>3060101:410_3060000:1</v>
      </c>
      <c r="J102" s="1" t="s">
        <v>1281</v>
      </c>
      <c r="K102" s="1" t="s">
        <v>1271</v>
      </c>
    </row>
    <row r="103" spans="3:10">
      <c r="C103" s="1" t="s">
        <v>173</v>
      </c>
      <c r="D103" s="1">
        <v>3060102</v>
      </c>
      <c r="E103" s="1">
        <v>3000</v>
      </c>
      <c r="F103" s="1" t="str">
        <f t="shared" si="3"/>
        <v>3060102:3000</v>
      </c>
      <c r="H103" s="2" t="str">
        <f t="shared" si="4"/>
        <v>3060102:3000</v>
      </c>
      <c r="J103" s="1" t="s">
        <v>1282</v>
      </c>
    </row>
    <row r="104" spans="3:10">
      <c r="C104" s="1" t="s">
        <v>173</v>
      </c>
      <c r="D104" s="1">
        <v>3060102</v>
      </c>
      <c r="E104" s="1">
        <v>5000</v>
      </c>
      <c r="F104" s="1" t="str">
        <f t="shared" si="3"/>
        <v>3060102:5000</v>
      </c>
      <c r="H104" s="2" t="str">
        <f t="shared" si="4"/>
        <v>3060102:5000</v>
      </c>
      <c r="J104" s="1" t="s">
        <v>1283</v>
      </c>
    </row>
    <row r="105" spans="3:10">
      <c r="C105" s="1" t="s">
        <v>173</v>
      </c>
      <c r="D105" s="1">
        <v>3060102</v>
      </c>
      <c r="E105" s="1">
        <v>7000</v>
      </c>
      <c r="F105" s="1" t="str">
        <f t="shared" si="3"/>
        <v>3060102:7000</v>
      </c>
      <c r="H105" s="2" t="str">
        <f t="shared" si="4"/>
        <v>3060102:7000</v>
      </c>
      <c r="J105" s="1" t="s">
        <v>1284</v>
      </c>
    </row>
    <row r="106" spans="3:10">
      <c r="C106" s="1" t="s">
        <v>173</v>
      </c>
      <c r="D106" s="1">
        <v>3060102</v>
      </c>
      <c r="E106" s="1">
        <v>10000</v>
      </c>
      <c r="F106" s="1" t="str">
        <f t="shared" si="3"/>
        <v>3060102:10000</v>
      </c>
      <c r="H106" s="2" t="str">
        <f t="shared" si="4"/>
        <v>3060102:10000</v>
      </c>
      <c r="J106" s="1" t="s">
        <v>1285</v>
      </c>
    </row>
    <row r="107" spans="3:10">
      <c r="C107" s="1" t="s">
        <v>173</v>
      </c>
      <c r="D107" s="1">
        <v>3060102</v>
      </c>
      <c r="E107" s="1">
        <v>15000</v>
      </c>
      <c r="F107" s="1" t="str">
        <f t="shared" si="3"/>
        <v>3060102:15000</v>
      </c>
      <c r="H107" s="2" t="str">
        <f t="shared" si="4"/>
        <v>3060102:15000</v>
      </c>
      <c r="J107" s="1" t="s">
        <v>1286</v>
      </c>
    </row>
    <row r="108" spans="3:10">
      <c r="C108" s="1" t="s">
        <v>184</v>
      </c>
      <c r="D108" s="1">
        <v>3060301</v>
      </c>
      <c r="E108" s="1">
        <v>3000</v>
      </c>
      <c r="F108" s="1" t="str">
        <f t="shared" si="3"/>
        <v>3060301:3000</v>
      </c>
      <c r="H108" s="2" t="str">
        <f t="shared" si="4"/>
        <v>3060301:3000</v>
      </c>
      <c r="J108" s="1" t="s">
        <v>1287</v>
      </c>
    </row>
    <row r="109" spans="3:10">
      <c r="C109" s="1" t="s">
        <v>184</v>
      </c>
      <c r="D109" s="1">
        <v>3060301</v>
      </c>
      <c r="E109" s="1">
        <v>5000</v>
      </c>
      <c r="F109" s="1" t="str">
        <f t="shared" si="3"/>
        <v>3060301:5000</v>
      </c>
      <c r="H109" s="2" t="str">
        <f t="shared" si="4"/>
        <v>3060301:5000</v>
      </c>
      <c r="J109" s="1" t="s">
        <v>1288</v>
      </c>
    </row>
    <row r="110" spans="3:10">
      <c r="C110" s="1" t="s">
        <v>184</v>
      </c>
      <c r="D110" s="1">
        <v>3060301</v>
      </c>
      <c r="E110" s="1">
        <v>7000</v>
      </c>
      <c r="F110" s="1" t="str">
        <f t="shared" si="3"/>
        <v>3060301:7000</v>
      </c>
      <c r="H110" s="2" t="str">
        <f t="shared" si="4"/>
        <v>3060301:7000</v>
      </c>
      <c r="J110" s="1" t="s">
        <v>1289</v>
      </c>
    </row>
    <row r="111" spans="3:10">
      <c r="C111" s="1" t="s">
        <v>184</v>
      </c>
      <c r="D111" s="1">
        <v>3060301</v>
      </c>
      <c r="E111" s="1">
        <v>10000</v>
      </c>
      <c r="F111" s="1" t="str">
        <f t="shared" si="3"/>
        <v>3060301:10000</v>
      </c>
      <c r="H111" s="2" t="str">
        <f t="shared" si="4"/>
        <v>3060301:10000</v>
      </c>
      <c r="J111" s="1" t="s">
        <v>1290</v>
      </c>
    </row>
    <row r="112" spans="3:10">
      <c r="C112" s="1" t="s">
        <v>184</v>
      </c>
      <c r="D112" s="1">
        <v>3060301</v>
      </c>
      <c r="E112" s="1">
        <v>15000</v>
      </c>
      <c r="F112" s="1" t="str">
        <f t="shared" si="3"/>
        <v>3060301:15000</v>
      </c>
      <c r="H112" s="2" t="str">
        <f t="shared" si="4"/>
        <v>3060301:15000</v>
      </c>
      <c r="J112" s="1" t="s">
        <v>1291</v>
      </c>
    </row>
    <row r="113" spans="3:11">
      <c r="C113" s="8" t="s">
        <v>1150</v>
      </c>
      <c r="D113" s="1">
        <v>3060501</v>
      </c>
      <c r="E113" s="1">
        <v>80</v>
      </c>
      <c r="F113" s="1" t="str">
        <f t="shared" si="3"/>
        <v>3060501:80</v>
      </c>
      <c r="G113" s="1" t="s">
        <v>1271</v>
      </c>
      <c r="H113" s="2" t="str">
        <f t="shared" si="4"/>
        <v>3060501:80_3060000:1</v>
      </c>
      <c r="J113" s="1" t="s">
        <v>1292</v>
      </c>
      <c r="K113" s="1" t="s">
        <v>1271</v>
      </c>
    </row>
    <row r="114" spans="3:11">
      <c r="C114" s="8" t="s">
        <v>1150</v>
      </c>
      <c r="D114" s="1">
        <v>3060501</v>
      </c>
      <c r="E114" s="1">
        <v>140</v>
      </c>
      <c r="F114" s="1" t="str">
        <f t="shared" si="3"/>
        <v>3060501:140</v>
      </c>
      <c r="G114" s="1" t="s">
        <v>1271</v>
      </c>
      <c r="H114" s="2" t="str">
        <f t="shared" si="4"/>
        <v>3060501:140_3060000:1</v>
      </c>
      <c r="J114" s="1" t="s">
        <v>1293</v>
      </c>
      <c r="K114" s="1" t="s">
        <v>1271</v>
      </c>
    </row>
    <row r="115" spans="3:11">
      <c r="C115" s="8" t="s">
        <v>1150</v>
      </c>
      <c r="D115" s="1">
        <v>3060501</v>
      </c>
      <c r="E115" s="1">
        <v>190</v>
      </c>
      <c r="F115" s="1" t="str">
        <f t="shared" si="3"/>
        <v>3060501:190</v>
      </c>
      <c r="G115" s="1" t="s">
        <v>1271</v>
      </c>
      <c r="H115" s="2" t="str">
        <f t="shared" si="4"/>
        <v>3060501:190_3060000:1</v>
      </c>
      <c r="J115" s="1" t="s">
        <v>1294</v>
      </c>
      <c r="K115" s="1" t="s">
        <v>1271</v>
      </c>
    </row>
    <row r="116" spans="3:11">
      <c r="C116" s="8" t="s">
        <v>1150</v>
      </c>
      <c r="D116" s="1">
        <v>3060501</v>
      </c>
      <c r="E116" s="1">
        <v>280</v>
      </c>
      <c r="F116" s="1" t="str">
        <f t="shared" si="3"/>
        <v>3060501:280</v>
      </c>
      <c r="G116" s="1" t="s">
        <v>1271</v>
      </c>
      <c r="H116" s="2" t="str">
        <f t="shared" si="4"/>
        <v>3060501:280_3060000:1</v>
      </c>
      <c r="J116" s="1" t="s">
        <v>1295</v>
      </c>
      <c r="K116" s="1" t="s">
        <v>1271</v>
      </c>
    </row>
    <row r="117" spans="3:11">
      <c r="C117" s="8" t="s">
        <v>1150</v>
      </c>
      <c r="D117" s="1">
        <v>3060501</v>
      </c>
      <c r="E117" s="1">
        <v>410</v>
      </c>
      <c r="F117" s="1" t="str">
        <f t="shared" si="3"/>
        <v>3060501:410</v>
      </c>
      <c r="G117" s="1" t="s">
        <v>1271</v>
      </c>
      <c r="H117" s="2" t="str">
        <f t="shared" si="4"/>
        <v>3060501:410_3060000:1</v>
      </c>
      <c r="J117" s="1" t="s">
        <v>1296</v>
      </c>
      <c r="K117" s="1" t="s">
        <v>1271</v>
      </c>
    </row>
    <row r="118" spans="3:11">
      <c r="C118" s="1" t="s">
        <v>195</v>
      </c>
      <c r="D118" s="1">
        <v>3070001</v>
      </c>
      <c r="E118" s="1">
        <v>3000</v>
      </c>
      <c r="F118" s="1" t="str">
        <f t="shared" si="3"/>
        <v>3070001:3000</v>
      </c>
      <c r="G118" s="1" t="s">
        <v>1297</v>
      </c>
      <c r="H118" s="2" t="str">
        <f t="shared" si="4"/>
        <v>3070001:3000_3070000:1</v>
      </c>
      <c r="J118" s="1" t="s">
        <v>1298</v>
      </c>
      <c r="K118" s="1" t="s">
        <v>1297</v>
      </c>
    </row>
    <row r="119" spans="3:11">
      <c r="C119" s="1" t="s">
        <v>195</v>
      </c>
      <c r="D119" s="1">
        <v>3070001</v>
      </c>
      <c r="E119" s="1">
        <v>5000</v>
      </c>
      <c r="F119" s="1" t="str">
        <f t="shared" si="3"/>
        <v>3070001:5000</v>
      </c>
      <c r="G119" s="1" t="s">
        <v>1297</v>
      </c>
      <c r="H119" s="2" t="str">
        <f t="shared" si="4"/>
        <v>3070001:5000_3070000:1</v>
      </c>
      <c r="J119" s="1" t="s">
        <v>1299</v>
      </c>
      <c r="K119" s="1" t="s">
        <v>1297</v>
      </c>
    </row>
    <row r="120" spans="3:11">
      <c r="C120" s="1" t="s">
        <v>195</v>
      </c>
      <c r="D120" s="1">
        <v>3070001</v>
      </c>
      <c r="E120" s="1">
        <v>7000</v>
      </c>
      <c r="F120" s="1" t="str">
        <f t="shared" si="3"/>
        <v>3070001:7000</v>
      </c>
      <c r="G120" s="1" t="s">
        <v>1297</v>
      </c>
      <c r="H120" s="2" t="str">
        <f t="shared" si="4"/>
        <v>3070001:7000_3070000:1</v>
      </c>
      <c r="J120" s="1" t="s">
        <v>1300</v>
      </c>
      <c r="K120" s="1" t="s">
        <v>1297</v>
      </c>
    </row>
    <row r="121" spans="3:11">
      <c r="C121" s="1" t="s">
        <v>195</v>
      </c>
      <c r="D121" s="1">
        <v>3070001</v>
      </c>
      <c r="E121" s="1">
        <v>10000</v>
      </c>
      <c r="F121" s="1" t="str">
        <f t="shared" si="3"/>
        <v>3070001:10000</v>
      </c>
      <c r="G121" s="1" t="s">
        <v>1297</v>
      </c>
      <c r="H121" s="2" t="str">
        <f t="shared" si="4"/>
        <v>3070001:10000_3070000:1</v>
      </c>
      <c r="J121" s="1" t="s">
        <v>1301</v>
      </c>
      <c r="K121" s="1" t="s">
        <v>1297</v>
      </c>
    </row>
    <row r="122" spans="3:11">
      <c r="C122" s="1" t="s">
        <v>195</v>
      </c>
      <c r="D122" s="1">
        <v>3070001</v>
      </c>
      <c r="E122" s="1">
        <v>15000</v>
      </c>
      <c r="F122" s="1" t="str">
        <f t="shared" si="3"/>
        <v>3070001:15000</v>
      </c>
      <c r="G122" s="1" t="s">
        <v>1297</v>
      </c>
      <c r="H122" s="2" t="str">
        <f t="shared" si="4"/>
        <v>3070001:15000_3070000:1</v>
      </c>
      <c r="J122" s="1" t="s">
        <v>1302</v>
      </c>
      <c r="K122" s="1" t="s">
        <v>1297</v>
      </c>
    </row>
    <row r="123" spans="3:11">
      <c r="C123" s="7" t="s">
        <v>207</v>
      </c>
      <c r="D123" s="1">
        <v>3070101</v>
      </c>
      <c r="E123" s="1">
        <v>80</v>
      </c>
      <c r="F123" s="1" t="str">
        <f t="shared" si="3"/>
        <v>3070101:80</v>
      </c>
      <c r="G123" s="1" t="s">
        <v>1297</v>
      </c>
      <c r="H123" s="2" t="str">
        <f t="shared" si="4"/>
        <v>3070101:80_3070000:1</v>
      </c>
      <c r="J123" s="1" t="s">
        <v>1303</v>
      </c>
      <c r="K123" s="1" t="s">
        <v>1297</v>
      </c>
    </row>
    <row r="124" spans="3:11">
      <c r="C124" s="7" t="s">
        <v>207</v>
      </c>
      <c r="D124" s="1">
        <v>3070101</v>
      </c>
      <c r="E124" s="1">
        <v>140</v>
      </c>
      <c r="F124" s="1" t="str">
        <f t="shared" si="3"/>
        <v>3070101:140</v>
      </c>
      <c r="G124" s="1" t="s">
        <v>1297</v>
      </c>
      <c r="H124" s="2" t="str">
        <f t="shared" si="4"/>
        <v>3070101:140_3070000:1</v>
      </c>
      <c r="J124" s="1" t="s">
        <v>1304</v>
      </c>
      <c r="K124" s="1" t="s">
        <v>1297</v>
      </c>
    </row>
    <row r="125" spans="3:11">
      <c r="C125" s="7" t="s">
        <v>207</v>
      </c>
      <c r="D125" s="1">
        <v>3070101</v>
      </c>
      <c r="E125" s="1">
        <v>190</v>
      </c>
      <c r="F125" s="1" t="str">
        <f t="shared" si="3"/>
        <v>3070101:190</v>
      </c>
      <c r="G125" s="1" t="s">
        <v>1297</v>
      </c>
      <c r="H125" s="2" t="str">
        <f t="shared" si="4"/>
        <v>3070101:190_3070000:1</v>
      </c>
      <c r="J125" s="1" t="s">
        <v>1305</v>
      </c>
      <c r="K125" s="1" t="s">
        <v>1297</v>
      </c>
    </row>
    <row r="126" spans="3:11">
      <c r="C126" s="7" t="s">
        <v>207</v>
      </c>
      <c r="D126" s="1">
        <v>3070101</v>
      </c>
      <c r="E126" s="1">
        <v>280</v>
      </c>
      <c r="F126" s="1" t="str">
        <f t="shared" si="3"/>
        <v>3070101:280</v>
      </c>
      <c r="G126" s="1" t="s">
        <v>1297</v>
      </c>
      <c r="H126" s="2" t="str">
        <f t="shared" si="4"/>
        <v>3070101:280_3070000:1</v>
      </c>
      <c r="J126" s="1" t="s">
        <v>1306</v>
      </c>
      <c r="K126" s="1" t="s">
        <v>1297</v>
      </c>
    </row>
    <row r="127" spans="3:11">
      <c r="C127" s="7" t="s">
        <v>207</v>
      </c>
      <c r="D127" s="1">
        <v>3070101</v>
      </c>
      <c r="E127" s="1">
        <v>410</v>
      </c>
      <c r="F127" s="1" t="str">
        <f t="shared" si="3"/>
        <v>3070101:410</v>
      </c>
      <c r="G127" s="1" t="s">
        <v>1297</v>
      </c>
      <c r="H127" s="2" t="str">
        <f t="shared" si="4"/>
        <v>3070101:410_3070000:1</v>
      </c>
      <c r="J127" s="1" t="s">
        <v>1307</v>
      </c>
      <c r="K127" s="1" t="s">
        <v>1297</v>
      </c>
    </row>
    <row r="128" spans="3:10">
      <c r="C128" s="1" t="s">
        <v>207</v>
      </c>
      <c r="D128" s="1">
        <v>3070102</v>
      </c>
      <c r="E128" s="1">
        <v>3000</v>
      </c>
      <c r="F128" s="1" t="str">
        <f t="shared" si="3"/>
        <v>3070102:3000</v>
      </c>
      <c r="H128" s="2" t="str">
        <f t="shared" si="4"/>
        <v>3070102:3000</v>
      </c>
      <c r="J128" s="1" t="s">
        <v>1308</v>
      </c>
    </row>
    <row r="129" spans="3:10">
      <c r="C129" s="1" t="s">
        <v>207</v>
      </c>
      <c r="D129" s="1">
        <v>3070102</v>
      </c>
      <c r="E129" s="1">
        <v>5000</v>
      </c>
      <c r="F129" s="1" t="str">
        <f t="shared" si="3"/>
        <v>3070102:5000</v>
      </c>
      <c r="H129" s="2" t="str">
        <f t="shared" si="4"/>
        <v>3070102:5000</v>
      </c>
      <c r="J129" s="1" t="s">
        <v>1309</v>
      </c>
    </row>
    <row r="130" spans="3:10">
      <c r="C130" s="1" t="s">
        <v>207</v>
      </c>
      <c r="D130" s="1">
        <v>3070102</v>
      </c>
      <c r="E130" s="1">
        <v>7000</v>
      </c>
      <c r="F130" s="1" t="str">
        <f t="shared" si="3"/>
        <v>3070102:7000</v>
      </c>
      <c r="H130" s="2" t="str">
        <f t="shared" si="4"/>
        <v>3070102:7000</v>
      </c>
      <c r="J130" s="1" t="s">
        <v>1310</v>
      </c>
    </row>
    <row r="131" spans="3:10">
      <c r="C131" s="1" t="s">
        <v>207</v>
      </c>
      <c r="D131" s="1">
        <v>3070102</v>
      </c>
      <c r="E131" s="1">
        <v>10000</v>
      </c>
      <c r="F131" s="1" t="str">
        <f t="shared" si="3"/>
        <v>3070102:10000</v>
      </c>
      <c r="H131" s="2" t="str">
        <f t="shared" si="4"/>
        <v>3070102:10000</v>
      </c>
      <c r="J131" s="1" t="s">
        <v>1311</v>
      </c>
    </row>
    <row r="132" spans="3:10">
      <c r="C132" s="1" t="s">
        <v>207</v>
      </c>
      <c r="D132" s="1">
        <v>3070102</v>
      </c>
      <c r="E132" s="1">
        <v>15000</v>
      </c>
      <c r="F132" s="1" t="str">
        <f t="shared" ref="F132:F167" si="5">D132&amp;":"&amp;E132</f>
        <v>3070102:15000</v>
      </c>
      <c r="H132" s="2" t="str">
        <f t="shared" ref="H132:H167" si="6">_xlfn.TEXTJOIN("_",TRUE,F132:G132)</f>
        <v>3070102:15000</v>
      </c>
      <c r="J132" s="1" t="s">
        <v>1312</v>
      </c>
    </row>
    <row r="133" spans="3:10">
      <c r="C133" s="1" t="s">
        <v>218</v>
      </c>
      <c r="D133" s="1">
        <v>3070301</v>
      </c>
      <c r="E133" s="1">
        <v>3000</v>
      </c>
      <c r="F133" s="1" t="str">
        <f t="shared" si="5"/>
        <v>3070301:3000</v>
      </c>
      <c r="H133" s="2" t="str">
        <f t="shared" si="6"/>
        <v>3070301:3000</v>
      </c>
      <c r="J133" s="1" t="s">
        <v>1313</v>
      </c>
    </row>
    <row r="134" spans="3:10">
      <c r="C134" s="1" t="s">
        <v>218</v>
      </c>
      <c r="D134" s="1">
        <v>3070301</v>
      </c>
      <c r="E134" s="1">
        <v>5000</v>
      </c>
      <c r="F134" s="1" t="str">
        <f t="shared" si="5"/>
        <v>3070301:5000</v>
      </c>
      <c r="H134" s="2" t="str">
        <f t="shared" si="6"/>
        <v>3070301:5000</v>
      </c>
      <c r="J134" s="1" t="s">
        <v>1314</v>
      </c>
    </row>
    <row r="135" spans="3:10">
      <c r="C135" s="1" t="s">
        <v>218</v>
      </c>
      <c r="D135" s="1">
        <v>3070301</v>
      </c>
      <c r="E135" s="1">
        <v>7000</v>
      </c>
      <c r="F135" s="1" t="str">
        <f t="shared" si="5"/>
        <v>3070301:7000</v>
      </c>
      <c r="H135" s="2" t="str">
        <f t="shared" si="6"/>
        <v>3070301:7000</v>
      </c>
      <c r="J135" s="1" t="s">
        <v>1315</v>
      </c>
    </row>
    <row r="136" spans="3:10">
      <c r="C136" s="1" t="s">
        <v>218</v>
      </c>
      <c r="D136" s="1">
        <v>3070301</v>
      </c>
      <c r="E136" s="1">
        <v>10000</v>
      </c>
      <c r="F136" s="1" t="str">
        <f t="shared" si="5"/>
        <v>3070301:10000</v>
      </c>
      <c r="H136" s="2" t="str">
        <f t="shared" si="6"/>
        <v>3070301:10000</v>
      </c>
      <c r="J136" s="1" t="s">
        <v>1316</v>
      </c>
    </row>
    <row r="137" spans="3:10">
      <c r="C137" s="1" t="s">
        <v>218</v>
      </c>
      <c r="D137" s="1">
        <v>3070301</v>
      </c>
      <c r="E137" s="1">
        <v>15000</v>
      </c>
      <c r="F137" s="1" t="str">
        <f t="shared" si="5"/>
        <v>3070301:15000</v>
      </c>
      <c r="H137" s="2" t="str">
        <f t="shared" si="6"/>
        <v>3070301:15000</v>
      </c>
      <c r="J137" s="1" t="s">
        <v>1317</v>
      </c>
    </row>
    <row r="138" spans="3:11">
      <c r="C138" s="8" t="s">
        <v>1151</v>
      </c>
      <c r="D138" s="1">
        <v>3070501</v>
      </c>
      <c r="E138" s="1">
        <v>80</v>
      </c>
      <c r="F138" s="1" t="str">
        <f t="shared" si="5"/>
        <v>3070501:80</v>
      </c>
      <c r="G138" s="1" t="s">
        <v>1297</v>
      </c>
      <c r="H138" s="2" t="str">
        <f t="shared" si="6"/>
        <v>3070501:80_3070000:1</v>
      </c>
      <c r="J138" s="1" t="s">
        <v>1318</v>
      </c>
      <c r="K138" s="1" t="s">
        <v>1297</v>
      </c>
    </row>
    <row r="139" spans="3:11">
      <c r="C139" s="8" t="s">
        <v>1151</v>
      </c>
      <c r="D139" s="1">
        <v>3070501</v>
      </c>
      <c r="E139" s="1">
        <v>140</v>
      </c>
      <c r="F139" s="1" t="str">
        <f t="shared" si="5"/>
        <v>3070501:140</v>
      </c>
      <c r="G139" s="1" t="s">
        <v>1297</v>
      </c>
      <c r="H139" s="2" t="str">
        <f t="shared" si="6"/>
        <v>3070501:140_3070000:1</v>
      </c>
      <c r="J139" s="1" t="s">
        <v>1319</v>
      </c>
      <c r="K139" s="1" t="s">
        <v>1297</v>
      </c>
    </row>
    <row r="140" spans="3:11">
      <c r="C140" s="8" t="s">
        <v>1151</v>
      </c>
      <c r="D140" s="1">
        <v>3070501</v>
      </c>
      <c r="E140" s="1">
        <v>190</v>
      </c>
      <c r="F140" s="1" t="str">
        <f t="shared" si="5"/>
        <v>3070501:190</v>
      </c>
      <c r="G140" s="1" t="s">
        <v>1297</v>
      </c>
      <c r="H140" s="2" t="str">
        <f t="shared" si="6"/>
        <v>3070501:190_3070000:1</v>
      </c>
      <c r="J140" s="1" t="s">
        <v>1320</v>
      </c>
      <c r="K140" s="1" t="s">
        <v>1297</v>
      </c>
    </row>
    <row r="141" spans="3:11">
      <c r="C141" s="8" t="s">
        <v>1151</v>
      </c>
      <c r="D141" s="1">
        <v>3070501</v>
      </c>
      <c r="E141" s="1">
        <v>280</v>
      </c>
      <c r="F141" s="1" t="str">
        <f t="shared" si="5"/>
        <v>3070501:280</v>
      </c>
      <c r="G141" s="1" t="s">
        <v>1297</v>
      </c>
      <c r="H141" s="2" t="str">
        <f t="shared" si="6"/>
        <v>3070501:280_3070000:1</v>
      </c>
      <c r="J141" s="1" t="s">
        <v>1321</v>
      </c>
      <c r="K141" s="1" t="s">
        <v>1297</v>
      </c>
    </row>
    <row r="142" spans="3:11">
      <c r="C142" s="8" t="s">
        <v>1151</v>
      </c>
      <c r="D142" s="1">
        <v>3070501</v>
      </c>
      <c r="E142" s="1">
        <v>410</v>
      </c>
      <c r="F142" s="1" t="str">
        <f t="shared" si="5"/>
        <v>3070501:410</v>
      </c>
      <c r="G142" s="1" t="s">
        <v>1297</v>
      </c>
      <c r="H142" s="2" t="str">
        <f t="shared" si="6"/>
        <v>3070501:410_3070000:1</v>
      </c>
      <c r="J142" s="1" t="s">
        <v>1322</v>
      </c>
      <c r="K142" s="1" t="s">
        <v>1297</v>
      </c>
    </row>
    <row r="143" spans="3:11">
      <c r="C143" s="1" t="s">
        <v>229</v>
      </c>
      <c r="D143" s="1">
        <v>3080001</v>
      </c>
      <c r="E143" s="1">
        <v>3000</v>
      </c>
      <c r="F143" s="1" t="str">
        <f t="shared" si="5"/>
        <v>3080001:3000</v>
      </c>
      <c r="G143" s="1" t="s">
        <v>1323</v>
      </c>
      <c r="H143" s="2" t="str">
        <f t="shared" si="6"/>
        <v>3080001:3000_3080000:1</v>
      </c>
      <c r="J143" s="1" t="s">
        <v>1324</v>
      </c>
      <c r="K143" s="1" t="s">
        <v>1323</v>
      </c>
    </row>
    <row r="144" spans="3:11">
      <c r="C144" s="1" t="s">
        <v>229</v>
      </c>
      <c r="D144" s="1">
        <v>3080001</v>
      </c>
      <c r="E144" s="1">
        <v>5000</v>
      </c>
      <c r="F144" s="1" t="str">
        <f t="shared" si="5"/>
        <v>3080001:5000</v>
      </c>
      <c r="G144" s="1" t="s">
        <v>1323</v>
      </c>
      <c r="H144" s="2" t="str">
        <f t="shared" si="6"/>
        <v>3080001:5000_3080000:1</v>
      </c>
      <c r="J144" s="1" t="s">
        <v>1325</v>
      </c>
      <c r="K144" s="1" t="s">
        <v>1323</v>
      </c>
    </row>
    <row r="145" spans="3:11">
      <c r="C145" s="1" t="s">
        <v>229</v>
      </c>
      <c r="D145" s="1">
        <v>3080001</v>
      </c>
      <c r="E145" s="1">
        <v>7000</v>
      </c>
      <c r="F145" s="1" t="str">
        <f t="shared" si="5"/>
        <v>3080001:7000</v>
      </c>
      <c r="G145" s="1" t="s">
        <v>1323</v>
      </c>
      <c r="H145" s="2" t="str">
        <f t="shared" si="6"/>
        <v>3080001:7000_3080000:1</v>
      </c>
      <c r="J145" s="1" t="s">
        <v>1326</v>
      </c>
      <c r="K145" s="1" t="s">
        <v>1323</v>
      </c>
    </row>
    <row r="146" spans="3:11">
      <c r="C146" s="1" t="s">
        <v>229</v>
      </c>
      <c r="D146" s="1">
        <v>3080001</v>
      </c>
      <c r="E146" s="1">
        <v>10000</v>
      </c>
      <c r="F146" s="1" t="str">
        <f t="shared" si="5"/>
        <v>3080001:10000</v>
      </c>
      <c r="G146" s="1" t="s">
        <v>1323</v>
      </c>
      <c r="H146" s="2" t="str">
        <f t="shared" si="6"/>
        <v>3080001:10000_3080000:1</v>
      </c>
      <c r="J146" s="1" t="s">
        <v>1327</v>
      </c>
      <c r="K146" s="1" t="s">
        <v>1323</v>
      </c>
    </row>
    <row r="147" spans="3:11">
      <c r="C147" s="1" t="s">
        <v>229</v>
      </c>
      <c r="D147" s="1">
        <v>3080001</v>
      </c>
      <c r="E147" s="1">
        <v>15000</v>
      </c>
      <c r="F147" s="1" t="str">
        <f t="shared" si="5"/>
        <v>3080001:15000</v>
      </c>
      <c r="G147" s="1" t="s">
        <v>1323</v>
      </c>
      <c r="H147" s="2" t="str">
        <f t="shared" si="6"/>
        <v>3080001:15000_3080000:1</v>
      </c>
      <c r="J147" s="1" t="s">
        <v>1328</v>
      </c>
      <c r="K147" s="1" t="s">
        <v>1323</v>
      </c>
    </row>
    <row r="148" spans="3:11">
      <c r="C148" s="7" t="s">
        <v>241</v>
      </c>
      <c r="D148" s="1">
        <v>3080101</v>
      </c>
      <c r="E148" s="1">
        <v>80</v>
      </c>
      <c r="F148" s="1" t="str">
        <f t="shared" si="5"/>
        <v>3080101:80</v>
      </c>
      <c r="G148" s="1" t="s">
        <v>1323</v>
      </c>
      <c r="H148" s="2" t="str">
        <f t="shared" si="6"/>
        <v>3080101:80_3080000:1</v>
      </c>
      <c r="J148" s="1" t="s">
        <v>1329</v>
      </c>
      <c r="K148" s="1" t="s">
        <v>1323</v>
      </c>
    </row>
    <row r="149" spans="3:11">
      <c r="C149" s="7" t="s">
        <v>241</v>
      </c>
      <c r="D149" s="1">
        <v>3080101</v>
      </c>
      <c r="E149" s="1">
        <v>140</v>
      </c>
      <c r="F149" s="1" t="str">
        <f t="shared" si="5"/>
        <v>3080101:140</v>
      </c>
      <c r="G149" s="1" t="s">
        <v>1323</v>
      </c>
      <c r="H149" s="2" t="str">
        <f t="shared" si="6"/>
        <v>3080101:140_3080000:1</v>
      </c>
      <c r="J149" s="1" t="s">
        <v>1330</v>
      </c>
      <c r="K149" s="1" t="s">
        <v>1323</v>
      </c>
    </row>
    <row r="150" spans="3:11">
      <c r="C150" s="7" t="s">
        <v>241</v>
      </c>
      <c r="D150" s="1">
        <v>3080101</v>
      </c>
      <c r="E150" s="1">
        <v>190</v>
      </c>
      <c r="F150" s="1" t="str">
        <f t="shared" si="5"/>
        <v>3080101:190</v>
      </c>
      <c r="G150" s="1" t="s">
        <v>1323</v>
      </c>
      <c r="H150" s="2" t="str">
        <f t="shared" si="6"/>
        <v>3080101:190_3080000:1</v>
      </c>
      <c r="J150" s="1" t="s">
        <v>1331</v>
      </c>
      <c r="K150" s="1" t="s">
        <v>1323</v>
      </c>
    </row>
    <row r="151" spans="3:11">
      <c r="C151" s="7" t="s">
        <v>241</v>
      </c>
      <c r="D151" s="1">
        <v>3080101</v>
      </c>
      <c r="E151" s="1">
        <v>280</v>
      </c>
      <c r="F151" s="1" t="str">
        <f t="shared" si="5"/>
        <v>3080101:280</v>
      </c>
      <c r="G151" s="1" t="s">
        <v>1323</v>
      </c>
      <c r="H151" s="2" t="str">
        <f t="shared" si="6"/>
        <v>3080101:280_3080000:1</v>
      </c>
      <c r="J151" s="1" t="s">
        <v>1332</v>
      </c>
      <c r="K151" s="1" t="s">
        <v>1323</v>
      </c>
    </row>
    <row r="152" spans="3:11">
      <c r="C152" s="7" t="s">
        <v>241</v>
      </c>
      <c r="D152" s="1">
        <v>3080101</v>
      </c>
      <c r="E152" s="1">
        <v>410</v>
      </c>
      <c r="F152" s="1" t="str">
        <f t="shared" si="5"/>
        <v>3080101:410</v>
      </c>
      <c r="G152" s="1" t="s">
        <v>1323</v>
      </c>
      <c r="H152" s="2" t="str">
        <f t="shared" si="6"/>
        <v>3080101:410_3080000:1</v>
      </c>
      <c r="J152" s="1" t="s">
        <v>1333</v>
      </c>
      <c r="K152" s="1" t="s">
        <v>1323</v>
      </c>
    </row>
    <row r="153" spans="3:10">
      <c r="C153" s="1" t="s">
        <v>241</v>
      </c>
      <c r="D153" s="1">
        <v>3080102</v>
      </c>
      <c r="E153" s="1">
        <v>3000</v>
      </c>
      <c r="F153" s="1" t="str">
        <f t="shared" si="5"/>
        <v>3080102:3000</v>
      </c>
      <c r="H153" s="2" t="str">
        <f t="shared" si="6"/>
        <v>3080102:3000</v>
      </c>
      <c r="J153" s="1" t="s">
        <v>1334</v>
      </c>
    </row>
    <row r="154" spans="3:10">
      <c r="C154" s="1" t="s">
        <v>241</v>
      </c>
      <c r="D154" s="1">
        <v>3080102</v>
      </c>
      <c r="E154" s="1">
        <v>5000</v>
      </c>
      <c r="F154" s="1" t="str">
        <f t="shared" si="5"/>
        <v>3080102:5000</v>
      </c>
      <c r="H154" s="2" t="str">
        <f t="shared" si="6"/>
        <v>3080102:5000</v>
      </c>
      <c r="J154" s="1" t="s">
        <v>1335</v>
      </c>
    </row>
    <row r="155" spans="3:10">
      <c r="C155" s="1" t="s">
        <v>241</v>
      </c>
      <c r="D155" s="1">
        <v>3080102</v>
      </c>
      <c r="E155" s="1">
        <v>7000</v>
      </c>
      <c r="F155" s="1" t="str">
        <f t="shared" si="5"/>
        <v>3080102:7000</v>
      </c>
      <c r="H155" s="2" t="str">
        <f t="shared" si="6"/>
        <v>3080102:7000</v>
      </c>
      <c r="J155" s="1" t="s">
        <v>1336</v>
      </c>
    </row>
    <row r="156" spans="3:10">
      <c r="C156" s="1" t="s">
        <v>241</v>
      </c>
      <c r="D156" s="1">
        <v>3080102</v>
      </c>
      <c r="E156" s="1">
        <v>10000</v>
      </c>
      <c r="F156" s="1" t="str">
        <f t="shared" si="5"/>
        <v>3080102:10000</v>
      </c>
      <c r="H156" s="2" t="str">
        <f t="shared" si="6"/>
        <v>3080102:10000</v>
      </c>
      <c r="J156" s="1" t="s">
        <v>1337</v>
      </c>
    </row>
    <row r="157" spans="3:10">
      <c r="C157" s="1" t="s">
        <v>241</v>
      </c>
      <c r="D157" s="1">
        <v>3080102</v>
      </c>
      <c r="E157" s="1">
        <v>15000</v>
      </c>
      <c r="F157" s="1" t="str">
        <f t="shared" si="5"/>
        <v>3080102:15000</v>
      </c>
      <c r="H157" s="2" t="str">
        <f t="shared" si="6"/>
        <v>3080102:15000</v>
      </c>
      <c r="J157" s="1" t="s">
        <v>1338</v>
      </c>
    </row>
    <row r="158" spans="3:10">
      <c r="C158" s="1" t="s">
        <v>252</v>
      </c>
      <c r="D158" s="1">
        <v>3080301</v>
      </c>
      <c r="E158" s="1">
        <v>3000</v>
      </c>
      <c r="F158" s="1" t="str">
        <f t="shared" si="5"/>
        <v>3080301:3000</v>
      </c>
      <c r="H158" s="2" t="str">
        <f t="shared" si="6"/>
        <v>3080301:3000</v>
      </c>
      <c r="J158" s="1" t="s">
        <v>1339</v>
      </c>
    </row>
    <row r="159" spans="3:10">
      <c r="C159" s="1" t="s">
        <v>252</v>
      </c>
      <c r="D159" s="1">
        <v>3080301</v>
      </c>
      <c r="E159" s="1">
        <v>5000</v>
      </c>
      <c r="F159" s="1" t="str">
        <f t="shared" si="5"/>
        <v>3080301:5000</v>
      </c>
      <c r="H159" s="2" t="str">
        <f t="shared" si="6"/>
        <v>3080301:5000</v>
      </c>
      <c r="J159" s="1" t="s">
        <v>1340</v>
      </c>
    </row>
    <row r="160" spans="3:10">
      <c r="C160" s="1" t="s">
        <v>252</v>
      </c>
      <c r="D160" s="1">
        <v>3080301</v>
      </c>
      <c r="E160" s="1">
        <v>7000</v>
      </c>
      <c r="F160" s="1" t="str">
        <f t="shared" si="5"/>
        <v>3080301:7000</v>
      </c>
      <c r="H160" s="2" t="str">
        <f t="shared" si="6"/>
        <v>3080301:7000</v>
      </c>
      <c r="J160" s="1" t="s">
        <v>1341</v>
      </c>
    </row>
    <row r="161" spans="3:10">
      <c r="C161" s="1" t="s">
        <v>252</v>
      </c>
      <c r="D161" s="1">
        <v>3080301</v>
      </c>
      <c r="E161" s="1">
        <v>10000</v>
      </c>
      <c r="F161" s="1" t="str">
        <f t="shared" si="5"/>
        <v>3080301:10000</v>
      </c>
      <c r="H161" s="2" t="str">
        <f t="shared" si="6"/>
        <v>3080301:10000</v>
      </c>
      <c r="J161" s="1" t="s">
        <v>1342</v>
      </c>
    </row>
    <row r="162" spans="3:10">
      <c r="C162" s="1" t="s">
        <v>252</v>
      </c>
      <c r="D162" s="1">
        <v>3080301</v>
      </c>
      <c r="E162" s="1">
        <v>15000</v>
      </c>
      <c r="F162" s="1" t="str">
        <f t="shared" si="5"/>
        <v>3080301:15000</v>
      </c>
      <c r="H162" s="2" t="str">
        <f t="shared" si="6"/>
        <v>3080301:15000</v>
      </c>
      <c r="J162" s="1" t="s">
        <v>1343</v>
      </c>
    </row>
    <row r="163" spans="3:11">
      <c r="C163" s="8" t="s">
        <v>1152</v>
      </c>
      <c r="D163" s="1">
        <v>3080501</v>
      </c>
      <c r="E163" s="1">
        <v>80</v>
      </c>
      <c r="F163" s="1" t="str">
        <f t="shared" si="5"/>
        <v>3080501:80</v>
      </c>
      <c r="G163" s="1" t="s">
        <v>1323</v>
      </c>
      <c r="H163" s="2" t="str">
        <f t="shared" si="6"/>
        <v>3080501:80_3080000:1</v>
      </c>
      <c r="J163" s="1" t="s">
        <v>1344</v>
      </c>
      <c r="K163" s="1" t="s">
        <v>1323</v>
      </c>
    </row>
    <row r="164" spans="3:11">
      <c r="C164" s="8" t="s">
        <v>1152</v>
      </c>
      <c r="D164" s="1">
        <v>3080501</v>
      </c>
      <c r="E164" s="1">
        <v>140</v>
      </c>
      <c r="F164" s="1" t="str">
        <f t="shared" si="5"/>
        <v>3080501:140</v>
      </c>
      <c r="G164" s="1" t="s">
        <v>1323</v>
      </c>
      <c r="H164" s="2" t="str">
        <f t="shared" si="6"/>
        <v>3080501:140_3080000:1</v>
      </c>
      <c r="J164" s="1" t="s">
        <v>1345</v>
      </c>
      <c r="K164" s="1" t="s">
        <v>1323</v>
      </c>
    </row>
    <row r="165" spans="3:11">
      <c r="C165" s="8" t="s">
        <v>1152</v>
      </c>
      <c r="D165" s="1">
        <v>3080501</v>
      </c>
      <c r="E165" s="1">
        <v>190</v>
      </c>
      <c r="F165" s="1" t="str">
        <f t="shared" si="5"/>
        <v>3080501:190</v>
      </c>
      <c r="G165" s="1" t="s">
        <v>1323</v>
      </c>
      <c r="H165" s="2" t="str">
        <f t="shared" si="6"/>
        <v>3080501:190_3080000:1</v>
      </c>
      <c r="J165" s="1" t="s">
        <v>1346</v>
      </c>
      <c r="K165" s="1" t="s">
        <v>1323</v>
      </c>
    </row>
    <row r="166" spans="3:11">
      <c r="C166" s="8" t="s">
        <v>1152</v>
      </c>
      <c r="D166" s="1">
        <v>3080501</v>
      </c>
      <c r="E166" s="1">
        <v>280</v>
      </c>
      <c r="F166" s="1" t="str">
        <f t="shared" si="5"/>
        <v>3080501:280</v>
      </c>
      <c r="G166" s="1" t="s">
        <v>1323</v>
      </c>
      <c r="H166" s="2" t="str">
        <f t="shared" si="6"/>
        <v>3080501:280_3080000:1</v>
      </c>
      <c r="J166" s="1" t="s">
        <v>1347</v>
      </c>
      <c r="K166" s="1" t="s">
        <v>1323</v>
      </c>
    </row>
    <row r="167" spans="3:11">
      <c r="C167" s="8" t="s">
        <v>1152</v>
      </c>
      <c r="D167" s="1">
        <v>3080501</v>
      </c>
      <c r="E167" s="1">
        <v>410</v>
      </c>
      <c r="F167" s="1" t="str">
        <f t="shared" si="5"/>
        <v>3080501:410</v>
      </c>
      <c r="G167" s="1" t="s">
        <v>1323</v>
      </c>
      <c r="H167" s="2" t="str">
        <f t="shared" si="6"/>
        <v>3080501:410_3080000:1</v>
      </c>
      <c r="J167" s="1" t="s">
        <v>1348</v>
      </c>
      <c r="K167" s="1" t="s">
        <v>1323</v>
      </c>
    </row>
    <row r="168" spans="3:3">
      <c r="C168" s="1" t="s">
        <v>445</v>
      </c>
    </row>
    <row r="169" spans="3:3">
      <c r="C169" s="1" t="s">
        <v>448</v>
      </c>
    </row>
    <row r="170" spans="3:3">
      <c r="C170" s="1" t="s">
        <v>1349</v>
      </c>
    </row>
    <row r="171" spans="3:3">
      <c r="C171" s="1" t="s">
        <v>454</v>
      </c>
    </row>
    <row r="172" spans="3:3">
      <c r="C172" s="1" t="s">
        <v>457</v>
      </c>
    </row>
    <row r="173" spans="3:3">
      <c r="C173" s="1" t="s">
        <v>460</v>
      </c>
    </row>
    <row r="174" spans="3:3">
      <c r="C174" s="1" t="s">
        <v>463</v>
      </c>
    </row>
    <row r="175" spans="3:3">
      <c r="C175" s="1" t="s">
        <v>466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maze_energy_affix_v8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神の尸姬＆</cp:lastModifiedBy>
  <dcterms:created xsi:type="dcterms:W3CDTF">2015-06-05T18:19:00Z</dcterms:created>
  <dcterms:modified xsi:type="dcterms:W3CDTF">2025-08-20T07:39:22Z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7ADCE1DDD9614FD89C9F9E753203775E_12</vt:lpwstr>
  </property>
  <property fmtid="{D5CDD505-2E9C-101B-9397-08002B2CF9AE}" pid="3" name="KSOProductBuildVer">
    <vt:lpwstr>2052-12.1.0.22529</vt:lpwstr>
  </property>
</Properties>
</file>