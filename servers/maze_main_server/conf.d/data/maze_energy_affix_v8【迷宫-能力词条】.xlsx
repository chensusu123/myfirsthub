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ThisWorkbook"/>
  <mc:AlternateContent xmlns:mc="http://schemas.openxmlformats.org/markup-compatibility/2006">
    <mc:Choice Requires="x15">
      <x15ac:absPath xmlns:x15ac="http://schemas.microsoft.com/office/spreadsheetml/2010/11/ac" url="D:\派派世界2.0\02策划方案\06表格\4.0版本-迷宫独立表\"/>
    </mc:Choice>
  </mc:AlternateContent>
  <xr:revisionPtr revIDLastSave="0" documentId="13_ncr:1_{AB7F6C87-C37E-4DFA-ABC1-308B7B4609E7}" xr6:coauthVersionLast="47" xr6:coauthVersionMax="47" xr10:uidLastSave="{00000000-0000-0000-0000-000000000000}"/>
  <bookViews>
    <workbookView xWindow="-120" yWindow="-120" windowWidth="29040" windowHeight="15840" xr2:uid="{00000000-000D-0000-FFFF-FFFF00000000}"/>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67" i="3" l="1"/>
  <c r="F167" i="3"/>
  <c r="H166" i="3"/>
  <c r="F166" i="3"/>
  <c r="H165" i="3"/>
  <c r="F165" i="3"/>
  <c r="H164" i="3"/>
  <c r="F164" i="3"/>
  <c r="H163" i="3"/>
  <c r="F163" i="3"/>
  <c r="H162" i="3"/>
  <c r="F162" i="3"/>
  <c r="H161" i="3"/>
  <c r="F161" i="3"/>
  <c r="H160" i="3"/>
  <c r="F160" i="3"/>
  <c r="H159" i="3"/>
  <c r="F159" i="3"/>
  <c r="H158" i="3"/>
  <c r="F158" i="3"/>
  <c r="H157" i="3"/>
  <c r="F157" i="3"/>
  <c r="H156" i="3"/>
  <c r="F156" i="3"/>
  <c r="H155" i="3"/>
  <c r="F155" i="3"/>
  <c r="H154" i="3"/>
  <c r="F154" i="3"/>
  <c r="H153" i="3"/>
  <c r="F153" i="3"/>
  <c r="H152" i="3"/>
  <c r="F152" i="3"/>
  <c r="H151" i="3"/>
  <c r="F151" i="3"/>
  <c r="H150" i="3"/>
  <c r="F150" i="3"/>
  <c r="H149" i="3"/>
  <c r="F149" i="3"/>
  <c r="H148" i="3"/>
  <c r="F148" i="3"/>
  <c r="H147" i="3"/>
  <c r="F147" i="3"/>
  <c r="H146" i="3"/>
  <c r="F146" i="3"/>
  <c r="H145" i="3"/>
  <c r="F145" i="3"/>
  <c r="H144" i="3"/>
  <c r="F144" i="3"/>
  <c r="H143" i="3"/>
  <c r="F143" i="3"/>
  <c r="H142" i="3"/>
  <c r="F142" i="3"/>
  <c r="H141" i="3"/>
  <c r="F141" i="3"/>
  <c r="H140" i="3"/>
  <c r="F140" i="3"/>
  <c r="H139" i="3"/>
  <c r="F139" i="3"/>
  <c r="H138" i="3"/>
  <c r="F138" i="3"/>
  <c r="H137" i="3"/>
  <c r="F137" i="3"/>
  <c r="H136" i="3"/>
  <c r="F136" i="3"/>
  <c r="H135" i="3"/>
  <c r="F135" i="3"/>
  <c r="H134" i="3"/>
  <c r="F134" i="3"/>
  <c r="H133" i="3"/>
  <c r="F133" i="3"/>
  <c r="H132" i="3"/>
  <c r="F132" i="3"/>
  <c r="H131" i="3"/>
  <c r="F131" i="3"/>
  <c r="H130" i="3"/>
  <c r="F130" i="3"/>
  <c r="H129" i="3"/>
  <c r="F129" i="3"/>
  <c r="H128" i="3"/>
  <c r="F128" i="3"/>
  <c r="H127" i="3"/>
  <c r="F127" i="3"/>
  <c r="H126" i="3"/>
  <c r="F126" i="3"/>
  <c r="H125" i="3"/>
  <c r="F125" i="3"/>
  <c r="H124" i="3"/>
  <c r="F124" i="3"/>
  <c r="H123" i="3"/>
  <c r="F123" i="3"/>
  <c r="H122" i="3"/>
  <c r="F122" i="3"/>
  <c r="H121" i="3"/>
  <c r="F121" i="3"/>
  <c r="H120" i="3"/>
  <c r="F120" i="3"/>
  <c r="H119" i="3"/>
  <c r="F119" i="3"/>
  <c r="H118" i="3"/>
  <c r="F118" i="3"/>
  <c r="H117" i="3"/>
  <c r="F117" i="3"/>
  <c r="H116" i="3"/>
  <c r="F116" i="3"/>
  <c r="H115" i="3"/>
  <c r="F115" i="3"/>
  <c r="H114" i="3"/>
  <c r="F114" i="3"/>
  <c r="H113" i="3"/>
  <c r="F113" i="3"/>
  <c r="H112" i="3"/>
  <c r="F112" i="3"/>
  <c r="H111" i="3"/>
  <c r="F111" i="3"/>
  <c r="H110" i="3"/>
  <c r="F110" i="3"/>
  <c r="H109" i="3"/>
  <c r="F109" i="3"/>
  <c r="H108" i="3"/>
  <c r="F108" i="3"/>
  <c r="H107" i="3"/>
  <c r="F107" i="3"/>
  <c r="H106" i="3"/>
  <c r="F106" i="3"/>
  <c r="H105" i="3"/>
  <c r="F105" i="3"/>
  <c r="H104" i="3"/>
  <c r="F104" i="3"/>
  <c r="H103" i="3"/>
  <c r="F103" i="3"/>
  <c r="H102" i="3"/>
  <c r="F102" i="3"/>
  <c r="H101" i="3"/>
  <c r="F101" i="3"/>
  <c r="H100" i="3"/>
  <c r="F100" i="3"/>
  <c r="H99" i="3"/>
  <c r="F99" i="3"/>
  <c r="H98" i="3"/>
  <c r="F98" i="3"/>
  <c r="H97" i="3"/>
  <c r="F97" i="3"/>
  <c r="H96" i="3"/>
  <c r="F96" i="3"/>
  <c r="H95" i="3"/>
  <c r="F95" i="3"/>
  <c r="H94" i="3"/>
  <c r="F94" i="3"/>
  <c r="H93" i="3"/>
  <c r="F93" i="3"/>
  <c r="H92" i="3"/>
  <c r="F92" i="3"/>
  <c r="H91" i="3"/>
  <c r="F91" i="3"/>
  <c r="H90" i="3"/>
  <c r="F90" i="3"/>
  <c r="H89" i="3"/>
  <c r="F89" i="3"/>
  <c r="H88" i="3"/>
  <c r="F88" i="3"/>
  <c r="H87" i="3"/>
  <c r="F87" i="3"/>
  <c r="H86" i="3"/>
  <c r="F86" i="3"/>
  <c r="H85" i="3"/>
  <c r="F85" i="3"/>
  <c r="H84" i="3"/>
  <c r="F84" i="3"/>
  <c r="H83" i="3"/>
  <c r="F83" i="3"/>
  <c r="H82" i="3"/>
  <c r="F82" i="3"/>
  <c r="H81" i="3"/>
  <c r="F81" i="3"/>
  <c r="H80" i="3"/>
  <c r="F80" i="3"/>
  <c r="H79" i="3"/>
  <c r="F79" i="3"/>
  <c r="H78" i="3"/>
  <c r="F78" i="3"/>
  <c r="H77" i="3"/>
  <c r="F77" i="3"/>
  <c r="H76" i="3"/>
  <c r="F76" i="3"/>
  <c r="H75" i="3"/>
  <c r="F75" i="3"/>
  <c r="H74" i="3"/>
  <c r="F74" i="3"/>
  <c r="H73" i="3"/>
  <c r="F73" i="3"/>
  <c r="H72" i="3"/>
  <c r="F72" i="3"/>
  <c r="H71" i="3"/>
  <c r="F71" i="3"/>
  <c r="H70" i="3"/>
  <c r="F70" i="3"/>
  <c r="H69" i="3"/>
  <c r="F69" i="3"/>
  <c r="H68" i="3"/>
  <c r="F68" i="3"/>
  <c r="H67" i="3"/>
  <c r="F67" i="3"/>
  <c r="H66" i="3"/>
  <c r="F66" i="3"/>
  <c r="H65" i="3"/>
  <c r="F65" i="3"/>
  <c r="H64" i="3"/>
  <c r="F64" i="3"/>
  <c r="H63" i="3"/>
  <c r="F63" i="3"/>
  <c r="H62" i="3"/>
  <c r="F62" i="3"/>
  <c r="H61" i="3"/>
  <c r="F61" i="3"/>
  <c r="H60" i="3"/>
  <c r="F60" i="3"/>
  <c r="H59" i="3"/>
  <c r="F59" i="3"/>
  <c r="H58" i="3"/>
  <c r="F58" i="3"/>
  <c r="H57" i="3"/>
  <c r="F57" i="3"/>
  <c r="H56" i="3"/>
  <c r="F56" i="3"/>
  <c r="H55" i="3"/>
  <c r="F55" i="3"/>
  <c r="H54" i="3"/>
  <c r="F54" i="3"/>
  <c r="H53" i="3"/>
  <c r="F53" i="3"/>
  <c r="H52" i="3"/>
  <c r="F52" i="3"/>
  <c r="H51" i="3"/>
  <c r="F51" i="3"/>
  <c r="H50" i="3"/>
  <c r="F50" i="3"/>
  <c r="H49" i="3"/>
  <c r="F49" i="3"/>
  <c r="H48" i="3"/>
  <c r="F48" i="3"/>
  <c r="H47" i="3"/>
  <c r="F47" i="3"/>
  <c r="H46" i="3"/>
  <c r="F46" i="3"/>
  <c r="H45" i="3"/>
  <c r="F45" i="3"/>
  <c r="H44" i="3"/>
  <c r="F44" i="3"/>
  <c r="H43" i="3"/>
  <c r="F43" i="3"/>
  <c r="H42" i="3"/>
  <c r="F42" i="3"/>
  <c r="H41" i="3"/>
  <c r="F41" i="3"/>
  <c r="H40" i="3"/>
  <c r="F40" i="3"/>
  <c r="H39" i="3"/>
  <c r="F39" i="3"/>
  <c r="H38" i="3"/>
  <c r="F38" i="3"/>
  <c r="H37" i="3"/>
  <c r="F37" i="3"/>
  <c r="H36" i="3"/>
  <c r="F36" i="3"/>
  <c r="H35" i="3"/>
  <c r="F35" i="3"/>
  <c r="H34" i="3"/>
  <c r="F34" i="3"/>
  <c r="H33" i="3"/>
  <c r="F33" i="3"/>
  <c r="H32" i="3"/>
  <c r="F32" i="3"/>
  <c r="H31" i="3"/>
  <c r="F31" i="3"/>
  <c r="H30" i="3"/>
  <c r="F30" i="3"/>
  <c r="H29" i="3"/>
  <c r="F29" i="3"/>
  <c r="H28" i="3"/>
  <c r="F28" i="3"/>
  <c r="H27" i="3"/>
  <c r="F27" i="3"/>
  <c r="H26" i="3"/>
  <c r="F26" i="3"/>
  <c r="H25" i="3"/>
  <c r="F25" i="3"/>
  <c r="P24" i="3"/>
  <c r="H24" i="3"/>
  <c r="F24" i="3"/>
  <c r="H23" i="3"/>
  <c r="F23" i="3"/>
  <c r="N22" i="3"/>
  <c r="H22" i="3"/>
  <c r="F22" i="3"/>
  <c r="P21" i="3"/>
  <c r="H21" i="3"/>
  <c r="F21" i="3"/>
  <c r="P20" i="3"/>
  <c r="H20" i="3"/>
  <c r="F20" i="3"/>
  <c r="P19" i="3"/>
  <c r="H19" i="3"/>
  <c r="F19" i="3"/>
  <c r="H18" i="3"/>
  <c r="F18" i="3"/>
  <c r="P17" i="3"/>
  <c r="H17" i="3"/>
  <c r="F17" i="3"/>
  <c r="P16" i="3"/>
  <c r="H16" i="3"/>
  <c r="F16" i="3"/>
  <c r="H15" i="3"/>
  <c r="F15" i="3"/>
  <c r="H14" i="3"/>
  <c r="F14" i="3"/>
  <c r="H13" i="3"/>
  <c r="F13" i="3"/>
  <c r="H12" i="3"/>
  <c r="F12" i="3"/>
  <c r="H11" i="3"/>
  <c r="F11" i="3"/>
  <c r="A11" i="3"/>
  <c r="H10" i="3"/>
  <c r="F10" i="3"/>
  <c r="A10" i="3"/>
  <c r="H9" i="3"/>
  <c r="F9" i="3"/>
  <c r="A9" i="3"/>
  <c r="H8" i="3"/>
  <c r="F8" i="3"/>
  <c r="A8" i="3"/>
  <c r="H7" i="3"/>
  <c r="F7" i="3"/>
  <c r="A7" i="3"/>
  <c r="H6" i="3"/>
  <c r="F6" i="3"/>
  <c r="A6" i="3"/>
  <c r="H5" i="3"/>
  <c r="F5" i="3"/>
  <c r="A5" i="3"/>
  <c r="H4" i="3"/>
  <c r="F4" i="3"/>
  <c r="A4" i="3"/>
  <c r="H3" i="3"/>
  <c r="F3" i="3"/>
  <c r="E2" i="3"/>
</calcChain>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<sst xmlns="http://schemas.openxmlformats.org/spreadsheetml/2006/main" count="2737" uniqueCount="1361">
  <si>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</si>
  <si>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</si>
  <si>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</si>
  <si>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</si>
  <si>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</si>
  <si>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</si>
  <si>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</si>
  <si>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</si>
  <si>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</si>
  <si>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</si>
  <si>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</si>
  <si>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</si>
  <si>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</si>
  <si>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</si>
  <si>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</si>
  <si>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</si>
  <si>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</si>
  <si>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</si>
  <si>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</si>
  <si>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</si>
  <si>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</si>
  <si>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</si>
  <si>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</si>
  <si>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</si>
  <si>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</si>
  <si>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</si>
  <si>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</si>
  <si>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</si>
  <si>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</si>
  <si>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</si>
  <si>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</si>
  <si>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</si>
  <si>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</si>
  <si>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</si>
  <si>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</si>
  <si>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</si>
  <si>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</si>
  <si>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</si>
  <si>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</si>
  <si>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</si>
  <si>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</si>
  <si>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</si>
  <si>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</si>
  <si>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</si>
  <si>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</si>
  <si>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</si>
  <si>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</si>
  <si>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</si>
  <si>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</si>
  <si>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</si>
  <si>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</si>
  <si>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</si>
  <si>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</si>
  <si>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</si>
  <si>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</si>
  <si>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</si>
  <si>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</si>
  <si>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</si>
  <si>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</si>
  <si>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</si>
  <si>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</si>
  <si>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</si>
  <si>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</si>
  <si>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</si>
  <si>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</si>
  <si>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</si>
  <si>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</si>
  <si>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</si>
  <si>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</si>
  <si>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</si>
  <si>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</si>
  <si>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</si>
  <si>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</si>
  <si>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</si>
  <si>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</si>
  <si>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</si>
  <si>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</si>
  <si>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</si>
  <si>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</si>
  <si>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</si>
  <si>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</si>
  <si>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</si>
  <si>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</si>
  <si>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</si>
  <si>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</si>
  <si>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</si>
  <si>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</si>
  <si>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</si>
  <si>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</si>
  <si>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</si>
  <si>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</si>
  <si>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</si>
  <si>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</si>
  <si>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</si>
  <si>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</si>
  <si>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</si>
  <si>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</si>
  <si>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</si>
  <si>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</si>
  <si>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</si>
  <si>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</si>
  <si>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</si>
  <si>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</si>
  <si>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</si>
  <si>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</si>
  <si>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</si>
  <si>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</si>
  <si>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</si>
  <si>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</si>
  <si>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</si>
  <si>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</si>
  <si>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</si>
  <si>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</si>
  <si>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</si>
  <si>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</si>
  <si>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</si>
  <si>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</si>
  <si>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</si>
  <si>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</si>
  <si>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</si>
  <si>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</si>
  <si>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</si>
  <si>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</si>
  <si>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</si>
  <si>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</si>
  <si>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</si>
  <si>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</si>
  <si>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</si>
  <si>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</si>
  <si>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</si>
  <si>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</si>
  <si>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</si>
  <si>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</si>
  <si>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</si>
  <si>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</si>
  <si>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</si>
  <si>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</si>
  <si>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</si>
  <si>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</si>
  <si>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</si>
  <si>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</si>
  <si>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</si>
  <si>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</si>
  <si>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</si>
  <si>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</si>
  <si>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</si>
  <si>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</si>
  <si>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</si>
  <si>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</si>
  <si>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</si>
  <si>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</si>
  <si>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</si>
  <si>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</si>
  <si>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</si>
  <si>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</si>
  <si>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</si>
  <si>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</si>
  <si>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</si>
  <si>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</si>
  <si>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</si>
  <si>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</si>
  <si>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</si>
  <si>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</si>
  <si>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</si>
  <si>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</si>
  <si>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</si>
  <si>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</si>
  <si>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</si>
  <si>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</si>
  <si>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</si>
  <si>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</si>
  <si>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</si>
  <si>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</si>
  <si>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</si>
  <si>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</si>
  <si>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</si>
  <si>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</si>
  <si>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</si>
  <si>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</si>
  <si>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</si>
  <si>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</si>
  <si>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</si>
  <si>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</si>
  <si>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</si>
  <si>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</si>
  <si>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</si>
  <si>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</si>
  <si>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</si>
  <si>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</si>
  <si>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</si>
  <si>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</si>
  <si>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</si>
  <si>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</si>
  <si>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</si>
  <si>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</si>
  <si>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</si>
  <si>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</si>
  <si>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</si>
  <si>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</si>
  <si>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</si>
  <si>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</si>
  <si>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</si>
  <si>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</si>
  <si>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</si>
  <si>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</si>
  <si>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</si>
  <si>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</si>
  <si>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</si>
  <si>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</si>
  <si>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</si>
  <si>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</si>
  <si>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</si>
  <si>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</si>
  <si>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</si>
  <si>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</si>
  <si>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</si>
  <si>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</si>
  <si>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</si>
  <si>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</si>
  <si>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</si>
  <si>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</si>
  <si>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</si>
  <si>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</si>
  <si>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</si>
  <si>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</si>
  <si>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</si>
  <si>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</si>
  <si>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</si>
  <si>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</si>
  <si>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</si>
  <si>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</si>
  <si>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</si>
  <si>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</si>
  <si>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</si>
  <si>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</si>
  <si>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</si>
  <si>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</si>
  <si>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</si>
  <si>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</si>
  <si>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</si>
  <si>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</si>
  <si>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</si>
  <si>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</si>
  <si>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</si>
  <si>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</si>
  <si>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</si>
  <si>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</si>
  <si>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</si>
  <si>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</si>
  <si>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</si>
  <si>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</si>
  <si>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</si>
  <si>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</si>
  <si>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</si>
  <si>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</si>
  <si>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</si>
  <si>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</si>
  <si>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</si>
  <si>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</si>
  <si>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</si>
  <si>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</si>
  <si>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</si>
  <si>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</si>
  <si>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</si>
  <si>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</si>
  <si>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</si>
  <si>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</si>
  <si>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</si>
  <si>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</si>
  <si>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</si>
  <si>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</si>
  <si>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</si>
  <si>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</si>
  <si>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</si>
  <si>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</si>
  <si>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</si>
  <si>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</si>
  <si>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</si>
  <si>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</si>
  <si>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</si>
  <si>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</si>
  <si>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</si>
  <si>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</si>
  <si>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</si>
  <si>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</si>
  <si>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</si>
  <si>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</si>
  <si>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</si>
  <si>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</si>
  <si>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</si>
  <si>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</si>
  <si>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</si>
  <si>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</si>
  <si>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</si>
  <si>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</si>
  <si>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</si>
  <si>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</si>
  <si>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</si>
  <si>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</si>
  <si>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</si>
  <si>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</si>
  <si>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</si>
  <si>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</si>
  <si>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</si>
  <si>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</si>
  <si>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</si>
  <si>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</si>
  <si>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</si>
  <si>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</si>
  <si>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</si>
  <si>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</si>
  <si>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</si>
  <si>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</si>
  <si>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</si>
  <si>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</si>
  <si>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</si>
  <si>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</si>
  <si>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</si>
  <si>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</si>
  <si>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</si>
  <si>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</si>
  <si>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</si>
  <si>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</si>
  <si>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</si>
  <si>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</si>
  <si>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</si>
  <si>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</si>
  <si>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</si>
  <si>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</si>
  <si>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</si>
  <si>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</si>
  <si>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</si>
  <si>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</si>
  <si>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</si>
  <si>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</si>
  <si>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</si>
  <si>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</si>
  <si>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</si>
  <si>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</si>
  <si>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</si>
  <si>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</si>
  <si>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</si>
  <si>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</si>
  <si>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</si>
  <si>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</si>
  <si>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</si>
  <si>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</si>
  <si>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</si>
  <si>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</si>
  <si>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</si>
  <si>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</si>
  <si>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</si>
  <si>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</si>
  <si>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</si>
  <si>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</si>
  <si>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</si>
  <si>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</si>
  <si>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</si>
  <si>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</si>
  <si>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</si>
  <si>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</si>
  <si>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</si>
  <si>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</si>
  <si>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</si>
  <si>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</si>
  <si>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</si>
  <si>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</si>
  <si>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</si>
  <si>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</si>
  <si>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</si>
  <si>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</si>
  <si>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</si>
  <si>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</si>
  <si>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</si>
  <si>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</si>
  <si>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</si>
  <si>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</si>
  <si>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</si>
  <si>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</si>
  <si>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</si>
  <si>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</si>
  <si>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</si>
  <si>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</si>
  <si>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</si>
  <si>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</si>
  <si>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</si>
  <si>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</si>
  <si>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</si>
  <si>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</si>
  <si>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</si>
  <si>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</si>
  <si>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</si>
  <si>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</si>
  <si>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</si>
  <si>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</si>
  <si>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</si>
  <si>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</si>
  <si>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</si>
  <si>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</si>
  <si>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</si>
  <si>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</si>
  <si>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</si>
  <si>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</si>
  <si>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</si>
  <si>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</si>
  <si>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</si>
  <si>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</si>
  <si>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</si>
  <si>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</si>
  <si>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</si>
  <si>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</si>
  <si>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</si>
  <si>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</si>
  <si>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</si>
  <si>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</si>
  <si>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</si>
  <si>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</si>
  <si>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</si>
  <si>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</si>
  <si>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</si>
  <si>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</si>
  <si>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</si>
  <si>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</si>
  <si>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</si>
  <si>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</si>
  <si>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</si>
  <si>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</si>
  <si>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</si>
  <si>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</si>
  <si>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</si>
  <si>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</si>
  <si>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</si>
  <si>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</si>
  <si>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</si>
  <si>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</si>
  <si>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</si>
  <si>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</si>
  <si>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</si>
  <si>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</si>
  <si>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</si>
  <si>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</si>
  <si>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</si>
  <si>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</si>
  <si>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</si>
  <si>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</si>
  <si>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</si>
  <si>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</si>
  <si>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</si>
  <si>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</si>
  <si>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</si>
  <si>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</si>
  <si>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</si>
  <si>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</si>
  <si>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</si>
  <si>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</si>
  <si>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</si>
  <si>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</si>
  <si>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</si>
  <si>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</si>
  <si>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</si>
  <si>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</si>
  <si>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</si>
  <si>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</si>
  <si>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</si>
  <si>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</si>
  <si>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</si>
  <si>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</si>
  <si>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</si>
  <si>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</si>
  <si>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</si>
  <si>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</si>
  <si>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</si>
  <si>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</si>
  <si>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</si>
  <si>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</si>
  <si>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</si>
  <si>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</si>
  <si>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</si>
  <si>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</si>
  <si>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</si>
  <si>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</si>
  <si>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</si>
  <si>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</si>
  <si>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</si>
  <si>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</si>
  <si>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</si>
  <si>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</si>
  <si>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</si>
  <si>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</si>
  <si>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</si>
  <si>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</si>
  <si>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</si>
  <si>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</si>
  <si>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</si>
  <si>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</si>
  <si>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</si>
  <si>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</si>
  <si>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</si>
  <si>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</si>
  <si>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</si>
  <si>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</si>
  <si>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</si>
  <si>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</si>
  <si>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</si>
  <si>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</si>
  <si>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</si>
  <si>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</si>
  <si>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</si>
  <si>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</si>
  <si>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</si>
  <si>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</si>
  <si>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</si>
  <si>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</si>
  <si>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</si>
  <si>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</si>
  <si>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</si>
  <si>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</si>
  <si>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</si>
  <si>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</si>
  <si>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</si>
  <si>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</si>
  <si>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</si>
  <si>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</si>
  <si>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</si>
  <si>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</si>
  <si>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</si>
  <si>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</si>
  <si>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</si>
  <si>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</si>
  <si>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</si>
  <si>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</si>
  <si>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</si>
  <si>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</si>
  <si>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</si>
  <si>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</si>
  <si>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</si>
  <si>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</si>
  <si>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</si>
  <si>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</si>
  <si>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</si>
  <si>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</si>
  <si>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</si>
  <si>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</si>
  <si>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</si>
  <si>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</si>
  <si>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</si>
  <si>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</si>
  <si>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</si>
  <si>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</si>
  <si>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</si>
  <si>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</si>
  <si>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</si>
  <si>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</si>
  <si>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</si>
  <si>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</si>
  <si>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</si>
  <si>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</si>
  <si>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</si>
  <si>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</si>
  <si>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</si>
  <si>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</si>
  <si>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</si>
  <si>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</si>
  <si>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</si>
  <si>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</si>
  <si>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</si>
  <si>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</si>
  <si>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</si>
  <si>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</si>
  <si>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</si>
  <si>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</si>
  <si>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</si>
  <si>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</si>
  <si>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</si>
  <si>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</si>
  <si>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</si>
  <si>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</si>
  <si>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</si>
  <si>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</si>
  <si>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</si>
  <si>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</si>
  <si>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</si>
  <si>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</si>
  <si>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</si>
  <si>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</si>
  <si>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</si>
  <si>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</si>
  <si>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</si>
  <si>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</si>
  <si>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</si>
  <si>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</si>
  <si>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</si>
  <si>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</si>
  <si>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</si>
  <si>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</si>
  <si>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</si>
  <si>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</si>
  <si>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</si>
  <si>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</si>
  <si>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</si>
  <si>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</si>
  <si>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</si>
  <si>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</si>
  <si>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</si>
  <si>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</si>
  <si>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</si>
  <si>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</si>
  <si>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</si>
  <si>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</si>
  <si>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</si>
  <si>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</si>
  <si>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</si>
  <si>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</si>
  <si>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</si>
  <si>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</si>
  <si>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</si>
  <si>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</si>
  <si>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</si>
  <si>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</si>
  <si>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</si>
  <si>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</si>
  <si>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</si>
  <si>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</si>
  <si>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</si>
  <si>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</si>
  <si>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</si>
  <si>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</si>
  <si>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</si>
  <si>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</si>
  <si>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</si>
  <si>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</si>
  <si>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</si>
  <si>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</si>
  <si>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</si>
  <si>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</si>
  <si>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</si>
  <si>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</si>
  <si>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</si>
  <si>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</si>
  <si>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</si>
  <si>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</si>
  <si>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</si>
  <si>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</si>
  <si>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</si>
  <si>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</si>
  <si>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</si>
  <si>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</si>
  <si>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</si>
  <si>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</si>
  <si>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</si>
  <si>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</si>
  <si>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</si>
  <si>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</si>
  <si>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</si>
  <si>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</si>
  <si>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</si>
  <si>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</si>
  <si>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</si>
  <si>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</si>
  <si>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</si>
  <si>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</si>
  <si>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</si>
  <si>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</si>
  <si>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</si>
  <si>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</si>
  <si>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</si>
  <si>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</si>
  <si>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</si>
  <si>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</si>
  <si>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</si>
  <si>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</si>
  <si>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</si>
  <si>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</si>
  <si>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</si>
  <si>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</si>
  <si>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</si>
  <si>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</si>
  <si>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</si>
  <si>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</si>
  <si>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</si>
  <si>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</si>
  <si>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</si>
  <si>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</si>
  <si>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</si>
  <si>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</si>
  <si>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</si>
  <si>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</si>
  <si>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</si>
  <si>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</si>
  <si>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</si>
  <si>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</si>
  <si>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</si>
  <si>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</si>
  <si>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</si>
  <si>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</si>
  <si>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</si>
  <si>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</si>
  <si>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</si>
  <si>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</si>
  <si>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</si>
  <si>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</si>
  <si>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</si>
  <si>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</si>
  <si>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</si>
  <si>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</si>
  <si>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</si>
  <si>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</si>
  <si>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</si>
  <si>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</si>
  <si>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</si>
  <si>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</si>
  <si>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</si>
  <si>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</si>
  <si>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</si>
  <si>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</si>
  <si>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</si>
  <si>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</si>
  <si>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</si>
  <si>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</si>
  <si>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</si>
  <si>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</si>
  <si>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</si>
  <si>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</si>
  <si>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</si>
  <si>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</si>
  <si>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</si>
  <si>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</si>
  <si>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</si>
  <si>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</si>
  <si>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</si>
  <si>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</si>
  <si>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</si>
  <si>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</si>
  <si>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</si>
  <si>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</si>
  <si>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</si>
  <si>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</si>
  <si>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</si>
  <si>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</si>
  <si>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</si>
  <si>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</si>
  <si>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</si>
  <si>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</si>
  <si>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</si>
  <si>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</si>
  <si>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</si>
  <si>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</si>
  <si>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</si>
  <si>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</si>
  <si>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</si>
  <si>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</si>
  <si>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</si>
  <si>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</si>
  <si>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</si>
  <si>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</si>
  <si>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</si>
  <si>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</si>
  <si>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</si>
  <si>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</si>
  <si>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</si>
  <si>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</si>
  <si>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</si>
  <si>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</si>
  <si>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</si>
  <si>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</si>
  <si>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</si>
  <si>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</si>
  <si>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</si>
  <si>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</si>
  <si>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</si>
  <si>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</si>
  <si>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</si>
  <si>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</si>
  <si>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</si>
  <si>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</si>
  <si>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</si>
  <si>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</si>
  <si>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</si>
  <si>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</si>
  <si>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</si>
  <si>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</si>
  <si>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</si>
  <si>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</si>
  <si>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</si>
  <si>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</si>
  <si>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</si>
  <si>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</si>
  <si>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</si>
  <si>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</si>
  <si>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</si>
  <si>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</si>
  <si>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</si>
  <si>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</si>
  <si>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</si>
  <si>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</si>
  <si>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</si>
  <si>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</si>
  <si>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</si>
  <si>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</si>
  <si>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</si>
  <si>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</si>
  <si>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</si>
  <si>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</si>
  <si>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</si>
  <si>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</si>
  <si>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</si>
  <si>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</si>
  <si>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</si>
  <si>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</si>
  <si>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</si>
  <si>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</si>
  <si>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</si>
  <si>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</si>
  <si>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</si>
  <si>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</si>
  <si>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</si>
  <si>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</si>
  <si>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</si>
  <si>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</si>
  <si>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</si>
  <si>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</si>
  <si>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</si>
  <si>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</si>
  <si>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</si>
  <si>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</si>
  <si>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</si>
  <si>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</si>
  <si>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</si>
  <si>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</si>
  <si>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</si>
  <si>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</si>
  <si>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</si>
  <si>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</si>
  <si>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</si>
  <si>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</si>
  <si>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</si>
  <si>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</si>
  <si>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</si>
  <si>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</si>
  <si>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</si>
  <si>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</si>
  <si>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</si>
  <si>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</si>
  <si>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</si>
  <si>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</si>
  <si>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</si>
  <si>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</si>
  <si>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</si>
  <si>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</si>
  <si>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</si>
  <si>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</si>
  <si>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</si>
  <si>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</si>
  <si>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</si>
  <si>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</si>
  <si>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</si>
  <si>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</si>
  <si>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</si>
  <si>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</si>
  <si>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</si>
  <si>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</si>
  <si>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</si>
  <si>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</si>
  <si>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</si>
  <si>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</si>
  <si>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</si>
  <si>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</si>
  <si>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</si>
  <si>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</si>
  <si>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</si>
  <si>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</si>
  <si>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</si>
  <si>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</si>
  <si>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</si>
  <si>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</si>
  <si>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</si>
  <si>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</si>
  <si>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</si>
  <si>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</si>
  <si>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</si>
  <si>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</si>
  <si>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</si>
  <si>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</si>
  <si>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</si>
  <si>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</si>
  <si>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</si>
  <si>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</si>
  <si>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</si>
  <si>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</si>
  <si>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</si>
  <si>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</si>
  <si>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</si>
  <si>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</si>
  <si>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</si>
  <si>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</si>
  <si>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</si>
  <si>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</si>
  <si>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</si>
  <si>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</si>
  <si>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</si>
  <si>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</si>
  <si>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</si>
  <si>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</si>
  <si>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</si>
  <si>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920051:1_7000314:1_7920051:5000_9920051:5000</t>
  </si>
  <si>
    <t>7000314:1_4920051:800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</si>
  <si>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</si>
  <si>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</si>
  <si>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</si>
  <si>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</si>
  <si>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</si>
  <si>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</si>
  <si>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</si>
  <si>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</si>
  <si>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</si>
  <si>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</si>
  <si>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</si>
  <si>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</si>
  <si>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</si>
  <si>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</si>
  <si>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</si>
  <si>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</si>
  <si>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</si>
  <si>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</si>
  <si>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</si>
  <si>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</si>
  <si>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</si>
  <si>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</si>
  <si>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</si>
  <si>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</si>
  <si>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</si>
  <si>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</si>
  <si>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</si>
  <si>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</si>
  <si>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</si>
  <si>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</si>
  <si>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</si>
  <si>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</si>
  <si>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</si>
  <si>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</si>
  <si>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</si>
  <si>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</si>
  <si>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</si>
  <si>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</si>
  <si>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</si>
  <si>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</si>
  <si>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</si>
  <si>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</si>
  <si>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</si>
  <si>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</si>
  <si>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</si>
  <si>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</si>
  <si>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</si>
  <si>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</si>
  <si>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</si>
  <si>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920084:1_7000311:1_7920084:5000_9920084:5000</t>
  </si>
  <si>
    <t>冰刃强化</t>
  </si>
  <si>
    <t>冰刃附加碎冰效果，对附近敌人造成伤害</t>
  </si>
  <si>
    <t>7000311:1_4920084:800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</si>
  <si>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</si>
  <si>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</si>
  <si>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</si>
  <si>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</si>
  <si>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</si>
  <si>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</si>
  <si>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</si>
  <si>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</si>
  <si>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</si>
  <si>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</si>
  <si>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</si>
  <si>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</si>
  <si>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</si>
  <si>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</si>
  <si>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</si>
  <si>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</si>
  <si>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</si>
  <si>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</si>
  <si>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</si>
  <si>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</si>
  <si>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</si>
  <si>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</si>
  <si>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</si>
  <si>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</si>
  <si>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</si>
  <si>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</si>
  <si>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</si>
  <si>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</si>
  <si>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</si>
  <si>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</si>
  <si>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</si>
  <si>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</si>
  <si>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</si>
  <si>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</si>
  <si>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</si>
  <si>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</si>
  <si>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</si>
  <si>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</si>
  <si>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</si>
  <si>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</si>
  <si>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</si>
  <si>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</si>
  <si>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</si>
  <si>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</si>
  <si>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</si>
  <si>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</si>
  <si>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</si>
  <si>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</si>
  <si>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</si>
  <si>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</si>
  <si>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</si>
  <si>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</si>
  <si>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</si>
  <si>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</si>
  <si>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</si>
  <si>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</si>
  <si>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</si>
  <si>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</si>
  <si>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</si>
  <si>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</si>
  <si>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</si>
  <si>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</si>
  <si>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</si>
  <si>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</si>
  <si>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</si>
  <si>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</si>
  <si>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</si>
  <si>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</si>
  <si>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</si>
  <si>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</si>
  <si>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</si>
  <si>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</si>
  <si>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</si>
  <si>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</si>
  <si>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</si>
  <si>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</si>
  <si>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</si>
  <si>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</si>
  <si>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</si>
  <si>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</si>
  <si>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</si>
  <si>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</si>
  <si>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</si>
  <si>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</si>
  <si>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</si>
  <si>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</si>
  <si>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</si>
  <si>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</si>
  <si>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</si>
  <si>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</si>
  <si>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</si>
  <si>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</si>
  <si>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</si>
  <si>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</si>
  <si>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</si>
  <si>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</si>
  <si>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</si>
  <si>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</si>
  <si>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</si>
  <si>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</si>
  <si>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</si>
  <si>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</si>
  <si>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</si>
  <si>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</si>
  <si>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</si>
  <si>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</si>
  <si>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</si>
  <si>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</si>
  <si>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</si>
  <si>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</si>
  <si>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</si>
  <si>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11920105:2500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</si>
  <si>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</si>
  <si>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</si>
  <si>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</si>
  <si>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</si>
  <si>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</si>
  <si>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</si>
  <si>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</si>
  <si>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</si>
  <si>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</si>
  <si>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</si>
  <si>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</si>
  <si>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</si>
  <si>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</si>
  <si>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</si>
  <si>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</si>
  <si>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</si>
  <si>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</si>
  <si>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</si>
  <si>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</si>
  <si>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</si>
  <si>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</si>
  <si>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</si>
  <si>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</si>
  <si>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7000303:6000_3080000:1_5101716:1000</t>
  </si>
  <si>
    <t>蚀骨毒刃</t>
  </si>
  <si>
    <t>攻击附加额外的毒性伤害，并有20%的概率使目标进入"中毒"状态</t>
  </si>
  <si>
    <t>shiguduren</t>
  </si>
  <si>
    <t>毒系效果伤害提升60%</t>
  </si>
  <si>
    <t>920109:1_7920109:5000_9920109:5000_7000313:1</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</si>
  <si>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</si>
  <si>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</si>
  <si>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</si>
  <si>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</si>
  <si>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</si>
  <si>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</si>
  <si>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</si>
  <si>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</si>
  <si>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</si>
  <si>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</si>
  <si>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</si>
  <si>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</si>
  <si>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</si>
  <si>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</si>
  <si>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</si>
  <si>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</si>
  <si>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</si>
  <si>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</si>
  <si>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</si>
  <si>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</si>
  <si>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</si>
  <si>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</si>
  <si>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</si>
  <si>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</si>
  <si>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</si>
  <si>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</si>
  <si>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</si>
  <si>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</si>
  <si>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</si>
  <si>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</si>
  <si>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</si>
  <si>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</si>
  <si>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</si>
  <si>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</si>
  <si>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</si>
  <si>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</si>
  <si>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</si>
  <si>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</si>
  <si>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</si>
  <si>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</si>
  <si>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family val="3"/>
        <charset val="134"/>
      </rPr>
      <t>①</t>
    </r>
    <r>
      <rPr>
        <sz val="9"/>
        <color rgb="FF7030A0"/>
        <rFont val="宋体"/>
        <family val="3"/>
        <charset val="134"/>
      </rPr>
      <t>（零档）</t>
    </r>
    <r>
      <rPr>
        <sz val="9"/>
        <color theme="1"/>
        <rFont val="宋体"/>
        <family val="3"/>
        <charset val="134"/>
      </rPr>
      <t>普攻附带X%的寒冰伤害，并有X%概率会冰冻目标1秒</t>
    </r>
  </si>
  <si>
    <t>3040101:100</t>
  </si>
  <si>
    <r>
      <rPr>
        <sz val="9"/>
        <color theme="1"/>
        <rFont val="宋体"/>
        <family val="3"/>
        <charset val="134"/>
      </rPr>
      <t>②</t>
    </r>
    <r>
      <rPr>
        <sz val="9"/>
        <color rgb="FF7030A0"/>
        <rFont val="宋体"/>
        <family val="3"/>
        <charset val="134"/>
      </rPr>
      <t>（零档）</t>
    </r>
    <r>
      <rPr>
        <sz val="9"/>
        <color theme="1"/>
        <rFont val="宋体"/>
        <family val="3"/>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</si>
  <si>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</si>
  <si>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</si>
  <si>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family val="3"/>
        <charset val="134"/>
      </rPr>
      <t>③</t>
    </r>
    <r>
      <rPr>
        <sz val="9"/>
        <color rgb="FF7030A0"/>
        <rFont val="宋体"/>
        <family val="3"/>
        <charset val="134"/>
      </rPr>
      <t>（一档）</t>
    </r>
    <r>
      <rPr>
        <sz val="9"/>
        <color theme="1"/>
        <rFont val="宋体"/>
        <family val="3"/>
        <charset val="134"/>
      </rPr>
      <t>普攻附带的寒冰伤害和霜冻新星伤害提高X%</t>
    </r>
  </si>
  <si>
    <t>3040101:800</t>
  </si>
  <si>
    <t>额外伤害</t>
  </si>
  <si>
    <r>
      <rPr>
        <sz val="9"/>
        <color theme="1"/>
        <rFont val="宋体"/>
        <family val="3"/>
        <charset val="134"/>
      </rPr>
      <t>④</t>
    </r>
    <r>
      <rPr>
        <sz val="9"/>
        <color rgb="FF7030A0"/>
        <rFont val="宋体"/>
        <family val="3"/>
        <charset val="134"/>
      </rPr>
      <t>（一档）</t>
    </r>
    <r>
      <rPr>
        <sz val="9"/>
        <color theme="1"/>
        <rFont val="宋体"/>
        <family val="3"/>
        <charset val="134"/>
      </rPr>
      <t>冰冻概率提高X%</t>
    </r>
  </si>
  <si>
    <t>3040101:1600</t>
  </si>
  <si>
    <t>受到额外伤害</t>
  </si>
  <si>
    <r>
      <rPr>
        <sz val="9"/>
        <color theme="1"/>
        <rFont val="宋体"/>
        <family val="3"/>
        <charset val="134"/>
      </rPr>
      <t>⑤</t>
    </r>
    <r>
      <rPr>
        <sz val="9"/>
        <color rgb="FF7030A0"/>
        <rFont val="宋体"/>
        <family val="3"/>
        <charset val="134"/>
      </rPr>
      <t>（一档）</t>
    </r>
    <r>
      <rPr>
        <sz val="9"/>
        <color theme="1"/>
        <rFont val="宋体"/>
        <family val="3"/>
        <charset val="134"/>
      </rPr>
      <t>冰冻持续时长+1秒</t>
    </r>
  </si>
  <si>
    <t>3040101:3200</t>
  </si>
  <si>
    <t>受到冰元素伤害</t>
  </si>
  <si>
    <t>受到火元素伤害</t>
  </si>
  <si>
    <t>受到电元素伤害</t>
  </si>
  <si>
    <t>受到毒元素伤害</t>
  </si>
  <si>
    <r>
      <rPr>
        <sz val="9"/>
        <color theme="1"/>
        <rFont val="宋体"/>
        <family val="3"/>
        <charset val="134"/>
      </rPr>
      <t>⑥</t>
    </r>
    <r>
      <rPr>
        <sz val="9"/>
        <color rgb="FF7030A0"/>
        <rFont val="宋体"/>
        <family val="3"/>
        <charset val="134"/>
      </rPr>
      <t>（二档）</t>
    </r>
    <r>
      <rPr>
        <sz val="9"/>
        <color theme="1"/>
        <rFont val="宋体"/>
        <family val="3"/>
        <charset val="134"/>
      </rPr>
      <t>释放霜冻新星时将会额外释放1次霜冻新星</t>
    </r>
  </si>
  <si>
    <t>3040102:100</t>
  </si>
  <si>
    <t>受到伤害总加成</t>
  </si>
  <si>
    <t>额外冰伤害</t>
  </si>
  <si>
    <t>额外火伤害</t>
  </si>
  <si>
    <t>额外电伤害</t>
  </si>
  <si>
    <t>额外毒伤害</t>
  </si>
  <si>
    <r>
      <rPr>
        <sz val="9"/>
        <color theme="1"/>
        <rFont val="宋体"/>
        <family val="3"/>
        <charset val="134"/>
      </rPr>
      <t>⑦</t>
    </r>
    <r>
      <rPr>
        <sz val="9"/>
        <color rgb="FF7030A0"/>
        <rFont val="宋体"/>
        <family val="3"/>
        <charset val="134"/>
      </rPr>
      <t>（二档）</t>
    </r>
    <r>
      <rPr>
        <sz val="9"/>
        <color theme="1"/>
        <rFont val="宋体"/>
        <family val="3"/>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</si>
  <si>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</si>
  <si>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</si>
  <si>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</si>
  <si>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</si>
  <si>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</si>
  <si>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family val="3"/>
        <charset val="134"/>
      </rPr>
      <t>⑧</t>
    </r>
    <r>
      <rPr>
        <sz val="9"/>
        <color rgb="FF7030A0"/>
        <rFont val="宋体"/>
        <family val="3"/>
        <charset val="134"/>
      </rPr>
      <t>（三档）</t>
    </r>
    <r>
      <rPr>
        <sz val="9"/>
        <color theme="1"/>
        <rFont val="宋体"/>
        <family val="3"/>
        <charset val="134"/>
      </rPr>
      <t>冰冻概率提高X%，敌人被冰冻时每秒受到其最大生命值X%的冰系伤害</t>
    </r>
  </si>
  <si>
    <t>3040102:800</t>
  </si>
  <si>
    <t>冰元素攻击附加冰冻状态</t>
  </si>
  <si>
    <t>被动技能</t>
  </si>
  <si>
    <r>
      <rPr>
        <sz val="9"/>
        <color theme="1"/>
        <rFont val="宋体"/>
        <family val="3"/>
        <charset val="134"/>
      </rPr>
      <t>⑨</t>
    </r>
    <r>
      <rPr>
        <sz val="9"/>
        <color rgb="FF7030A0"/>
        <rFont val="宋体"/>
        <family val="3"/>
        <charset val="134"/>
      </rPr>
      <t>（三档）</t>
    </r>
    <r>
      <rPr>
        <sz val="9"/>
        <color theme="1"/>
        <rFont val="宋体"/>
        <family val="3"/>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</si>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</sst>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9"/>
      <color theme="1"/>
      <name val="宋体"/>
      <family val="3"/>
      <charset val="134"/>
    </font>
    <font>
      <b/>
      <sz val="9"/>
      <color rgb="FF3F3F76"/>
      <name val="宋体"/>
      <family val="3"/>
      <charset val="134"/>
    </font>
    <font>
      <sz val="9"/>
      <color rgb="FF3F3F76"/>
      <name val="宋体"/>
      <family val="3"/>
      <charset val="134"/>
    </font>
    <font>
      <sz val="9"/>
      <color theme="1"/>
      <name val="微软雅黑"/>
      <family val="2"/>
      <charset val="134"/>
    </font>
    <font>
      <b/>
      <sz val="11"/>
      <color rgb="FF3F3F76"/>
      <name val="微软雅黑"/>
      <family val="2"/>
      <charset val="134"/>
    </font>
    <font>
      <sz val="9"/>
      <color theme="0" tint="-0.1498764000366222"/>
      <name val="微软雅黑"/>
      <family val="2"/>
      <charset val="134"/>
    </font>
    <font>
      <sz val="11"/>
      <color rgb="FF3F3F76"/>
      <name val="宋体"/>
      <family val="3"/>
      <charset val="134"/>
    </font>
    <font>
      <sz val="9"/>
      <color rgb="FF7030A0"/>
      <name val="宋体"/>
      <family val="3"/>
      <charset val="134"/>
    </font>
    <font>
      <sz val="9"/>
      <name val="等线"/>
      <family val="3"/>
      <charset val="134"/>
      <scheme val="minor"/>
    </font>
  </fonts>
  <fills count="14">
    <fill>
      <patternFill patternType="none"/>
    </fill>
    <fill>
      <patternFill patternType="gray125"/>
    </fill>
    <fill>
      <patternFill patternType="solid">
        <fgColor theme="7" tint="0.79985961485641044"/>
        <bgColor indexed="64"/>
      </patternFill>
    </fill>
    <fill>
      <patternFill patternType="solid">
        <fgColor theme="4"/>
        <bgColor indexed="64"/>
      </patternFill>
    </fill>
    <fill>
      <patternFill patternType="solid">
        <fgColor theme="8" tint="0.59999389629810485"/>
        <bgColor indexed="64"/>
      </patternFill>
    </fill>
    <fill>
      <patternFill patternType="solid">
        <fgColor theme="9" tint="0.79985961485641044"/>
        <bgColor indexed="64"/>
      </patternFill>
    </fill>
    <fill>
      <patternFill patternType="solid">
        <fgColor theme="4" tint="0.5999938962981048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044"/>
        <bgColor indexed="64"/>
      </patternFill>
    </fill>
    <fill>
      <patternFill patternType="solid">
        <fgColor theme="0" tint="-0.249977111117893"/>
        <bgColor indexed="64"/>
      </patternFill>
    </fill>
    <fill>
      <patternFill patternType="solid">
        <fgColor rgb="FFFFCC99"/>
        <bgColor indexed="64"/>
      </patternFill>
    </fill>
  </fills>
  <borders count="5">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7F7F7F"/>
      </left>
      <right style="thin">
        <color rgb="FF7F7F7F"/>
      </right>
      <top style="thin">
        <color rgb="FF7F7F7F"/>
      </top>
      <bottom style="thin">
        <color rgb="FF7F7F7F"/>
      </bottom>
      <diagonal/>
    </border>
  </borders>
  <cellStyleXfs count="2">
    <xf numFmtId="0" fontId="0" fillId="0" borderId="0"/>
    <xf numFmtId="0" fontId="7" fillId="13" borderId="4" applyNumberFormat="0" applyAlignment="0" applyProtection="0">
      <alignment vertical="center"/>
    </xf>
  </cellStyleXfs>
  <cellXfs count="52">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 applyFont="1" applyFill="1" applyBorder="1">
      <alignment vertical="center"/>
    </xf>
    <xf numFmtId="0" fontId="3" fillId="5" borderId="1" xfId="1"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quotePrefix="1" applyFont="1" applyAlignment="1">
      <alignment horizontal="center" vertical="center"/>
    </xf>
    <xf numFmtId="0" fontId="4" fillId="7" borderId="0" xfId="0" quotePrefix="1" applyFont="1" applyFill="1" applyAlignment="1">
      <alignment horizontal="center"/>
    </xf>
    <xf numFmtId="0" fontId="6" fillId="8" borderId="0" xfId="0" quotePrefix="1" applyFont="1" applyFill="1" applyAlignment="1">
      <alignment horizontal="center"/>
    </xf>
    <xf numFmtId="0" fontId="4" fillId="9" borderId="0" xfId="0" quotePrefix="1" applyFont="1" applyFill="1" applyAlignment="1">
      <alignment horizontal="center"/>
    </xf>
    <xf numFmtId="3" fontId="4" fillId="9" borderId="0" xfId="0" quotePrefix="1" applyNumberFormat="1" applyFont="1" applyFill="1" applyAlignment="1">
      <alignment horizontal="center"/>
    </xf>
    <xf numFmtId="0" fontId="4" fillId="10" borderId="0" xfId="0" quotePrefix="1" applyFont="1" applyFill="1" applyAlignment="1">
      <alignment horizontal="center"/>
    </xf>
    <xf numFmtId="0" fontId="4" fillId="2" borderId="0" xfId="0" quotePrefix="1" applyFont="1" applyFill="1" applyAlignment="1">
      <alignment horizontal="center"/>
    </xf>
    <xf numFmtId="0" fontId="4" fillId="11" borderId="0" xfId="0" quotePrefix="1" applyFont="1" applyFill="1" applyAlignment="1">
      <alignment horizontal="center"/>
    </xf>
    <xf numFmtId="49" fontId="4" fillId="11" borderId="0" xfId="0" quotePrefix="1" applyNumberFormat="1" applyFont="1" applyFill="1" applyAlignment="1">
      <alignment horizontal="center"/>
    </xf>
    <xf numFmtId="0" fontId="4" fillId="6" borderId="0" xfId="0" quotePrefix="1" applyFont="1" applyFill="1" applyAlignment="1">
      <alignment horizontal="center"/>
    </xf>
    <xf numFmtId="20" fontId="4" fillId="0" borderId="0" xfId="0" quotePrefix="1" applyNumberFormat="1" applyFont="1" applyAlignment="1">
      <alignment horizontal="center"/>
    </xf>
    <xf numFmtId="0" fontId="4" fillId="0" borderId="0" xfId="0" quotePrefix="1" applyFont="1" applyAlignment="1">
      <alignment horizontal="center"/>
    </xf>
  </cellXfs>
  <cellStyles count="2">
    <cellStyle name="常规" xfId="0" builtinId="0"/>
    <cellStyle name="输入" xfId="1" builtinId="2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472"/>
  <sheetViews>
    <sheetView tabSelected="1" workbookViewId="0">
      <pane ySplit="4" topLeftCell="A444" activePane="bottomLeft" state="frozen"/>
      <selection pane="bottomLeft" activeCell="G445" sqref="G445:G469"/>
    </sheetView>
  </sheetViews>
  <sheetFormatPr defaultColWidth="9" defaultRowHeight="14.25" x14ac:dyDescent="0.3"/>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x14ac:dyDescent="0.3">
      <c r="A1" s="15" t="s">
        <v>0</v>
      </c>
      <c r="B1" s="15"/>
      <c r="C1" s="15"/>
      <c r="D1" s="15"/>
      <c r="E1" s="16"/>
      <c r="F1" s="17"/>
      <c r="G1" s="17"/>
      <c r="H1" s="17"/>
      <c r="I1" s="17"/>
      <c r="J1" s="17"/>
      <c r="K1" s="17"/>
      <c r="L1" s="17"/>
      <c r="M1" s="17"/>
    </row>
    <row r="2" spans="1:13" x14ac:dyDescent="0.3">
      <c r="A2" s="15" t="s">
        <v>1</v>
      </c>
      <c r="B2" s="17" t="s">
        <v>2</v>
      </c>
      <c r="C2" s="17" t="s">
        <v>2</v>
      </c>
      <c r="D2" s="17" t="s">
        <v>2</v>
      </c>
      <c r="E2" s="16" t="s">
        <v>3</v>
      </c>
      <c r="F2" s="17" t="s">
        <v>2</v>
      </c>
      <c r="G2" s="17" t="s">
        <v>2</v>
      </c>
      <c r="H2" s="17" t="s">
        <v>4</v>
      </c>
      <c r="I2" s="17" t="s">
        <v>5</v>
      </c>
      <c r="J2" s="17" t="s">
        <v>5</v>
      </c>
      <c r="K2" s="17" t="s">
        <v>3</v>
      </c>
      <c r="L2" s="17" t="s">
        <v>6</v>
      </c>
      <c r="M2" s="17" t="s">
        <v>6</v>
      </c>
    </row>
    <row r="3" spans="1:13" x14ac:dyDescent="0.3">
      <c r="A3" s="15" t="s">
        <v>7</v>
      </c>
      <c r="B3" s="17" t="s">
        <v>8</v>
      </c>
      <c r="C3" s="17" t="s">
        <v>9</v>
      </c>
      <c r="D3" s="17" t="s">
        <v>10</v>
      </c>
      <c r="E3" s="16" t="s">
        <v>11</v>
      </c>
      <c r="F3" s="17" t="s">
        <v>12</v>
      </c>
      <c r="G3" s="17" t="s">
        <v>13</v>
      </c>
      <c r="H3" s="17" t="s">
        <v>14</v>
      </c>
      <c r="I3" s="17" t="s">
        <v>15</v>
      </c>
      <c r="J3" s="17" t="s">
        <v>16</v>
      </c>
      <c r="K3" s="17" t="s">
        <v>17</v>
      </c>
      <c r="L3" s="17" t="s">
        <v>18</v>
      </c>
      <c r="M3" s="17" t="s">
        <v>19</v>
      </c>
    </row>
    <row r="4" spans="1:13" x14ac:dyDescent="0.3">
      <c r="A4" s="15" t="s">
        <v>20</v>
      </c>
      <c r="B4" s="18" t="s">
        <v>21</v>
      </c>
      <c r="C4" s="18" t="s">
        <v>22</v>
      </c>
      <c r="D4" s="18" t="s">
        <v>23</v>
      </c>
      <c r="E4" s="16" t="s">
        <v>24</v>
      </c>
      <c r="F4" s="18" t="s">
        <v>25</v>
      </c>
      <c r="G4" s="18" t="s">
        <v>26</v>
      </c>
      <c r="H4" s="18" t="s">
        <v>27</v>
      </c>
      <c r="I4" s="18" t="s">
        <v>28</v>
      </c>
      <c r="J4" s="18" t="s">
        <v>29</v>
      </c>
      <c r="K4" s="18" t="s">
        <v>30</v>
      </c>
      <c r="L4" s="18" t="s">
        <v>31</v>
      </c>
      <c r="M4" s="18" t="s">
        <v>32</v>
      </c>
    </row>
    <row r="5" spans="1:13" ht="15" x14ac:dyDescent="0.3">
      <c r="A5" s="17">
        <v>1010201</v>
      </c>
      <c r="B5" s="17">
        <v>101</v>
      </c>
      <c r="C5" s="17">
        <v>2</v>
      </c>
      <c r="D5" s="17">
        <v>1</v>
      </c>
      <c r="E5" s="16" t="s">
        <v>33</v>
      </c>
      <c r="F5" s="17">
        <v>1</v>
      </c>
      <c r="G5" s="17">
        <v>100</v>
      </c>
      <c r="H5" s="19" t="s">
        <v>34</v>
      </c>
      <c r="I5" s="17" t="s">
        <v>35</v>
      </c>
      <c r="J5" s="17" t="s">
        <v>36</v>
      </c>
      <c r="K5" s="17">
        <v>3040102</v>
      </c>
      <c r="L5" s="17" t="s">
        <v>37</v>
      </c>
      <c r="M5" s="17">
        <v>3600002</v>
      </c>
    </row>
    <row r="6" spans="1:13" ht="15" x14ac:dyDescent="0.3">
      <c r="A6" s="17">
        <v>1010202</v>
      </c>
      <c r="B6" s="17">
        <v>101</v>
      </c>
      <c r="C6" s="17">
        <v>2</v>
      </c>
      <c r="D6" s="17">
        <v>2</v>
      </c>
      <c r="E6" s="16" t="s">
        <v>38</v>
      </c>
      <c r="F6" s="17">
        <v>1</v>
      </c>
      <c r="G6" s="17">
        <v>100</v>
      </c>
      <c r="H6" s="19" t="s">
        <v>39</v>
      </c>
      <c r="I6" s="17" t="s">
        <v>35</v>
      </c>
      <c r="J6" s="17" t="s">
        <v>36</v>
      </c>
      <c r="K6" s="17">
        <v>3040102</v>
      </c>
      <c r="L6" s="17" t="s">
        <v>37</v>
      </c>
      <c r="M6" s="17">
        <v>3600002</v>
      </c>
    </row>
    <row r="7" spans="1:13" ht="15" x14ac:dyDescent="0.3">
      <c r="A7" s="17">
        <v>1010203</v>
      </c>
      <c r="B7" s="17">
        <v>101</v>
      </c>
      <c r="C7" s="17">
        <v>2</v>
      </c>
      <c r="D7" s="17">
        <v>3</v>
      </c>
      <c r="E7" s="16" t="s">
        <v>40</v>
      </c>
      <c r="F7" s="17">
        <v>1</v>
      </c>
      <c r="G7" s="17">
        <v>100</v>
      </c>
      <c r="H7" s="19" t="s">
        <v>41</v>
      </c>
      <c r="I7" s="17" t="s">
        <v>35</v>
      </c>
      <c r="J7" s="17" t="s">
        <v>36</v>
      </c>
      <c r="K7" s="17">
        <v>3040102</v>
      </c>
      <c r="L7" s="17" t="s">
        <v>37</v>
      </c>
      <c r="M7" s="17">
        <v>3600002</v>
      </c>
    </row>
    <row r="8" spans="1:13" ht="15" x14ac:dyDescent="0.3">
      <c r="A8" s="17">
        <v>1010204</v>
      </c>
      <c r="B8" s="17">
        <v>101</v>
      </c>
      <c r="C8" s="17">
        <v>2</v>
      </c>
      <c r="D8" s="17">
        <v>4</v>
      </c>
      <c r="E8" s="16" t="s">
        <v>42</v>
      </c>
      <c r="F8" s="17">
        <v>1</v>
      </c>
      <c r="G8" s="17">
        <v>100</v>
      </c>
      <c r="H8" s="19" t="s">
        <v>43</v>
      </c>
      <c r="I8" s="17" t="s">
        <v>35</v>
      </c>
      <c r="J8" s="17" t="s">
        <v>36</v>
      </c>
      <c r="K8" s="17">
        <v>3040102</v>
      </c>
      <c r="L8" s="17" t="s">
        <v>37</v>
      </c>
      <c r="M8" s="17">
        <v>3600002</v>
      </c>
    </row>
    <row r="9" spans="1:13" ht="15" x14ac:dyDescent="0.3">
      <c r="A9" s="17">
        <v>1010205</v>
      </c>
      <c r="B9" s="17">
        <v>101</v>
      </c>
      <c r="C9" s="17">
        <v>2</v>
      </c>
      <c r="D9" s="17">
        <v>5</v>
      </c>
      <c r="E9" s="16" t="s">
        <v>44</v>
      </c>
      <c r="F9" s="17">
        <v>1</v>
      </c>
      <c r="G9" s="17">
        <v>100</v>
      </c>
      <c r="H9" s="19" t="s">
        <v>45</v>
      </c>
      <c r="I9" s="17" t="s">
        <v>35</v>
      </c>
      <c r="J9" s="17" t="s">
        <v>36</v>
      </c>
      <c r="K9" s="17">
        <v>3040102</v>
      </c>
      <c r="L9" s="17" t="s">
        <v>37</v>
      </c>
      <c r="M9" s="17">
        <v>3600002</v>
      </c>
    </row>
    <row r="10" spans="1:13" ht="15" x14ac:dyDescent="0.3">
      <c r="A10" s="17">
        <v>1010401</v>
      </c>
      <c r="B10" s="17">
        <v>101</v>
      </c>
      <c r="C10" s="17">
        <v>4</v>
      </c>
      <c r="D10" s="17">
        <v>1</v>
      </c>
      <c r="E10" s="16" t="s">
        <v>33</v>
      </c>
      <c r="F10" s="17">
        <v>3</v>
      </c>
      <c r="G10" s="17">
        <v>100</v>
      </c>
      <c r="H10" s="19" t="s">
        <v>46</v>
      </c>
      <c r="I10" s="17" t="s">
        <v>47</v>
      </c>
      <c r="J10" s="17" t="s">
        <v>48</v>
      </c>
      <c r="K10" s="17">
        <v>3040202</v>
      </c>
      <c r="L10" s="17" t="s">
        <v>37</v>
      </c>
      <c r="M10" s="17">
        <v>3590003</v>
      </c>
    </row>
    <row r="11" spans="1:13" ht="15" x14ac:dyDescent="0.3">
      <c r="A11" s="17">
        <v>1010501</v>
      </c>
      <c r="B11" s="17">
        <v>101</v>
      </c>
      <c r="C11" s="17">
        <v>5</v>
      </c>
      <c r="D11" s="17">
        <v>1</v>
      </c>
      <c r="E11" s="16" t="s">
        <v>33</v>
      </c>
      <c r="F11" s="17">
        <v>1</v>
      </c>
      <c r="G11" s="17">
        <v>100</v>
      </c>
      <c r="H11" s="19" t="s">
        <v>49</v>
      </c>
      <c r="I11" s="17" t="s">
        <v>50</v>
      </c>
      <c r="J11" s="17" t="s">
        <v>51</v>
      </c>
      <c r="K11" s="17">
        <v>3040301</v>
      </c>
      <c r="L11" s="17" t="s">
        <v>37</v>
      </c>
      <c r="M11" s="17">
        <v>3600002</v>
      </c>
    </row>
    <row r="12" spans="1:13" ht="15" x14ac:dyDescent="0.3">
      <c r="A12" s="17">
        <v>1010502</v>
      </c>
      <c r="B12" s="17">
        <v>101</v>
      </c>
      <c r="C12" s="17">
        <v>5</v>
      </c>
      <c r="D12" s="17">
        <v>2</v>
      </c>
      <c r="E12" s="16" t="s">
        <v>52</v>
      </c>
      <c r="F12" s="17">
        <v>1</v>
      </c>
      <c r="G12" s="17">
        <v>100</v>
      </c>
      <c r="H12" s="19" t="s">
        <v>53</v>
      </c>
      <c r="I12" s="17" t="s">
        <v>50</v>
      </c>
      <c r="J12" s="17" t="s">
        <v>51</v>
      </c>
      <c r="K12" s="17">
        <v>3040301</v>
      </c>
      <c r="L12" s="17" t="s">
        <v>37</v>
      </c>
      <c r="M12" s="17">
        <v>3600002</v>
      </c>
    </row>
    <row r="13" spans="1:13" ht="15" x14ac:dyDescent="0.3">
      <c r="A13" s="17">
        <v>1010503</v>
      </c>
      <c r="B13" s="17">
        <v>101</v>
      </c>
      <c r="C13" s="17">
        <v>5</v>
      </c>
      <c r="D13" s="17">
        <v>3</v>
      </c>
      <c r="E13" s="16" t="s">
        <v>54</v>
      </c>
      <c r="F13" s="17">
        <v>1</v>
      </c>
      <c r="G13" s="17">
        <v>100</v>
      </c>
      <c r="H13" s="19" t="s">
        <v>55</v>
      </c>
      <c r="I13" s="17" t="s">
        <v>50</v>
      </c>
      <c r="J13" s="17" t="s">
        <v>51</v>
      </c>
      <c r="K13" s="17">
        <v>3040301</v>
      </c>
      <c r="L13" s="17" t="s">
        <v>37</v>
      </c>
      <c r="M13" s="17">
        <v>3600002</v>
      </c>
    </row>
    <row r="14" spans="1:13" ht="15" x14ac:dyDescent="0.3">
      <c r="A14" s="17">
        <v>1010504</v>
      </c>
      <c r="B14" s="17">
        <v>101</v>
      </c>
      <c r="C14" s="17">
        <v>5</v>
      </c>
      <c r="D14" s="17">
        <v>4</v>
      </c>
      <c r="E14" s="16" t="s">
        <v>56</v>
      </c>
      <c r="F14" s="17">
        <v>1</v>
      </c>
      <c r="G14" s="17">
        <v>100</v>
      </c>
      <c r="H14" s="19" t="s">
        <v>57</v>
      </c>
      <c r="I14" s="17" t="s">
        <v>50</v>
      </c>
      <c r="J14" s="17" t="s">
        <v>51</v>
      </c>
      <c r="K14" s="17">
        <v>3040301</v>
      </c>
      <c r="L14" s="17" t="s">
        <v>37</v>
      </c>
      <c r="M14" s="17">
        <v>3600002</v>
      </c>
    </row>
    <row r="15" spans="1:13" ht="15" x14ac:dyDescent="0.3">
      <c r="A15" s="17">
        <v>1010505</v>
      </c>
      <c r="B15" s="17">
        <v>101</v>
      </c>
      <c r="C15" s="17">
        <v>5</v>
      </c>
      <c r="D15" s="17">
        <v>5</v>
      </c>
      <c r="E15" s="16" t="s">
        <v>58</v>
      </c>
      <c r="F15" s="17">
        <v>1</v>
      </c>
      <c r="G15" s="17">
        <v>100</v>
      </c>
      <c r="H15" s="19" t="s">
        <v>59</v>
      </c>
      <c r="I15" s="17" t="s">
        <v>50</v>
      </c>
      <c r="J15" s="17" t="s">
        <v>51</v>
      </c>
      <c r="K15" s="17">
        <v>3040301</v>
      </c>
      <c r="L15" s="17" t="s">
        <v>37</v>
      </c>
      <c r="M15" s="17">
        <v>3600002</v>
      </c>
    </row>
    <row r="16" spans="1:13" ht="15" x14ac:dyDescent="0.3">
      <c r="A16" s="17">
        <v>1010701</v>
      </c>
      <c r="B16" s="17">
        <v>101</v>
      </c>
      <c r="C16" s="17">
        <v>7</v>
      </c>
      <c r="D16" s="17">
        <v>1</v>
      </c>
      <c r="E16" s="16" t="s">
        <v>33</v>
      </c>
      <c r="F16" s="17">
        <v>1</v>
      </c>
      <c r="G16" s="17">
        <v>100</v>
      </c>
      <c r="H16" s="19" t="s">
        <v>60</v>
      </c>
      <c r="I16" s="17" t="s">
        <v>61</v>
      </c>
      <c r="J16" s="17" t="s">
        <v>62</v>
      </c>
      <c r="K16" s="17">
        <v>3040701</v>
      </c>
      <c r="L16" s="17" t="s">
        <v>37</v>
      </c>
      <c r="M16" s="17">
        <v>3600002</v>
      </c>
    </row>
    <row r="17" spans="1:13" ht="15" x14ac:dyDescent="0.3">
      <c r="A17" s="17">
        <v>1010702</v>
      </c>
      <c r="B17" s="17">
        <v>101</v>
      </c>
      <c r="C17" s="17">
        <v>7</v>
      </c>
      <c r="D17" s="17">
        <v>2</v>
      </c>
      <c r="E17" s="16" t="s">
        <v>63</v>
      </c>
      <c r="F17" s="17">
        <v>1</v>
      </c>
      <c r="G17" s="17">
        <v>100</v>
      </c>
      <c r="H17" s="19" t="s">
        <v>64</v>
      </c>
      <c r="I17" s="17" t="s">
        <v>61</v>
      </c>
      <c r="J17" s="17" t="s">
        <v>62</v>
      </c>
      <c r="K17" s="17">
        <v>3040701</v>
      </c>
      <c r="L17" s="17" t="s">
        <v>37</v>
      </c>
      <c r="M17" s="17">
        <v>3600002</v>
      </c>
    </row>
    <row r="18" spans="1:13" ht="15" x14ac:dyDescent="0.3">
      <c r="A18" s="17">
        <v>1010703</v>
      </c>
      <c r="B18" s="17">
        <v>101</v>
      </c>
      <c r="C18" s="17">
        <v>7</v>
      </c>
      <c r="D18" s="17">
        <v>3</v>
      </c>
      <c r="E18" s="16" t="s">
        <v>65</v>
      </c>
      <c r="F18" s="17">
        <v>1</v>
      </c>
      <c r="G18" s="17">
        <v>100</v>
      </c>
      <c r="H18" s="19" t="s">
        <v>66</v>
      </c>
      <c r="I18" s="17" t="s">
        <v>61</v>
      </c>
      <c r="J18" s="17" t="s">
        <v>62</v>
      </c>
      <c r="K18" s="17">
        <v>3040701</v>
      </c>
      <c r="L18" s="17" t="s">
        <v>37</v>
      </c>
      <c r="M18" s="17">
        <v>3600002</v>
      </c>
    </row>
    <row r="19" spans="1:13" ht="15" x14ac:dyDescent="0.3">
      <c r="A19" s="17">
        <v>1010704</v>
      </c>
      <c r="B19" s="17">
        <v>101</v>
      </c>
      <c r="C19" s="17">
        <v>7</v>
      </c>
      <c r="D19" s="17">
        <v>4</v>
      </c>
      <c r="E19" s="16" t="s">
        <v>67</v>
      </c>
      <c r="F19" s="17">
        <v>1</v>
      </c>
      <c r="G19" s="17">
        <v>100</v>
      </c>
      <c r="H19" s="19" t="s">
        <v>68</v>
      </c>
      <c r="I19" s="17" t="s">
        <v>61</v>
      </c>
      <c r="J19" s="17" t="s">
        <v>62</v>
      </c>
      <c r="K19" s="17">
        <v>3040701</v>
      </c>
      <c r="L19" s="17" t="s">
        <v>37</v>
      </c>
      <c r="M19" s="17">
        <v>3600002</v>
      </c>
    </row>
    <row r="20" spans="1:13" ht="15" x14ac:dyDescent="0.3">
      <c r="A20" s="17">
        <v>1010705</v>
      </c>
      <c r="B20" s="17">
        <v>101</v>
      </c>
      <c r="C20" s="17">
        <v>7</v>
      </c>
      <c r="D20" s="17">
        <v>5</v>
      </c>
      <c r="E20" s="16" t="s">
        <v>69</v>
      </c>
      <c r="F20" s="17">
        <v>1</v>
      </c>
      <c r="G20" s="17">
        <v>100</v>
      </c>
      <c r="H20" s="19" t="s">
        <v>70</v>
      </c>
      <c r="I20" s="17" t="s">
        <v>61</v>
      </c>
      <c r="J20" s="17" t="s">
        <v>62</v>
      </c>
      <c r="K20" s="17">
        <v>3040701</v>
      </c>
      <c r="L20" s="17" t="s">
        <v>37</v>
      </c>
      <c r="M20" s="17">
        <v>3600002</v>
      </c>
    </row>
    <row r="21" spans="1:13" ht="15" x14ac:dyDescent="0.3">
      <c r="A21" s="17">
        <v>1010801</v>
      </c>
      <c r="B21" s="17">
        <v>101</v>
      </c>
      <c r="C21" s="17">
        <v>8</v>
      </c>
      <c r="D21" s="17">
        <v>1</v>
      </c>
      <c r="E21" s="16" t="s">
        <v>33</v>
      </c>
      <c r="F21" s="17">
        <v>1</v>
      </c>
      <c r="G21" s="17">
        <v>100</v>
      </c>
      <c r="H21" s="19" t="s">
        <v>71</v>
      </c>
      <c r="I21" s="17" t="s">
        <v>72</v>
      </c>
      <c r="J21" s="17" t="s">
        <v>73</v>
      </c>
      <c r="K21" s="17">
        <v>3040901</v>
      </c>
      <c r="L21" s="17" t="s">
        <v>37</v>
      </c>
      <c r="M21" s="17">
        <v>3600004</v>
      </c>
    </row>
    <row r="22" spans="1:13" ht="15" x14ac:dyDescent="0.3">
      <c r="A22" s="17">
        <v>1010802</v>
      </c>
      <c r="B22" s="17">
        <v>101</v>
      </c>
      <c r="C22" s="17">
        <v>8</v>
      </c>
      <c r="D22" s="17">
        <v>2</v>
      </c>
      <c r="E22" s="16" t="s">
        <v>74</v>
      </c>
      <c r="F22" s="17">
        <v>1</v>
      </c>
      <c r="G22" s="17">
        <v>100</v>
      </c>
      <c r="H22" s="19" t="s">
        <v>75</v>
      </c>
      <c r="I22" s="17" t="s">
        <v>72</v>
      </c>
      <c r="J22" s="17" t="s">
        <v>73</v>
      </c>
      <c r="K22" s="17">
        <v>3040901</v>
      </c>
      <c r="L22" s="17" t="s">
        <v>37</v>
      </c>
      <c r="M22" s="17">
        <v>3600004</v>
      </c>
    </row>
    <row r="23" spans="1:13" ht="15" x14ac:dyDescent="0.3">
      <c r="A23" s="17">
        <v>1010803</v>
      </c>
      <c r="B23" s="17">
        <v>101</v>
      </c>
      <c r="C23" s="17">
        <v>8</v>
      </c>
      <c r="D23" s="17">
        <v>3</v>
      </c>
      <c r="E23" s="16" t="s">
        <v>76</v>
      </c>
      <c r="F23" s="17">
        <v>1</v>
      </c>
      <c r="G23" s="17">
        <v>100</v>
      </c>
      <c r="H23" s="19" t="s">
        <v>77</v>
      </c>
      <c r="I23" s="17" t="s">
        <v>72</v>
      </c>
      <c r="J23" s="17" t="s">
        <v>73</v>
      </c>
      <c r="K23" s="17">
        <v>3040901</v>
      </c>
      <c r="L23" s="17" t="s">
        <v>37</v>
      </c>
      <c r="M23" s="17">
        <v>3600004</v>
      </c>
    </row>
    <row r="24" spans="1:13" ht="15" x14ac:dyDescent="0.3">
      <c r="A24" s="17">
        <v>1010804</v>
      </c>
      <c r="B24" s="17">
        <v>101</v>
      </c>
      <c r="C24" s="17">
        <v>8</v>
      </c>
      <c r="D24" s="17">
        <v>4</v>
      </c>
      <c r="E24" s="16" t="s">
        <v>78</v>
      </c>
      <c r="F24" s="17">
        <v>1</v>
      </c>
      <c r="G24" s="17">
        <v>100</v>
      </c>
      <c r="H24" s="19" t="s">
        <v>79</v>
      </c>
      <c r="I24" s="17" t="s">
        <v>72</v>
      </c>
      <c r="J24" s="17" t="s">
        <v>73</v>
      </c>
      <c r="K24" s="17">
        <v>3040901</v>
      </c>
      <c r="L24" s="17" t="s">
        <v>37</v>
      </c>
      <c r="M24" s="17">
        <v>3600004</v>
      </c>
    </row>
    <row r="25" spans="1:13" ht="15" x14ac:dyDescent="0.3">
      <c r="A25" s="17">
        <v>1010805</v>
      </c>
      <c r="B25" s="17">
        <v>101</v>
      </c>
      <c r="C25" s="17">
        <v>8</v>
      </c>
      <c r="D25" s="17">
        <v>5</v>
      </c>
      <c r="E25" s="16" t="s">
        <v>80</v>
      </c>
      <c r="F25" s="17">
        <v>1</v>
      </c>
      <c r="G25" s="17">
        <v>100</v>
      </c>
      <c r="H25" s="19" t="s">
        <v>81</v>
      </c>
      <c r="I25" s="17" t="s">
        <v>72</v>
      </c>
      <c r="J25" s="17" t="s">
        <v>73</v>
      </c>
      <c r="K25" s="17">
        <v>3040901</v>
      </c>
      <c r="L25" s="17" t="s">
        <v>37</v>
      </c>
      <c r="M25" s="17">
        <v>3600004</v>
      </c>
    </row>
    <row r="26" spans="1:13" ht="15" x14ac:dyDescent="0.3">
      <c r="A26" s="17">
        <v>1010901</v>
      </c>
      <c r="B26" s="17">
        <v>101</v>
      </c>
      <c r="C26" s="17">
        <v>9</v>
      </c>
      <c r="D26" s="17">
        <v>1</v>
      </c>
      <c r="E26" s="16" t="s">
        <v>33</v>
      </c>
      <c r="F26" s="17">
        <v>1</v>
      </c>
      <c r="G26" s="17">
        <v>100</v>
      </c>
      <c r="H26" s="19" t="s">
        <v>82</v>
      </c>
      <c r="I26" s="17" t="s">
        <v>83</v>
      </c>
      <c r="J26" s="17" t="s">
        <v>84</v>
      </c>
      <c r="K26" s="17">
        <v>3041501</v>
      </c>
      <c r="L26" s="17" t="s">
        <v>37</v>
      </c>
      <c r="M26" s="17">
        <v>3610003</v>
      </c>
    </row>
    <row r="27" spans="1:13" ht="15" x14ac:dyDescent="0.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spans="1:13" ht="15" x14ac:dyDescent="0.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spans="1:13" ht="15" x14ac:dyDescent="0.3">
      <c r="A29" s="17">
        <v>1010902</v>
      </c>
      <c r="B29" s="17">
        <v>101</v>
      </c>
      <c r="C29" s="17">
        <v>9</v>
      </c>
      <c r="D29" s="17">
        <v>2</v>
      </c>
      <c r="E29" s="16">
        <v>1010902</v>
      </c>
      <c r="F29" s="17">
        <v>1</v>
      </c>
      <c r="G29" s="17">
        <v>100</v>
      </c>
      <c r="H29" s="19" t="s">
        <v>87</v>
      </c>
      <c r="I29" s="17" t="s">
        <v>35</v>
      </c>
      <c r="J29" s="17" t="s">
        <v>36</v>
      </c>
      <c r="K29" s="17">
        <v>3040102</v>
      </c>
      <c r="L29" s="17" t="s">
        <v>37</v>
      </c>
      <c r="M29" s="17">
        <v>3600002</v>
      </c>
    </row>
    <row r="30" spans="1:13" ht="15" x14ac:dyDescent="0.3">
      <c r="A30" s="17">
        <v>1010903</v>
      </c>
      <c r="B30" s="17">
        <v>101</v>
      </c>
      <c r="C30" s="17">
        <v>9</v>
      </c>
      <c r="D30" s="17">
        <v>3</v>
      </c>
      <c r="E30" s="16">
        <v>1010903</v>
      </c>
      <c r="F30" s="17">
        <v>1</v>
      </c>
      <c r="G30" s="17">
        <v>100</v>
      </c>
      <c r="H30" s="19" t="s">
        <v>88</v>
      </c>
      <c r="I30" s="17" t="s">
        <v>35</v>
      </c>
      <c r="J30" s="17" t="s">
        <v>36</v>
      </c>
      <c r="K30" s="17">
        <v>3040102</v>
      </c>
      <c r="L30" s="17" t="s">
        <v>37</v>
      </c>
      <c r="M30" s="17">
        <v>3600002</v>
      </c>
    </row>
    <row r="31" spans="1:13" ht="15" x14ac:dyDescent="0.3">
      <c r="A31" s="17">
        <v>1010904</v>
      </c>
      <c r="B31" s="17">
        <v>101</v>
      </c>
      <c r="C31" s="17">
        <v>9</v>
      </c>
      <c r="D31" s="17">
        <v>4</v>
      </c>
      <c r="E31" s="16">
        <v>1010904</v>
      </c>
      <c r="F31" s="17">
        <v>1</v>
      </c>
      <c r="G31" s="17">
        <v>100</v>
      </c>
      <c r="H31" s="19" t="s">
        <v>89</v>
      </c>
      <c r="I31" s="17" t="s">
        <v>35</v>
      </c>
      <c r="J31" s="17" t="s">
        <v>36</v>
      </c>
      <c r="K31" s="17">
        <v>3040102</v>
      </c>
      <c r="L31" s="17" t="s">
        <v>37</v>
      </c>
      <c r="M31" s="17">
        <v>3600002</v>
      </c>
    </row>
    <row r="32" spans="1:13" ht="15" x14ac:dyDescent="0.3">
      <c r="A32" s="17">
        <v>1010905</v>
      </c>
      <c r="B32" s="17">
        <v>101</v>
      </c>
      <c r="C32" s="17">
        <v>9</v>
      </c>
      <c r="D32" s="17">
        <v>5</v>
      </c>
      <c r="E32" s="16">
        <v>1010905</v>
      </c>
      <c r="F32" s="17">
        <v>1</v>
      </c>
      <c r="G32" s="17">
        <v>100</v>
      </c>
      <c r="H32" s="19" t="s">
        <v>90</v>
      </c>
      <c r="I32" s="17" t="s">
        <v>35</v>
      </c>
      <c r="J32" s="17" t="s">
        <v>36</v>
      </c>
      <c r="K32" s="17">
        <v>3040102</v>
      </c>
      <c r="L32" s="17" t="s">
        <v>37</v>
      </c>
      <c r="M32" s="17">
        <v>3600002</v>
      </c>
    </row>
    <row r="33" spans="1:13" ht="15" x14ac:dyDescent="0.3">
      <c r="A33" s="17">
        <v>1010906</v>
      </c>
      <c r="B33" s="17">
        <v>101</v>
      </c>
      <c r="C33" s="17">
        <v>9</v>
      </c>
      <c r="D33" s="17">
        <v>6</v>
      </c>
      <c r="E33" s="16">
        <v>1010906</v>
      </c>
      <c r="F33" s="17">
        <v>1</v>
      </c>
      <c r="G33" s="17">
        <v>100</v>
      </c>
      <c r="H33" s="19" t="s">
        <v>91</v>
      </c>
      <c r="I33" s="17" t="s">
        <v>35</v>
      </c>
      <c r="J33" s="17" t="s">
        <v>36</v>
      </c>
      <c r="K33" s="17">
        <v>3040102</v>
      </c>
      <c r="L33" s="17" t="s">
        <v>37</v>
      </c>
      <c r="M33" s="17">
        <v>3600002</v>
      </c>
    </row>
    <row r="34" spans="1:13" ht="15" x14ac:dyDescent="0.3">
      <c r="A34" s="17">
        <v>1010907</v>
      </c>
      <c r="B34" s="17">
        <v>101</v>
      </c>
      <c r="C34" s="17">
        <v>9</v>
      </c>
      <c r="D34" s="17">
        <v>7</v>
      </c>
      <c r="E34" s="16">
        <v>1010907</v>
      </c>
      <c r="F34" s="17">
        <v>1</v>
      </c>
      <c r="G34" s="17">
        <v>100</v>
      </c>
      <c r="H34" s="19" t="s">
        <v>92</v>
      </c>
      <c r="I34" s="17" t="s">
        <v>35</v>
      </c>
      <c r="J34" s="17" t="s">
        <v>36</v>
      </c>
      <c r="K34" s="17">
        <v>3040102</v>
      </c>
      <c r="L34" s="17" t="s">
        <v>37</v>
      </c>
      <c r="M34" s="17">
        <v>3600002</v>
      </c>
    </row>
    <row r="35" spans="1:13" ht="15" x14ac:dyDescent="0.3">
      <c r="A35" s="17">
        <v>1010908</v>
      </c>
      <c r="B35" s="17">
        <v>101</v>
      </c>
      <c r="C35" s="17">
        <v>9</v>
      </c>
      <c r="D35" s="17">
        <v>8</v>
      </c>
      <c r="E35" s="16">
        <v>1010908</v>
      </c>
      <c r="F35" s="17">
        <v>1</v>
      </c>
      <c r="G35" s="17">
        <v>100</v>
      </c>
      <c r="H35" s="19" t="s">
        <v>93</v>
      </c>
      <c r="I35" s="17" t="s">
        <v>35</v>
      </c>
      <c r="J35" s="17" t="s">
        <v>36</v>
      </c>
      <c r="K35" s="17">
        <v>3040102</v>
      </c>
      <c r="L35" s="17" t="s">
        <v>37</v>
      </c>
      <c r="M35" s="17">
        <v>3600002</v>
      </c>
    </row>
    <row r="36" spans="1:13" ht="15" x14ac:dyDescent="0.3">
      <c r="A36" s="17">
        <v>1010909</v>
      </c>
      <c r="B36" s="17">
        <v>101</v>
      </c>
      <c r="C36" s="17">
        <v>9</v>
      </c>
      <c r="D36" s="17">
        <v>9</v>
      </c>
      <c r="E36" s="16">
        <v>1010909</v>
      </c>
      <c r="F36" s="17">
        <v>1</v>
      </c>
      <c r="G36" s="17">
        <v>100</v>
      </c>
      <c r="H36" s="19" t="s">
        <v>94</v>
      </c>
      <c r="I36" s="17" t="s">
        <v>35</v>
      </c>
      <c r="J36" s="17" t="s">
        <v>36</v>
      </c>
      <c r="K36" s="17">
        <v>3040102</v>
      </c>
      <c r="L36" s="17" t="s">
        <v>37</v>
      </c>
      <c r="M36" s="17">
        <v>3600002</v>
      </c>
    </row>
    <row r="37" spans="1:13" ht="15" x14ac:dyDescent="0.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spans="1:13" ht="15" x14ac:dyDescent="0.3">
      <c r="A38" s="17">
        <v>1011001</v>
      </c>
      <c r="B38" s="17">
        <v>101</v>
      </c>
      <c r="C38" s="17">
        <v>9</v>
      </c>
      <c r="D38" s="17">
        <v>1</v>
      </c>
      <c r="E38" s="16" t="s">
        <v>33</v>
      </c>
      <c r="F38" s="17">
        <v>1</v>
      </c>
      <c r="G38" s="17">
        <v>100</v>
      </c>
      <c r="H38" s="19" t="s">
        <v>96</v>
      </c>
      <c r="I38" s="17" t="s">
        <v>97</v>
      </c>
      <c r="J38" s="17" t="s">
        <v>98</v>
      </c>
      <c r="K38" s="17">
        <v>3041001</v>
      </c>
      <c r="L38" s="17" t="s">
        <v>37</v>
      </c>
      <c r="M38" s="17">
        <v>3610001</v>
      </c>
    </row>
    <row r="39" spans="1:13" ht="15" x14ac:dyDescent="0.3">
      <c r="A39" s="17">
        <v>1011002</v>
      </c>
      <c r="B39" s="17">
        <v>101</v>
      </c>
      <c r="C39" s="17">
        <v>9</v>
      </c>
      <c r="D39" s="17">
        <v>2</v>
      </c>
      <c r="E39" s="40" t="s">
        <v>99</v>
      </c>
      <c r="F39" s="17">
        <v>1</v>
      </c>
      <c r="G39" s="17">
        <v>100</v>
      </c>
      <c r="H39" s="19" t="s">
        <v>100</v>
      </c>
      <c r="I39" s="17" t="s">
        <v>97</v>
      </c>
      <c r="J39" s="17" t="s">
        <v>98</v>
      </c>
      <c r="K39" s="17">
        <v>3041001</v>
      </c>
      <c r="L39" s="17" t="s">
        <v>37</v>
      </c>
      <c r="M39" s="17">
        <v>3610001</v>
      </c>
    </row>
    <row r="40" spans="1:13" ht="15" x14ac:dyDescent="0.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spans="1:13" ht="15" x14ac:dyDescent="0.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spans="1:13" ht="15" x14ac:dyDescent="0.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spans="1:13" ht="15" x14ac:dyDescent="0.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spans="1:13" ht="15" x14ac:dyDescent="0.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spans="1:13" ht="15" x14ac:dyDescent="0.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spans="1:13" ht="15" x14ac:dyDescent="0.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spans="1:13" ht="15" x14ac:dyDescent="0.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spans="1:13" ht="15" x14ac:dyDescent="0.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spans="1:13" ht="15" x14ac:dyDescent="0.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spans="1:13" ht="15" x14ac:dyDescent="0.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spans="1:13" ht="15" x14ac:dyDescent="0.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spans="1:13" ht="15" x14ac:dyDescent="0.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spans="1:13" ht="15" x14ac:dyDescent="0.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spans="1:13" ht="15" x14ac:dyDescent="0.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spans="1:13" ht="15" x14ac:dyDescent="0.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spans="1:13" ht="15" x14ac:dyDescent="0.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spans="1:13" ht="15" x14ac:dyDescent="0.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spans="1:13" ht="15" x14ac:dyDescent="0.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spans="1:13" ht="15" x14ac:dyDescent="0.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spans="1:13" ht="15" x14ac:dyDescent="0.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spans="1:13" ht="15" x14ac:dyDescent="0.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spans="1:13" ht="15" x14ac:dyDescent="0.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spans="1:13" ht="15" x14ac:dyDescent="0.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spans="1:13" ht="15" x14ac:dyDescent="0.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spans="1:13" ht="15" x14ac:dyDescent="0.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spans="1:13" ht="15" x14ac:dyDescent="0.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spans="1:13" ht="15" x14ac:dyDescent="0.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spans="1:13" ht="15" x14ac:dyDescent="0.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spans="1:13" ht="15" x14ac:dyDescent="0.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spans="1:13" ht="15" x14ac:dyDescent="0.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spans="1:13" ht="15" x14ac:dyDescent="0.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spans="1:13" ht="15" x14ac:dyDescent="0.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spans="1:13" ht="15" x14ac:dyDescent="0.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spans="1:13" ht="15" x14ac:dyDescent="0.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spans="1:13" ht="15" x14ac:dyDescent="0.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spans="1:13" ht="15" x14ac:dyDescent="0.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spans="1:13" ht="15" x14ac:dyDescent="0.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spans="1:13" ht="15" x14ac:dyDescent="0.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spans="1:13" ht="15" x14ac:dyDescent="0.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spans="1:13" ht="15" x14ac:dyDescent="0.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spans="1:13" ht="15" x14ac:dyDescent="0.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spans="1:13" ht="15" x14ac:dyDescent="0.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spans="1:13" ht="15" x14ac:dyDescent="0.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spans="1:13" ht="15" x14ac:dyDescent="0.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spans="1:13" ht="15" x14ac:dyDescent="0.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spans="1:13" ht="15" x14ac:dyDescent="0.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spans="1:13" ht="15" x14ac:dyDescent="0.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spans="1:13" ht="15" x14ac:dyDescent="0.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spans="1:13" ht="15" x14ac:dyDescent="0.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spans="1:13" ht="15" x14ac:dyDescent="0.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spans="1:13" ht="15" x14ac:dyDescent="0.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spans="1:13" ht="15" x14ac:dyDescent="0.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spans="1:13" ht="15" x14ac:dyDescent="0.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spans="1:13" ht="15" x14ac:dyDescent="0.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spans="1:13" ht="15" x14ac:dyDescent="0.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spans="1:13" ht="15" x14ac:dyDescent="0.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spans="1:13" ht="15" x14ac:dyDescent="0.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spans="1:13" ht="15" x14ac:dyDescent="0.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spans="1:13" ht="15" x14ac:dyDescent="0.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spans="1:13" ht="15" x14ac:dyDescent="0.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spans="1:13" ht="15" x14ac:dyDescent="0.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spans="1:13" ht="15" x14ac:dyDescent="0.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spans="1:13" ht="15" x14ac:dyDescent="0.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spans="1:13" ht="15" x14ac:dyDescent="0.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spans="1:13" ht="15" x14ac:dyDescent="0.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spans="1:13" ht="15" x14ac:dyDescent="0.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spans="1:13" ht="15" x14ac:dyDescent="0.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spans="1:13" ht="15" x14ac:dyDescent="0.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spans="1:13" ht="15" x14ac:dyDescent="0.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spans="1:13" ht="15" x14ac:dyDescent="0.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spans="1:13" ht="15" x14ac:dyDescent="0.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spans="1:13" ht="15" x14ac:dyDescent="0.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x14ac:dyDescent="0.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x14ac:dyDescent="0.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x14ac:dyDescent="0.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x14ac:dyDescent="0.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x14ac:dyDescent="0.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x14ac:dyDescent="0.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x14ac:dyDescent="0.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x14ac:dyDescent="0.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x14ac:dyDescent="0.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x14ac:dyDescent="0.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x14ac:dyDescent="0.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x14ac:dyDescent="0.3">
      <c r="A124" s="22">
        <v>901010403</v>
      </c>
      <c r="B124" s="22">
        <v>90101</v>
      </c>
      <c r="C124" s="22">
        <v>4</v>
      </c>
      <c r="D124" s="22">
        <v>3</v>
      </c>
      <c r="E124" s="23">
        <v>901010403</v>
      </c>
      <c r="F124" s="22">
        <v>1</v>
      </c>
      <c r="G124" s="22">
        <v>500</v>
      </c>
      <c r="H124" s="22" t="s">
        <v>273</v>
      </c>
      <c r="I124" s="22" t="s">
        <v>274</v>
      </c>
      <c r="J124" s="22" t="s">
        <v>275</v>
      </c>
      <c r="K124" s="41" t="s">
        <v>276</v>
      </c>
      <c r="L124" s="22" t="s">
        <v>37</v>
      </c>
      <c r="M124" s="22">
        <v>3560002</v>
      </c>
    </row>
    <row r="125" spans="1:13" x14ac:dyDescent="0.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x14ac:dyDescent="0.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x14ac:dyDescent="0.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x14ac:dyDescent="0.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x14ac:dyDescent="0.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x14ac:dyDescent="0.3">
      <c r="A130" s="25">
        <v>902010202</v>
      </c>
      <c r="B130" s="25">
        <v>90201</v>
      </c>
      <c r="C130" s="25">
        <v>2</v>
      </c>
      <c r="D130" s="25">
        <v>2</v>
      </c>
      <c r="E130" s="26">
        <v>902010202</v>
      </c>
      <c r="F130" s="25">
        <v>1</v>
      </c>
      <c r="G130" s="25">
        <v>500</v>
      </c>
      <c r="H130" s="25" t="s">
        <v>214</v>
      </c>
      <c r="I130" s="25" t="s">
        <v>292</v>
      </c>
      <c r="J130" s="25" t="s">
        <v>293</v>
      </c>
      <c r="K130" s="42" t="s">
        <v>294</v>
      </c>
      <c r="L130" s="25" t="s">
        <v>37</v>
      </c>
      <c r="M130" s="25">
        <v>3570002</v>
      </c>
    </row>
    <row r="131" spans="1:13" x14ac:dyDescent="0.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x14ac:dyDescent="0.3">
      <c r="A132" s="25">
        <v>902010403</v>
      </c>
      <c r="B132" s="25">
        <v>90201</v>
      </c>
      <c r="C132" s="25">
        <v>4</v>
      </c>
      <c r="D132" s="25">
        <v>3</v>
      </c>
      <c r="E132" s="26">
        <v>902010403</v>
      </c>
      <c r="F132" s="25">
        <v>1</v>
      </c>
      <c r="G132" s="25">
        <v>500</v>
      </c>
      <c r="H132" s="25" t="s">
        <v>298</v>
      </c>
      <c r="I132" s="25" t="s">
        <v>299</v>
      </c>
      <c r="J132" s="25" t="s">
        <v>300</v>
      </c>
      <c r="K132" s="42" t="s">
        <v>294</v>
      </c>
      <c r="L132" s="25" t="s">
        <v>37</v>
      </c>
      <c r="M132" s="25">
        <v>3570002</v>
      </c>
    </row>
    <row r="133" spans="1:13" x14ac:dyDescent="0.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x14ac:dyDescent="0.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x14ac:dyDescent="0.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x14ac:dyDescent="0.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x14ac:dyDescent="0.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x14ac:dyDescent="0.3">
      <c r="A138" s="27">
        <v>903010202</v>
      </c>
      <c r="B138" s="27">
        <v>90301</v>
      </c>
      <c r="C138" s="27">
        <v>2</v>
      </c>
      <c r="D138" s="27">
        <v>2</v>
      </c>
      <c r="E138" s="28">
        <v>903010202</v>
      </c>
      <c r="F138" s="27">
        <v>1</v>
      </c>
      <c r="G138" s="27">
        <v>500</v>
      </c>
      <c r="H138" s="27" t="s">
        <v>248</v>
      </c>
      <c r="I138" s="27" t="s">
        <v>316</v>
      </c>
      <c r="J138" s="27" t="s">
        <v>317</v>
      </c>
      <c r="K138" s="43" t="s">
        <v>318</v>
      </c>
      <c r="L138" s="27" t="s">
        <v>37</v>
      </c>
      <c r="M138" s="27">
        <v>3580002</v>
      </c>
    </row>
    <row r="139" spans="1:13" x14ac:dyDescent="0.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x14ac:dyDescent="0.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x14ac:dyDescent="0.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x14ac:dyDescent="0.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x14ac:dyDescent="0.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x14ac:dyDescent="0.3">
      <c r="A144" s="27">
        <v>903010805</v>
      </c>
      <c r="B144" s="27">
        <v>90301</v>
      </c>
      <c r="C144" s="27">
        <v>8</v>
      </c>
      <c r="D144" s="27">
        <v>5</v>
      </c>
      <c r="E144" s="28">
        <v>903010805</v>
      </c>
      <c r="F144" s="27">
        <v>1</v>
      </c>
      <c r="G144" s="27">
        <v>500</v>
      </c>
      <c r="H144" s="27" t="s">
        <v>334</v>
      </c>
      <c r="I144" s="27" t="s">
        <v>335</v>
      </c>
      <c r="J144" s="27" t="s">
        <v>336</v>
      </c>
      <c r="K144" s="44" t="s">
        <v>337</v>
      </c>
      <c r="L144" s="27" t="s">
        <v>37</v>
      </c>
      <c r="M144" s="27">
        <v>3580001</v>
      </c>
    </row>
    <row r="145" spans="1:13" x14ac:dyDescent="0.3">
      <c r="A145" s="29">
        <v>904010101</v>
      </c>
      <c r="B145" s="29">
        <v>90401</v>
      </c>
      <c r="C145" s="29">
        <v>1</v>
      </c>
      <c r="D145" s="29">
        <v>1</v>
      </c>
      <c r="E145" s="30">
        <v>0</v>
      </c>
      <c r="F145" s="29">
        <v>1</v>
      </c>
      <c r="G145" s="29">
        <v>500</v>
      </c>
      <c r="H145" s="45" t="s">
        <v>338</v>
      </c>
      <c r="I145" s="29" t="s">
        <v>339</v>
      </c>
      <c r="J145" s="29" t="s">
        <v>340</v>
      </c>
      <c r="K145" s="45" t="s">
        <v>341</v>
      </c>
      <c r="L145" s="29" t="s">
        <v>37</v>
      </c>
      <c r="M145" s="29">
        <v>3590001</v>
      </c>
    </row>
    <row r="146" spans="1:13" x14ac:dyDescent="0.3">
      <c r="A146" s="29">
        <v>904010202</v>
      </c>
      <c r="B146" s="29">
        <v>90401</v>
      </c>
      <c r="C146" s="29">
        <v>2</v>
      </c>
      <c r="D146" s="29">
        <v>2</v>
      </c>
      <c r="E146" s="30">
        <v>0</v>
      </c>
      <c r="F146" s="29">
        <v>1</v>
      </c>
      <c r="G146" s="29">
        <v>500</v>
      </c>
      <c r="H146" s="45" t="s">
        <v>342</v>
      </c>
      <c r="I146" s="29" t="s">
        <v>343</v>
      </c>
      <c r="J146" s="29" t="s">
        <v>344</v>
      </c>
      <c r="K146" s="29">
        <v>3041102</v>
      </c>
      <c r="L146" s="29" t="s">
        <v>37</v>
      </c>
      <c r="M146" s="29">
        <v>3590002</v>
      </c>
    </row>
    <row r="147" spans="1:13" x14ac:dyDescent="0.3">
      <c r="A147" s="29">
        <v>904010303</v>
      </c>
      <c r="B147" s="29">
        <v>90401</v>
      </c>
      <c r="C147" s="29">
        <v>3</v>
      </c>
      <c r="D147" s="29">
        <v>3</v>
      </c>
      <c r="E147" s="30">
        <v>0</v>
      </c>
      <c r="F147" s="29">
        <v>1</v>
      </c>
      <c r="G147" s="29">
        <v>500</v>
      </c>
      <c r="H147" s="45" t="s">
        <v>345</v>
      </c>
      <c r="I147" s="29" t="s">
        <v>346</v>
      </c>
      <c r="J147" s="29" t="s">
        <v>347</v>
      </c>
      <c r="K147" s="29">
        <v>3041102</v>
      </c>
      <c r="L147" s="29" t="s">
        <v>37</v>
      </c>
      <c r="M147" s="29">
        <v>3590002</v>
      </c>
    </row>
    <row r="148" spans="1:13" x14ac:dyDescent="0.3">
      <c r="A148" s="29">
        <v>904010403</v>
      </c>
      <c r="B148" s="29">
        <v>90401</v>
      </c>
      <c r="C148" s="29">
        <v>4</v>
      </c>
      <c r="D148" s="29">
        <v>3</v>
      </c>
      <c r="E148" s="30">
        <v>0</v>
      </c>
      <c r="F148" s="29">
        <v>1</v>
      </c>
      <c r="G148" s="29">
        <v>500</v>
      </c>
      <c r="H148" s="45" t="s">
        <v>348</v>
      </c>
      <c r="I148" s="29" t="s">
        <v>349</v>
      </c>
      <c r="J148" s="29" t="s">
        <v>350</v>
      </c>
      <c r="K148" s="29"/>
      <c r="L148" s="29" t="s">
        <v>37</v>
      </c>
      <c r="M148" s="29">
        <v>3590003</v>
      </c>
    </row>
    <row r="149" spans="1:13" x14ac:dyDescent="0.3">
      <c r="A149" s="29">
        <v>904010504</v>
      </c>
      <c r="B149" s="29">
        <v>90401</v>
      </c>
      <c r="C149" s="29">
        <v>5</v>
      </c>
      <c r="D149" s="29">
        <v>4</v>
      </c>
      <c r="E149" s="30">
        <v>0</v>
      </c>
      <c r="F149" s="29">
        <v>1</v>
      </c>
      <c r="G149" s="29">
        <v>500</v>
      </c>
      <c r="H149" s="45" t="s">
        <v>351</v>
      </c>
      <c r="I149" s="29" t="s">
        <v>352</v>
      </c>
      <c r="J149" s="29" t="s">
        <v>353</v>
      </c>
      <c r="K149" s="29">
        <v>3041102</v>
      </c>
      <c r="L149" s="29" t="s">
        <v>37</v>
      </c>
      <c r="M149" s="29">
        <v>3590004</v>
      </c>
    </row>
    <row r="150" spans="1:13" x14ac:dyDescent="0.3">
      <c r="A150" s="29">
        <v>904010705</v>
      </c>
      <c r="B150" s="29">
        <v>90401</v>
      </c>
      <c r="C150" s="29">
        <v>7</v>
      </c>
      <c r="D150" s="29">
        <v>5</v>
      </c>
      <c r="E150" s="30">
        <v>0</v>
      </c>
      <c r="F150" s="29">
        <v>1</v>
      </c>
      <c r="G150" s="29">
        <v>500</v>
      </c>
      <c r="H150" s="45" t="s">
        <v>354</v>
      </c>
      <c r="I150" s="29" t="s">
        <v>355</v>
      </c>
      <c r="J150" s="29" t="s">
        <v>356</v>
      </c>
      <c r="K150" s="29"/>
      <c r="L150" s="29" t="s">
        <v>37</v>
      </c>
      <c r="M150" s="29">
        <v>3590005</v>
      </c>
    </row>
    <row r="151" spans="1:13" x14ac:dyDescent="0.3">
      <c r="A151" s="31">
        <v>905010101</v>
      </c>
      <c r="B151" s="31">
        <v>90501</v>
      </c>
      <c r="C151" s="31">
        <v>1</v>
      </c>
      <c r="D151" s="31">
        <v>1</v>
      </c>
      <c r="E151" s="32">
        <v>0</v>
      </c>
      <c r="F151" s="31">
        <v>1</v>
      </c>
      <c r="G151" s="31">
        <v>500</v>
      </c>
      <c r="H151" s="46" t="s">
        <v>357</v>
      </c>
      <c r="I151" s="31" t="s">
        <v>358</v>
      </c>
      <c r="J151" s="31" t="s">
        <v>36</v>
      </c>
      <c r="K151" s="31">
        <v>3040102</v>
      </c>
      <c r="L151" s="31" t="s">
        <v>37</v>
      </c>
      <c r="M151" s="31">
        <v>3600001</v>
      </c>
    </row>
    <row r="152" spans="1:13" x14ac:dyDescent="0.3">
      <c r="A152" s="31">
        <v>905010202</v>
      </c>
      <c r="B152" s="31">
        <v>90501</v>
      </c>
      <c r="C152" s="31">
        <v>2</v>
      </c>
      <c r="D152" s="31">
        <v>2</v>
      </c>
      <c r="E152" s="32">
        <v>905010202</v>
      </c>
      <c r="F152" s="31">
        <v>1</v>
      </c>
      <c r="G152" s="31">
        <v>500</v>
      </c>
      <c r="H152" s="46" t="s">
        <v>359</v>
      </c>
      <c r="I152" s="31" t="s">
        <v>360</v>
      </c>
      <c r="J152" s="31" t="s">
        <v>361</v>
      </c>
      <c r="K152" s="46" t="s">
        <v>362</v>
      </c>
      <c r="L152" s="31" t="s">
        <v>37</v>
      </c>
      <c r="M152" s="31">
        <v>3600001</v>
      </c>
    </row>
    <row r="153" spans="1:13" x14ac:dyDescent="0.3">
      <c r="A153" s="31">
        <v>905010302</v>
      </c>
      <c r="B153" s="31">
        <v>90501</v>
      </c>
      <c r="C153" s="31">
        <v>3</v>
      </c>
      <c r="D153" s="31">
        <v>2</v>
      </c>
      <c r="E153" s="32">
        <v>905010302</v>
      </c>
      <c r="F153" s="31">
        <v>1</v>
      </c>
      <c r="G153" s="31">
        <v>500</v>
      </c>
      <c r="H153" s="46" t="s">
        <v>363</v>
      </c>
      <c r="I153" s="31" t="s">
        <v>364</v>
      </c>
      <c r="J153" s="31" t="s">
        <v>365</v>
      </c>
      <c r="K153" s="46" t="s">
        <v>366</v>
      </c>
      <c r="L153" s="31" t="s">
        <v>37</v>
      </c>
      <c r="M153" s="31">
        <v>3600002</v>
      </c>
    </row>
    <row r="154" spans="1:13" x14ac:dyDescent="0.3">
      <c r="A154" s="31">
        <v>905010403</v>
      </c>
      <c r="B154" s="31">
        <v>90501</v>
      </c>
      <c r="C154" s="31">
        <v>4</v>
      </c>
      <c r="D154" s="31">
        <v>3</v>
      </c>
      <c r="E154" s="32">
        <v>905010403</v>
      </c>
      <c r="F154" s="31">
        <v>1</v>
      </c>
      <c r="G154" s="31">
        <v>500</v>
      </c>
      <c r="H154" s="46" t="s">
        <v>367</v>
      </c>
      <c r="I154" s="31" t="s">
        <v>368</v>
      </c>
      <c r="J154" s="31" t="s">
        <v>369</v>
      </c>
      <c r="K154" s="31"/>
      <c r="L154" s="31" t="s">
        <v>37</v>
      </c>
      <c r="M154" s="31">
        <v>3600003</v>
      </c>
    </row>
    <row r="155" spans="1:13" x14ac:dyDescent="0.3">
      <c r="A155" s="31">
        <v>905010503</v>
      </c>
      <c r="B155" s="31">
        <v>90501</v>
      </c>
      <c r="C155" s="31">
        <v>5</v>
      </c>
      <c r="D155" s="31">
        <v>3</v>
      </c>
      <c r="E155" s="32">
        <v>905010503</v>
      </c>
      <c r="F155" s="31">
        <v>1</v>
      </c>
      <c r="G155" s="31">
        <v>500</v>
      </c>
      <c r="H155" s="46" t="s">
        <v>370</v>
      </c>
      <c r="I155" s="31" t="s">
        <v>371</v>
      </c>
      <c r="J155" s="31" t="s">
        <v>372</v>
      </c>
      <c r="K155" s="31"/>
      <c r="L155" s="31" t="s">
        <v>37</v>
      </c>
      <c r="M155" s="31">
        <v>3600002</v>
      </c>
    </row>
    <row r="156" spans="1:13" x14ac:dyDescent="0.3">
      <c r="A156" s="31">
        <v>905010604</v>
      </c>
      <c r="B156" s="31">
        <v>90501</v>
      </c>
      <c r="C156" s="31">
        <v>6</v>
      </c>
      <c r="D156" s="31">
        <v>4</v>
      </c>
      <c r="E156" s="32">
        <v>905010604</v>
      </c>
      <c r="F156" s="31">
        <v>1</v>
      </c>
      <c r="G156" s="31">
        <v>500</v>
      </c>
      <c r="H156" s="46" t="s">
        <v>373</v>
      </c>
      <c r="I156" s="31" t="s">
        <v>374</v>
      </c>
      <c r="J156" s="31" t="s">
        <v>361</v>
      </c>
      <c r="K156" s="46" t="s">
        <v>362</v>
      </c>
      <c r="L156" s="31" t="s">
        <v>37</v>
      </c>
      <c r="M156" s="31">
        <v>3600002</v>
      </c>
    </row>
    <row r="157" spans="1:13" x14ac:dyDescent="0.3">
      <c r="A157" s="31">
        <v>905010704</v>
      </c>
      <c r="B157" s="31">
        <v>90501</v>
      </c>
      <c r="C157" s="31">
        <v>7</v>
      </c>
      <c r="D157" s="31">
        <v>4</v>
      </c>
      <c r="E157" s="32">
        <v>905010704</v>
      </c>
      <c r="F157" s="31">
        <v>1</v>
      </c>
      <c r="G157" s="31">
        <v>500</v>
      </c>
      <c r="H157" s="46" t="s">
        <v>375</v>
      </c>
      <c r="I157" s="31" t="s">
        <v>376</v>
      </c>
      <c r="J157" s="31" t="s">
        <v>377</v>
      </c>
      <c r="K157" s="31"/>
      <c r="L157" s="31" t="s">
        <v>37</v>
      </c>
      <c r="M157" s="31">
        <v>3600003</v>
      </c>
    </row>
    <row r="158" spans="1:13" x14ac:dyDescent="0.3">
      <c r="A158" s="31">
        <v>905010805</v>
      </c>
      <c r="B158" s="31">
        <v>90501</v>
      </c>
      <c r="C158" s="31">
        <v>8</v>
      </c>
      <c r="D158" s="31">
        <v>5</v>
      </c>
      <c r="E158" s="32">
        <v>905010805</v>
      </c>
      <c r="F158" s="31">
        <v>30</v>
      </c>
      <c r="G158" s="31">
        <v>500</v>
      </c>
      <c r="H158" s="46" t="s">
        <v>378</v>
      </c>
      <c r="I158" s="31" t="s">
        <v>379</v>
      </c>
      <c r="J158" s="31" t="s">
        <v>380</v>
      </c>
      <c r="K158" s="31"/>
      <c r="L158" s="31" t="s">
        <v>37</v>
      </c>
      <c r="M158" s="31">
        <v>3600004</v>
      </c>
    </row>
    <row r="159" spans="1:13" x14ac:dyDescent="0.3">
      <c r="A159" s="33">
        <v>906010101</v>
      </c>
      <c r="B159" s="33">
        <v>90601</v>
      </c>
      <c r="C159" s="33">
        <v>1</v>
      </c>
      <c r="D159" s="33">
        <v>1</v>
      </c>
      <c r="E159" s="34">
        <v>0</v>
      </c>
      <c r="F159" s="33">
        <v>1</v>
      </c>
      <c r="G159" s="33">
        <v>500</v>
      </c>
      <c r="H159" s="47" t="s">
        <v>381</v>
      </c>
      <c r="I159" s="33" t="s">
        <v>382</v>
      </c>
      <c r="J159" s="33" t="s">
        <v>98</v>
      </c>
      <c r="K159" s="33">
        <v>3041001</v>
      </c>
      <c r="L159" s="33" t="s">
        <v>37</v>
      </c>
      <c r="M159" s="33">
        <v>3610001</v>
      </c>
    </row>
    <row r="160" spans="1:13" x14ac:dyDescent="0.3">
      <c r="A160" s="33">
        <v>906010202</v>
      </c>
      <c r="B160" s="33">
        <v>90601</v>
      </c>
      <c r="C160" s="33">
        <v>2</v>
      </c>
      <c r="D160" s="33">
        <v>2</v>
      </c>
      <c r="E160" s="34">
        <v>0</v>
      </c>
      <c r="F160" s="33">
        <v>1</v>
      </c>
      <c r="G160" s="33">
        <v>500</v>
      </c>
      <c r="H160" s="47" t="s">
        <v>383</v>
      </c>
      <c r="I160" s="33" t="s">
        <v>384</v>
      </c>
      <c r="J160" s="33" t="s">
        <v>385</v>
      </c>
      <c r="K160" s="33"/>
      <c r="L160" s="33" t="s">
        <v>37</v>
      </c>
      <c r="M160" s="33">
        <v>3610002</v>
      </c>
    </row>
    <row r="161" spans="1:13" x14ac:dyDescent="0.3">
      <c r="A161" s="33">
        <v>906010302</v>
      </c>
      <c r="B161" s="33">
        <v>90601</v>
      </c>
      <c r="C161" s="33">
        <v>3</v>
      </c>
      <c r="D161" s="33">
        <v>2</v>
      </c>
      <c r="E161" s="34" t="s">
        <v>386</v>
      </c>
      <c r="F161" s="33">
        <v>1</v>
      </c>
      <c r="G161" s="33">
        <v>500</v>
      </c>
      <c r="H161" s="47" t="s">
        <v>387</v>
      </c>
      <c r="I161" s="33" t="s">
        <v>388</v>
      </c>
      <c r="J161" s="33" t="s">
        <v>389</v>
      </c>
      <c r="K161" s="33"/>
      <c r="L161" s="33" t="s">
        <v>37</v>
      </c>
      <c r="M161" s="33">
        <v>3610002</v>
      </c>
    </row>
    <row r="162" spans="1:13" x14ac:dyDescent="0.3">
      <c r="A162" s="33">
        <v>906010403</v>
      </c>
      <c r="B162" s="33">
        <v>90601</v>
      </c>
      <c r="C162" s="33">
        <v>4</v>
      </c>
      <c r="D162" s="33">
        <v>3</v>
      </c>
      <c r="E162" s="34">
        <v>0</v>
      </c>
      <c r="F162" s="33">
        <v>1</v>
      </c>
      <c r="G162" s="33">
        <v>500</v>
      </c>
      <c r="H162" s="47" t="s">
        <v>390</v>
      </c>
      <c r="I162" s="33" t="s">
        <v>391</v>
      </c>
      <c r="J162" s="33" t="s">
        <v>392</v>
      </c>
      <c r="K162" s="33"/>
      <c r="L162" s="33" t="s">
        <v>37</v>
      </c>
      <c r="M162" s="33">
        <v>3610003</v>
      </c>
    </row>
    <row r="163" spans="1:13" x14ac:dyDescent="0.3">
      <c r="A163" s="33">
        <v>906010503</v>
      </c>
      <c r="B163" s="33">
        <v>90601</v>
      </c>
      <c r="C163" s="33">
        <v>5</v>
      </c>
      <c r="D163" s="33">
        <v>3</v>
      </c>
      <c r="E163" s="34" t="s">
        <v>393</v>
      </c>
      <c r="F163" s="33">
        <v>1</v>
      </c>
      <c r="G163" s="33">
        <v>500</v>
      </c>
      <c r="H163" s="47" t="s">
        <v>394</v>
      </c>
      <c r="I163" s="33" t="s">
        <v>395</v>
      </c>
      <c r="J163" s="33" t="s">
        <v>396</v>
      </c>
      <c r="K163" s="33"/>
      <c r="L163" s="33" t="s">
        <v>37</v>
      </c>
      <c r="M163" s="33">
        <v>3610003</v>
      </c>
    </row>
    <row r="164" spans="1:13" x14ac:dyDescent="0.3">
      <c r="A164" s="33">
        <v>906010604</v>
      </c>
      <c r="B164" s="33">
        <v>90601</v>
      </c>
      <c r="C164" s="33">
        <v>6</v>
      </c>
      <c r="D164" s="33">
        <v>4</v>
      </c>
      <c r="E164" s="48" t="s">
        <v>397</v>
      </c>
      <c r="F164" s="33">
        <v>1</v>
      </c>
      <c r="G164" s="33">
        <v>500</v>
      </c>
      <c r="H164" s="47" t="s">
        <v>398</v>
      </c>
      <c r="I164" s="33" t="s">
        <v>399</v>
      </c>
      <c r="J164" s="33" t="s">
        <v>400</v>
      </c>
      <c r="K164" s="33"/>
      <c r="L164" s="33" t="s">
        <v>37</v>
      </c>
      <c r="M164" s="33">
        <v>3610002</v>
      </c>
    </row>
    <row r="165" spans="1:13" x14ac:dyDescent="0.3">
      <c r="A165" s="33">
        <v>906010704</v>
      </c>
      <c r="B165" s="33">
        <v>90601</v>
      </c>
      <c r="C165" s="33">
        <v>7</v>
      </c>
      <c r="D165" s="33">
        <v>4</v>
      </c>
      <c r="E165" s="34">
        <v>0</v>
      </c>
      <c r="F165" s="33">
        <v>1</v>
      </c>
      <c r="G165" s="33">
        <v>500</v>
      </c>
      <c r="H165" s="47" t="s">
        <v>401</v>
      </c>
      <c r="I165" s="33" t="s">
        <v>402</v>
      </c>
      <c r="J165" s="33" t="s">
        <v>403</v>
      </c>
      <c r="K165" s="47" t="s">
        <v>404</v>
      </c>
      <c r="L165" s="33" t="s">
        <v>37</v>
      </c>
      <c r="M165" s="33">
        <v>3610004</v>
      </c>
    </row>
    <row r="166" spans="1:13" x14ac:dyDescent="0.3">
      <c r="A166" s="33">
        <v>906010805</v>
      </c>
      <c r="B166" s="33">
        <v>90601</v>
      </c>
      <c r="C166" s="33">
        <v>8</v>
      </c>
      <c r="D166" s="33">
        <v>5</v>
      </c>
      <c r="E166" s="34">
        <v>0</v>
      </c>
      <c r="F166" s="33">
        <v>1</v>
      </c>
      <c r="G166" s="33">
        <v>500</v>
      </c>
      <c r="H166" s="47" t="s">
        <v>405</v>
      </c>
      <c r="I166" s="33" t="s">
        <v>406</v>
      </c>
      <c r="J166" s="33" t="s">
        <v>407</v>
      </c>
      <c r="K166" s="33"/>
      <c r="L166" s="33" t="s">
        <v>37</v>
      </c>
      <c r="M166" s="33">
        <v>3610004</v>
      </c>
    </row>
    <row r="167" spans="1:13" x14ac:dyDescent="0.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x14ac:dyDescent="0.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x14ac:dyDescent="0.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x14ac:dyDescent="0.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x14ac:dyDescent="0.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x14ac:dyDescent="0.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x14ac:dyDescent="0.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x14ac:dyDescent="0.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x14ac:dyDescent="0.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x14ac:dyDescent="0.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x14ac:dyDescent="0.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x14ac:dyDescent="0.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x14ac:dyDescent="0.3">
      <c r="A179" s="20">
        <v>900020101</v>
      </c>
      <c r="B179" s="20">
        <v>90002</v>
      </c>
      <c r="C179" s="20">
        <v>1</v>
      </c>
      <c r="D179" s="20">
        <v>1</v>
      </c>
      <c r="E179" s="21" t="s">
        <v>33</v>
      </c>
      <c r="F179" s="20">
        <v>1</v>
      </c>
      <c r="G179" s="20">
        <v>500</v>
      </c>
      <c r="H179" s="20" t="s">
        <v>444</v>
      </c>
      <c r="I179" s="20" t="s">
        <v>445</v>
      </c>
      <c r="J179" s="38" t="s">
        <v>446</v>
      </c>
      <c r="K179" s="20">
        <v>3050001</v>
      </c>
      <c r="L179" s="20" t="s">
        <v>37</v>
      </c>
      <c r="M179" s="20">
        <v>3550001</v>
      </c>
    </row>
    <row r="180" spans="1:13" x14ac:dyDescent="0.3">
      <c r="A180" s="20">
        <v>900020202</v>
      </c>
      <c r="B180" s="20">
        <v>90002</v>
      </c>
      <c r="C180" s="20">
        <v>2</v>
      </c>
      <c r="D180" s="20">
        <v>2</v>
      </c>
      <c r="E180" s="21">
        <v>900020202</v>
      </c>
      <c r="F180" s="20">
        <v>1</v>
      </c>
      <c r="G180" s="20">
        <v>500</v>
      </c>
      <c r="H180" s="20" t="s">
        <v>447</v>
      </c>
      <c r="I180" s="20" t="s">
        <v>448</v>
      </c>
      <c r="J180" s="38" t="s">
        <v>449</v>
      </c>
      <c r="K180" s="20">
        <v>3050301</v>
      </c>
      <c r="L180" s="20" t="s">
        <v>37</v>
      </c>
      <c r="M180" s="20">
        <v>3550002</v>
      </c>
    </row>
    <row r="181" spans="1:13" x14ac:dyDescent="0.3">
      <c r="A181" s="20">
        <v>900020302</v>
      </c>
      <c r="B181" s="20">
        <v>90002</v>
      </c>
      <c r="C181" s="20">
        <v>3</v>
      </c>
      <c r="D181" s="20">
        <v>2</v>
      </c>
      <c r="E181" s="21">
        <v>900020302</v>
      </c>
      <c r="F181" s="20">
        <v>1</v>
      </c>
      <c r="G181" s="20">
        <v>500</v>
      </c>
      <c r="H181" s="20" t="s">
        <v>450</v>
      </c>
      <c r="I181" s="20" t="s">
        <v>451</v>
      </c>
      <c r="J181" s="38" t="s">
        <v>452</v>
      </c>
      <c r="K181" s="20"/>
      <c r="L181" s="20" t="s">
        <v>37</v>
      </c>
      <c r="M181" s="20">
        <v>3550003</v>
      </c>
    </row>
    <row r="182" spans="1:13" x14ac:dyDescent="0.3">
      <c r="A182" s="20">
        <v>900020403</v>
      </c>
      <c r="B182" s="20">
        <v>90002</v>
      </c>
      <c r="C182" s="20">
        <v>4</v>
      </c>
      <c r="D182" s="20">
        <v>3</v>
      </c>
      <c r="E182" s="21">
        <v>900020403</v>
      </c>
      <c r="F182" s="20">
        <v>1</v>
      </c>
      <c r="G182" s="20">
        <v>500</v>
      </c>
      <c r="H182" s="20" t="s">
        <v>453</v>
      </c>
      <c r="I182" s="20" t="s">
        <v>454</v>
      </c>
      <c r="J182" s="38" t="s">
        <v>455</v>
      </c>
      <c r="K182" s="20">
        <v>3050301</v>
      </c>
      <c r="L182" s="20" t="s">
        <v>37</v>
      </c>
      <c r="M182" s="20">
        <v>3550002</v>
      </c>
    </row>
    <row r="183" spans="1:13" x14ac:dyDescent="0.3">
      <c r="A183" s="20">
        <v>900020503</v>
      </c>
      <c r="B183" s="20">
        <v>90002</v>
      </c>
      <c r="C183" s="20">
        <v>5</v>
      </c>
      <c r="D183" s="20">
        <v>3</v>
      </c>
      <c r="E183" s="21">
        <v>900020503</v>
      </c>
      <c r="F183" s="20">
        <v>1</v>
      </c>
      <c r="G183" s="20">
        <v>500</v>
      </c>
      <c r="H183" s="20" t="s">
        <v>456</v>
      </c>
      <c r="I183" s="20" t="s">
        <v>457</v>
      </c>
      <c r="J183" s="38" t="s">
        <v>458</v>
      </c>
      <c r="K183" s="20">
        <v>3550501</v>
      </c>
      <c r="L183" s="20" t="s">
        <v>37</v>
      </c>
      <c r="M183" s="20">
        <v>3550003</v>
      </c>
    </row>
    <row r="184" spans="1:13" x14ac:dyDescent="0.3">
      <c r="A184" s="20">
        <v>900020604</v>
      </c>
      <c r="B184" s="20">
        <v>90002</v>
      </c>
      <c r="C184" s="20">
        <v>6</v>
      </c>
      <c r="D184" s="20">
        <v>4</v>
      </c>
      <c r="E184" s="21">
        <v>900020604</v>
      </c>
      <c r="F184" s="20">
        <v>1</v>
      </c>
      <c r="G184" s="20">
        <v>500</v>
      </c>
      <c r="H184" s="20" t="s">
        <v>459</v>
      </c>
      <c r="I184" s="20" t="s">
        <v>460</v>
      </c>
      <c r="J184" s="38" t="s">
        <v>461</v>
      </c>
      <c r="K184" s="20">
        <v>3550206</v>
      </c>
      <c r="L184" s="20" t="s">
        <v>37</v>
      </c>
      <c r="M184" s="20">
        <v>3550002</v>
      </c>
    </row>
    <row r="185" spans="1:13" x14ac:dyDescent="0.3">
      <c r="A185" s="20">
        <v>900020704</v>
      </c>
      <c r="B185" s="20">
        <v>90002</v>
      </c>
      <c r="C185" s="20">
        <v>7</v>
      </c>
      <c r="D185" s="20">
        <v>4</v>
      </c>
      <c r="E185" s="21">
        <v>900020704</v>
      </c>
      <c r="F185" s="20">
        <v>1</v>
      </c>
      <c r="G185" s="20">
        <v>500</v>
      </c>
      <c r="H185" s="20" t="s">
        <v>462</v>
      </c>
      <c r="I185" s="20" t="s">
        <v>463</v>
      </c>
      <c r="J185" s="38" t="s">
        <v>464</v>
      </c>
      <c r="K185" s="20">
        <v>3050301</v>
      </c>
      <c r="L185" s="20" t="s">
        <v>37</v>
      </c>
      <c r="M185" s="20">
        <v>3550003</v>
      </c>
    </row>
    <row r="186" spans="1:13" x14ac:dyDescent="0.3">
      <c r="A186" s="20">
        <v>900020805</v>
      </c>
      <c r="B186" s="20">
        <v>90002</v>
      </c>
      <c r="C186" s="20">
        <v>8</v>
      </c>
      <c r="D186" s="20">
        <v>5</v>
      </c>
      <c r="E186" s="21">
        <v>900020805</v>
      </c>
      <c r="F186" s="20">
        <v>1</v>
      </c>
      <c r="G186" s="20">
        <v>500</v>
      </c>
      <c r="H186" s="20" t="s">
        <v>465</v>
      </c>
      <c r="I186" s="20" t="s">
        <v>466</v>
      </c>
      <c r="J186" s="38" t="s">
        <v>467</v>
      </c>
      <c r="K186" s="49" t="s">
        <v>468</v>
      </c>
      <c r="L186" s="20" t="s">
        <v>37</v>
      </c>
      <c r="M186" s="20">
        <v>3550001</v>
      </c>
    </row>
    <row r="187" spans="1:13" x14ac:dyDescent="0.3">
      <c r="A187" s="20">
        <v>900020904</v>
      </c>
      <c r="B187" s="20">
        <v>90002</v>
      </c>
      <c r="C187" s="20">
        <v>9</v>
      </c>
      <c r="D187" s="20">
        <v>4</v>
      </c>
      <c r="E187" s="21">
        <v>900020805</v>
      </c>
      <c r="F187" s="20">
        <v>30</v>
      </c>
      <c r="G187" s="20">
        <v>500</v>
      </c>
      <c r="H187" s="20" t="s">
        <v>469</v>
      </c>
      <c r="I187" s="20" t="s">
        <v>470</v>
      </c>
      <c r="J187" s="38" t="s">
        <v>151</v>
      </c>
      <c r="K187" s="20">
        <v>3050301</v>
      </c>
      <c r="L187" s="20" t="s">
        <v>37</v>
      </c>
      <c r="M187" s="20">
        <v>3550001</v>
      </c>
    </row>
    <row r="188" spans="1:13" x14ac:dyDescent="0.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x14ac:dyDescent="0.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x14ac:dyDescent="0.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x14ac:dyDescent="0.3">
      <c r="A191" s="22">
        <v>901020403</v>
      </c>
      <c r="B191" s="22">
        <v>90102</v>
      </c>
      <c r="C191" s="22">
        <v>4</v>
      </c>
      <c r="D191" s="22">
        <v>3</v>
      </c>
      <c r="E191" s="23">
        <v>901020403</v>
      </c>
      <c r="F191" s="22">
        <v>1</v>
      </c>
      <c r="G191" s="22">
        <v>500</v>
      </c>
      <c r="H191" s="22" t="s">
        <v>473</v>
      </c>
      <c r="I191" s="22" t="s">
        <v>274</v>
      </c>
      <c r="J191" s="22" t="s">
        <v>275</v>
      </c>
      <c r="K191" s="41" t="s">
        <v>276</v>
      </c>
      <c r="L191" s="22" t="s">
        <v>37</v>
      </c>
      <c r="M191" s="22">
        <v>3560002</v>
      </c>
    </row>
    <row r="192" spans="1:13" x14ac:dyDescent="0.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x14ac:dyDescent="0.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x14ac:dyDescent="0.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x14ac:dyDescent="0.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x14ac:dyDescent="0.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x14ac:dyDescent="0.3">
      <c r="A197" s="25">
        <v>902020202</v>
      </c>
      <c r="B197" s="25">
        <v>90202</v>
      </c>
      <c r="C197" s="25">
        <v>2</v>
      </c>
      <c r="D197" s="25">
        <v>2</v>
      </c>
      <c r="E197" s="26">
        <v>902020202</v>
      </c>
      <c r="F197" s="25">
        <v>1</v>
      </c>
      <c r="G197" s="25">
        <v>500</v>
      </c>
      <c r="H197" s="25" t="s">
        <v>478</v>
      </c>
      <c r="I197" s="25" t="s">
        <v>292</v>
      </c>
      <c r="J197" s="25" t="s">
        <v>479</v>
      </c>
      <c r="K197" s="42" t="s">
        <v>294</v>
      </c>
      <c r="L197" s="25" t="s">
        <v>37</v>
      </c>
      <c r="M197" s="25">
        <v>3570002</v>
      </c>
    </row>
    <row r="198" spans="1:13" x14ac:dyDescent="0.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x14ac:dyDescent="0.3">
      <c r="A199" s="25">
        <v>902020403</v>
      </c>
      <c r="B199" s="25">
        <v>90202</v>
      </c>
      <c r="C199" s="25">
        <v>4</v>
      </c>
      <c r="D199" s="25">
        <v>3</v>
      </c>
      <c r="E199" s="26">
        <v>902020403</v>
      </c>
      <c r="F199" s="25">
        <v>1</v>
      </c>
      <c r="G199" s="25">
        <v>500</v>
      </c>
      <c r="H199" s="25" t="s">
        <v>481</v>
      </c>
      <c r="I199" s="25" t="s">
        <v>299</v>
      </c>
      <c r="J199" s="25" t="s">
        <v>482</v>
      </c>
      <c r="K199" s="42" t="s">
        <v>294</v>
      </c>
      <c r="L199" s="25" t="s">
        <v>37</v>
      </c>
      <c r="M199" s="25">
        <v>3570002</v>
      </c>
    </row>
    <row r="200" spans="1:13" x14ac:dyDescent="0.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x14ac:dyDescent="0.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x14ac:dyDescent="0.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x14ac:dyDescent="0.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x14ac:dyDescent="0.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x14ac:dyDescent="0.3">
      <c r="A205" s="27">
        <v>903020202</v>
      </c>
      <c r="B205" s="27">
        <v>90302</v>
      </c>
      <c r="C205" s="27">
        <v>2</v>
      </c>
      <c r="D205" s="27">
        <v>2</v>
      </c>
      <c r="E205" s="28">
        <v>903020202</v>
      </c>
      <c r="F205" s="27">
        <v>1</v>
      </c>
      <c r="G205" s="27">
        <v>500</v>
      </c>
      <c r="H205" s="27" t="s">
        <v>489</v>
      </c>
      <c r="I205" s="27" t="s">
        <v>316</v>
      </c>
      <c r="J205" s="27" t="s">
        <v>317</v>
      </c>
      <c r="K205" s="43" t="s">
        <v>318</v>
      </c>
      <c r="L205" s="27" t="s">
        <v>37</v>
      </c>
      <c r="M205" s="27">
        <v>3580002</v>
      </c>
    </row>
    <row r="206" spans="1:13" x14ac:dyDescent="0.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x14ac:dyDescent="0.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x14ac:dyDescent="0.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x14ac:dyDescent="0.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x14ac:dyDescent="0.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x14ac:dyDescent="0.3">
      <c r="A211" s="27">
        <v>903020805</v>
      </c>
      <c r="B211" s="27">
        <v>90302</v>
      </c>
      <c r="C211" s="27">
        <v>8</v>
      </c>
      <c r="D211" s="27">
        <v>5</v>
      </c>
      <c r="E211" s="28">
        <v>903020805</v>
      </c>
      <c r="F211" s="27">
        <v>1</v>
      </c>
      <c r="G211" s="27">
        <v>500</v>
      </c>
      <c r="H211" s="27" t="s">
        <v>499</v>
      </c>
      <c r="I211" s="27" t="s">
        <v>335</v>
      </c>
      <c r="J211" s="27" t="s">
        <v>336</v>
      </c>
      <c r="K211" s="44" t="s">
        <v>337</v>
      </c>
      <c r="L211" s="27" t="s">
        <v>37</v>
      </c>
      <c r="M211" s="27">
        <v>3580001</v>
      </c>
    </row>
    <row r="212" spans="1:13" ht="15" x14ac:dyDescent="0.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spans="1:13" ht="15" x14ac:dyDescent="0.3">
      <c r="A213" s="17">
        <v>99990002</v>
      </c>
      <c r="B213" s="17">
        <v>9999</v>
      </c>
      <c r="C213" s="17">
        <v>2</v>
      </c>
      <c r="D213" s="17">
        <v>1</v>
      </c>
      <c r="E213" s="16" t="s">
        <v>33</v>
      </c>
      <c r="F213" s="17">
        <v>1</v>
      </c>
      <c r="G213" s="17">
        <v>100</v>
      </c>
      <c r="H213" s="19" t="s">
        <v>502</v>
      </c>
      <c r="I213" s="13" t="s">
        <v>503</v>
      </c>
      <c r="J213" s="13" t="s">
        <v>503</v>
      </c>
      <c r="L213" s="17" t="s">
        <v>37</v>
      </c>
      <c r="M213" s="17">
        <v>3600002</v>
      </c>
    </row>
    <row r="214" spans="1:13" ht="15" x14ac:dyDescent="0.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x14ac:dyDescent="0.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x14ac:dyDescent="0.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x14ac:dyDescent="0.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x14ac:dyDescent="0.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x14ac:dyDescent="0.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x14ac:dyDescent="0.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x14ac:dyDescent="0.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x14ac:dyDescent="0.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x14ac:dyDescent="0.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x14ac:dyDescent="0.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x14ac:dyDescent="0.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x14ac:dyDescent="0.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x14ac:dyDescent="0.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x14ac:dyDescent="0.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x14ac:dyDescent="0.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x14ac:dyDescent="0.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x14ac:dyDescent="0.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x14ac:dyDescent="0.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x14ac:dyDescent="0.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x14ac:dyDescent="0.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x14ac:dyDescent="0.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x14ac:dyDescent="0.3">
      <c r="A236" s="17">
        <v>99990025</v>
      </c>
      <c r="B236" s="17">
        <v>9999</v>
      </c>
      <c r="C236" s="17">
        <v>25</v>
      </c>
      <c r="D236" s="13">
        <v>1</v>
      </c>
      <c r="E236" s="13">
        <v>0</v>
      </c>
      <c r="F236" s="13">
        <v>1</v>
      </c>
      <c r="G236" s="17">
        <v>100</v>
      </c>
      <c r="H236" s="13" t="s">
        <v>550</v>
      </c>
      <c r="I236" s="13" t="s">
        <v>551</v>
      </c>
      <c r="J236" s="13" t="s">
        <v>552</v>
      </c>
      <c r="L236" s="17" t="s">
        <v>37</v>
      </c>
      <c r="M236" s="13">
        <v>3560004</v>
      </c>
    </row>
    <row r="237" spans="1:13" x14ac:dyDescent="0.3">
      <c r="A237" s="17">
        <v>99990026</v>
      </c>
      <c r="B237" s="17">
        <v>9999</v>
      </c>
      <c r="C237" s="17">
        <v>26</v>
      </c>
      <c r="D237" s="13">
        <v>1</v>
      </c>
      <c r="E237" s="13">
        <v>0</v>
      </c>
      <c r="F237" s="13">
        <v>1</v>
      </c>
      <c r="G237" s="17">
        <v>100</v>
      </c>
      <c r="H237" s="13" t="s">
        <v>553</v>
      </c>
      <c r="I237" s="13" t="s">
        <v>292</v>
      </c>
      <c r="J237" s="13" t="s">
        <v>554</v>
      </c>
      <c r="L237" s="17" t="s">
        <v>37</v>
      </c>
      <c r="M237" s="13">
        <v>3570003</v>
      </c>
    </row>
    <row r="238" spans="1:13" x14ac:dyDescent="0.3">
      <c r="A238" s="17">
        <v>99990027</v>
      </c>
      <c r="B238" s="17">
        <v>9999</v>
      </c>
      <c r="C238" s="17">
        <v>27</v>
      </c>
      <c r="D238" s="13">
        <v>1</v>
      </c>
      <c r="E238" s="13">
        <v>0</v>
      </c>
      <c r="F238" s="13">
        <v>1</v>
      </c>
      <c r="G238" s="17">
        <v>100</v>
      </c>
      <c r="H238" s="13" t="s">
        <v>555</v>
      </c>
      <c r="I238" s="13" t="s">
        <v>556</v>
      </c>
      <c r="J238" s="13" t="s">
        <v>557</v>
      </c>
      <c r="L238" s="17" t="s">
        <v>37</v>
      </c>
      <c r="M238" s="13">
        <v>3570003</v>
      </c>
    </row>
    <row r="239" spans="1:13" x14ac:dyDescent="0.3">
      <c r="A239" s="17">
        <v>99990028</v>
      </c>
      <c r="B239" s="17">
        <v>9999</v>
      </c>
      <c r="C239" s="17">
        <v>28</v>
      </c>
      <c r="D239" s="13">
        <v>1</v>
      </c>
      <c r="E239" s="13">
        <v>0</v>
      </c>
      <c r="F239" s="13">
        <v>1</v>
      </c>
      <c r="G239" s="17">
        <v>100</v>
      </c>
      <c r="H239" s="13" t="s">
        <v>558</v>
      </c>
      <c r="I239" s="13" t="s">
        <v>559</v>
      </c>
      <c r="J239" s="13" t="s">
        <v>560</v>
      </c>
      <c r="L239" s="17" t="s">
        <v>37</v>
      </c>
      <c r="M239" s="13">
        <v>3570003</v>
      </c>
    </row>
    <row r="240" spans="1:13" x14ac:dyDescent="0.3">
      <c r="A240" s="17">
        <v>99990029</v>
      </c>
      <c r="B240" s="17">
        <v>9999</v>
      </c>
      <c r="C240" s="17">
        <v>29</v>
      </c>
      <c r="D240" s="13">
        <v>1</v>
      </c>
      <c r="E240" s="13">
        <v>0</v>
      </c>
      <c r="F240" s="13">
        <v>1</v>
      </c>
      <c r="G240" s="17">
        <v>100</v>
      </c>
      <c r="H240" s="13" t="s">
        <v>561</v>
      </c>
      <c r="I240" s="13" t="s">
        <v>562</v>
      </c>
      <c r="J240" s="13" t="s">
        <v>563</v>
      </c>
      <c r="L240" s="17" t="s">
        <v>37</v>
      </c>
      <c r="M240" s="13">
        <v>3570003</v>
      </c>
    </row>
    <row r="241" spans="1:13" x14ac:dyDescent="0.3">
      <c r="A241" s="17">
        <v>99990030</v>
      </c>
      <c r="B241" s="17">
        <v>9999</v>
      </c>
      <c r="C241" s="17">
        <v>30</v>
      </c>
      <c r="D241" s="13">
        <v>1</v>
      </c>
      <c r="E241" s="13">
        <v>0</v>
      </c>
      <c r="F241" s="13">
        <v>1</v>
      </c>
      <c r="G241" s="17">
        <v>100</v>
      </c>
      <c r="H241" s="13" t="s">
        <v>564</v>
      </c>
      <c r="I241" s="13" t="s">
        <v>565</v>
      </c>
      <c r="J241" s="13" t="s">
        <v>566</v>
      </c>
      <c r="L241" s="17" t="s">
        <v>37</v>
      </c>
      <c r="M241" s="13">
        <v>3570003</v>
      </c>
    </row>
    <row r="242" spans="1:13" x14ac:dyDescent="0.3">
      <c r="A242" s="17">
        <v>99990031</v>
      </c>
      <c r="B242" s="17">
        <v>9999</v>
      </c>
      <c r="C242" s="17">
        <v>31</v>
      </c>
      <c r="D242" s="13">
        <v>1</v>
      </c>
      <c r="E242" s="13">
        <v>0</v>
      </c>
      <c r="F242" s="13">
        <v>1</v>
      </c>
      <c r="G242" s="17">
        <v>100</v>
      </c>
      <c r="H242" s="13" t="s">
        <v>567</v>
      </c>
      <c r="I242" s="13" t="s">
        <v>568</v>
      </c>
      <c r="J242" s="13" t="s">
        <v>569</v>
      </c>
      <c r="L242" s="17" t="s">
        <v>37</v>
      </c>
      <c r="M242" s="13">
        <v>3570003</v>
      </c>
    </row>
    <row r="243" spans="1:13" x14ac:dyDescent="0.3">
      <c r="A243" s="17">
        <v>99990032</v>
      </c>
      <c r="B243" s="17">
        <v>9999</v>
      </c>
      <c r="C243" s="17">
        <v>32</v>
      </c>
      <c r="D243" s="13">
        <v>1</v>
      </c>
      <c r="E243" s="13">
        <v>0</v>
      </c>
      <c r="F243" s="13">
        <v>1</v>
      </c>
      <c r="G243" s="17">
        <v>100</v>
      </c>
      <c r="H243" s="13" t="s">
        <v>570</v>
      </c>
      <c r="I243" s="13" t="s">
        <v>296</v>
      </c>
      <c r="J243" s="13" t="s">
        <v>571</v>
      </c>
      <c r="L243" s="17" t="s">
        <v>37</v>
      </c>
      <c r="M243" s="13">
        <v>3570003</v>
      </c>
    </row>
    <row r="244" spans="1:13" x14ac:dyDescent="0.3">
      <c r="A244" s="17">
        <v>99990033</v>
      </c>
      <c r="B244" s="17">
        <v>9999</v>
      </c>
      <c r="C244" s="17">
        <v>33</v>
      </c>
      <c r="D244" s="13">
        <v>1</v>
      </c>
      <c r="E244" s="13">
        <v>0</v>
      </c>
      <c r="F244" s="13">
        <v>1</v>
      </c>
      <c r="G244" s="17">
        <v>100</v>
      </c>
      <c r="H244" s="13" t="s">
        <v>572</v>
      </c>
      <c r="I244" s="13" t="s">
        <v>573</v>
      </c>
      <c r="J244" s="13" t="s">
        <v>574</v>
      </c>
      <c r="L244" s="17" t="s">
        <v>37</v>
      </c>
      <c r="M244" s="13">
        <v>3570003</v>
      </c>
    </row>
    <row r="245" spans="1:13" x14ac:dyDescent="0.3">
      <c r="A245" s="17">
        <v>99910001</v>
      </c>
      <c r="B245" s="17">
        <v>9991</v>
      </c>
      <c r="C245" s="17">
        <v>1</v>
      </c>
      <c r="D245" s="13">
        <v>1</v>
      </c>
      <c r="E245" s="13">
        <v>0</v>
      </c>
      <c r="F245" s="13">
        <v>1</v>
      </c>
      <c r="G245" s="17">
        <v>100</v>
      </c>
      <c r="H245" s="13" t="s">
        <v>575</v>
      </c>
      <c r="I245" s="13" t="s">
        <v>296</v>
      </c>
      <c r="J245" s="13" t="s">
        <v>571</v>
      </c>
      <c r="L245" s="17" t="s">
        <v>37</v>
      </c>
      <c r="M245" s="13">
        <v>3570003</v>
      </c>
    </row>
    <row r="246" spans="1:13" x14ac:dyDescent="0.3">
      <c r="A246" s="17">
        <v>99910002</v>
      </c>
      <c r="B246" s="17">
        <v>9991</v>
      </c>
      <c r="C246" s="17">
        <v>2</v>
      </c>
      <c r="D246" s="13">
        <v>2</v>
      </c>
      <c r="E246" s="13">
        <v>0</v>
      </c>
      <c r="F246" s="13">
        <v>2</v>
      </c>
      <c r="G246" s="17">
        <v>100</v>
      </c>
      <c r="H246" s="13" t="s">
        <v>576</v>
      </c>
      <c r="I246" s="13" t="s">
        <v>577</v>
      </c>
      <c r="J246" s="13" t="s">
        <v>578</v>
      </c>
      <c r="L246" s="17" t="s">
        <v>37</v>
      </c>
      <c r="M246" s="13">
        <v>3570003</v>
      </c>
    </row>
    <row r="247" spans="1:13" x14ac:dyDescent="0.3">
      <c r="A247" s="17">
        <v>99910003</v>
      </c>
      <c r="B247" s="17">
        <v>9991</v>
      </c>
      <c r="C247" s="17">
        <v>3</v>
      </c>
      <c r="D247" s="13">
        <v>2</v>
      </c>
      <c r="E247" s="13">
        <v>0</v>
      </c>
      <c r="F247" s="13">
        <v>2</v>
      </c>
      <c r="G247" s="17">
        <v>100</v>
      </c>
      <c r="H247" s="13" t="s">
        <v>579</v>
      </c>
      <c r="I247" s="13" t="s">
        <v>580</v>
      </c>
      <c r="J247" s="13" t="s">
        <v>581</v>
      </c>
      <c r="L247" s="17" t="s">
        <v>37</v>
      </c>
      <c r="M247" s="13">
        <v>3570003</v>
      </c>
    </row>
    <row r="248" spans="1:13" x14ac:dyDescent="0.3">
      <c r="A248" s="17">
        <v>99910004</v>
      </c>
      <c r="B248" s="17">
        <v>9991</v>
      </c>
      <c r="C248" s="17">
        <v>4</v>
      </c>
      <c r="D248" s="13">
        <v>2</v>
      </c>
      <c r="E248" s="13">
        <v>0</v>
      </c>
      <c r="F248" s="13">
        <v>2</v>
      </c>
      <c r="G248" s="17">
        <v>100</v>
      </c>
      <c r="H248" s="13" t="s">
        <v>582</v>
      </c>
      <c r="I248" s="13" t="s">
        <v>583</v>
      </c>
      <c r="J248" s="13" t="s">
        <v>584</v>
      </c>
      <c r="L248" s="17" t="s">
        <v>37</v>
      </c>
      <c r="M248" s="13">
        <v>3570003</v>
      </c>
    </row>
    <row r="249" spans="1:13" x14ac:dyDescent="0.3">
      <c r="A249" s="17">
        <v>99910005</v>
      </c>
      <c r="B249" s="17">
        <v>9991</v>
      </c>
      <c r="C249" s="17">
        <v>5</v>
      </c>
      <c r="D249" s="13">
        <v>3</v>
      </c>
      <c r="E249" s="13">
        <v>0</v>
      </c>
      <c r="F249" s="13">
        <v>2</v>
      </c>
      <c r="G249" s="17">
        <v>100</v>
      </c>
      <c r="H249" s="13" t="s">
        <v>585</v>
      </c>
      <c r="I249" s="13" t="s">
        <v>586</v>
      </c>
      <c r="J249" s="13" t="s">
        <v>587</v>
      </c>
      <c r="L249" s="17" t="s">
        <v>37</v>
      </c>
      <c r="M249" s="13">
        <v>3570003</v>
      </c>
    </row>
    <row r="250" spans="1:13" x14ac:dyDescent="0.3">
      <c r="A250" s="17">
        <v>99910006</v>
      </c>
      <c r="B250" s="17">
        <v>9991</v>
      </c>
      <c r="C250" s="17">
        <v>6</v>
      </c>
      <c r="D250" s="13">
        <v>3</v>
      </c>
      <c r="E250" s="13">
        <v>0</v>
      </c>
      <c r="F250" s="13">
        <v>1</v>
      </c>
      <c r="G250" s="17">
        <v>100</v>
      </c>
      <c r="H250" s="13" t="s">
        <v>588</v>
      </c>
      <c r="I250" s="13" t="s">
        <v>589</v>
      </c>
      <c r="J250" s="13" t="s">
        <v>590</v>
      </c>
      <c r="L250" s="17" t="s">
        <v>37</v>
      </c>
      <c r="M250" s="13">
        <v>3570003</v>
      </c>
    </row>
    <row r="251" spans="1:13" x14ac:dyDescent="0.3">
      <c r="A251" s="17">
        <v>99910007</v>
      </c>
      <c r="B251" s="17">
        <v>9991</v>
      </c>
      <c r="C251" s="17">
        <v>7</v>
      </c>
      <c r="D251" s="13">
        <v>3</v>
      </c>
      <c r="E251" s="13">
        <v>0</v>
      </c>
      <c r="F251" s="13">
        <v>1</v>
      </c>
      <c r="G251" s="17">
        <v>100</v>
      </c>
      <c r="H251" s="13" t="s">
        <v>591</v>
      </c>
      <c r="I251" s="13" t="s">
        <v>592</v>
      </c>
      <c r="J251" s="13" t="s">
        <v>593</v>
      </c>
      <c r="L251" s="17" t="s">
        <v>37</v>
      </c>
      <c r="M251" s="13">
        <v>3570003</v>
      </c>
    </row>
    <row r="252" spans="1:13" x14ac:dyDescent="0.3">
      <c r="A252" s="17">
        <v>99910008</v>
      </c>
      <c r="B252" s="17">
        <v>9991</v>
      </c>
      <c r="C252" s="17">
        <v>8</v>
      </c>
      <c r="D252" s="13">
        <v>4</v>
      </c>
      <c r="E252" s="13">
        <v>0</v>
      </c>
      <c r="F252" s="13">
        <v>2</v>
      </c>
      <c r="G252" s="17">
        <v>100</v>
      </c>
      <c r="H252" s="13" t="s">
        <v>594</v>
      </c>
      <c r="I252" s="13" t="s">
        <v>595</v>
      </c>
      <c r="J252" s="13" t="s">
        <v>596</v>
      </c>
      <c r="L252" s="17" t="s">
        <v>37</v>
      </c>
      <c r="M252" s="13">
        <v>3570003</v>
      </c>
    </row>
    <row r="253" spans="1:13" x14ac:dyDescent="0.3">
      <c r="A253" s="17">
        <v>99910009</v>
      </c>
      <c r="B253" s="17">
        <v>9991</v>
      </c>
      <c r="C253" s="17">
        <v>9</v>
      </c>
      <c r="D253" s="13">
        <v>4</v>
      </c>
      <c r="E253" s="13">
        <v>0</v>
      </c>
      <c r="F253" s="13">
        <v>1</v>
      </c>
      <c r="G253" s="17">
        <v>100</v>
      </c>
      <c r="H253" s="13" t="s">
        <v>597</v>
      </c>
      <c r="I253" s="13" t="s">
        <v>598</v>
      </c>
      <c r="J253" s="13" t="s">
        <v>599</v>
      </c>
      <c r="L253" s="17" t="s">
        <v>37</v>
      </c>
      <c r="M253" s="13">
        <v>3570003</v>
      </c>
    </row>
    <row r="254" spans="1:13" x14ac:dyDescent="0.3">
      <c r="A254" s="17">
        <v>99910010</v>
      </c>
      <c r="B254" s="17">
        <v>9991</v>
      </c>
      <c r="C254" s="17">
        <v>10</v>
      </c>
      <c r="D254" s="13">
        <v>4</v>
      </c>
      <c r="E254" s="13">
        <v>0</v>
      </c>
      <c r="F254" s="13">
        <v>2</v>
      </c>
      <c r="G254" s="17">
        <v>100</v>
      </c>
      <c r="H254" s="13" t="s">
        <v>600</v>
      </c>
      <c r="I254" s="13" t="s">
        <v>601</v>
      </c>
      <c r="J254" s="13" t="s">
        <v>602</v>
      </c>
      <c r="L254" s="17" t="s">
        <v>37</v>
      </c>
      <c r="M254" s="13">
        <v>3570003</v>
      </c>
    </row>
    <row r="255" spans="1:13" x14ac:dyDescent="0.3">
      <c r="A255" s="17">
        <v>99910011</v>
      </c>
      <c r="B255" s="17">
        <v>9991</v>
      </c>
      <c r="C255" s="17">
        <v>11</v>
      </c>
      <c r="D255" s="13">
        <v>5</v>
      </c>
      <c r="E255" s="13">
        <v>0</v>
      </c>
      <c r="F255" s="13">
        <v>2</v>
      </c>
      <c r="G255" s="17">
        <v>100</v>
      </c>
      <c r="H255" s="13" t="s">
        <v>603</v>
      </c>
      <c r="I255" s="13" t="s">
        <v>604</v>
      </c>
      <c r="J255" s="13" t="s">
        <v>605</v>
      </c>
      <c r="L255" s="17" t="s">
        <v>37</v>
      </c>
      <c r="M255" s="13">
        <v>3570003</v>
      </c>
    </row>
    <row r="256" spans="1:13" x14ac:dyDescent="0.3">
      <c r="A256" s="17">
        <v>99910012</v>
      </c>
      <c r="B256" s="17">
        <v>9991</v>
      </c>
      <c r="C256" s="17">
        <v>12</v>
      </c>
      <c r="D256" s="13">
        <v>6</v>
      </c>
      <c r="E256" s="13">
        <v>0</v>
      </c>
      <c r="F256" s="13">
        <v>1</v>
      </c>
      <c r="G256" s="17">
        <v>100</v>
      </c>
      <c r="H256" s="13" t="s">
        <v>606</v>
      </c>
      <c r="I256" s="13" t="s">
        <v>607</v>
      </c>
      <c r="J256" s="13" t="s">
        <v>608</v>
      </c>
      <c r="L256" s="17" t="s">
        <v>37</v>
      </c>
      <c r="M256" s="13">
        <v>3570003</v>
      </c>
    </row>
    <row r="257" spans="1:13" x14ac:dyDescent="0.3">
      <c r="A257" s="17">
        <v>99920001</v>
      </c>
      <c r="B257" s="17">
        <v>9992</v>
      </c>
      <c r="C257" s="17">
        <v>1</v>
      </c>
      <c r="D257" s="13">
        <v>1</v>
      </c>
      <c r="E257" s="13">
        <v>0</v>
      </c>
      <c r="F257" s="13">
        <v>1</v>
      </c>
      <c r="G257" s="17">
        <v>100</v>
      </c>
      <c r="H257" s="13" t="s">
        <v>609</v>
      </c>
      <c r="I257" s="13" t="s">
        <v>610</v>
      </c>
      <c r="J257" s="13" t="s">
        <v>611</v>
      </c>
      <c r="L257" s="17" t="s">
        <v>37</v>
      </c>
      <c r="M257" s="13">
        <v>3570003</v>
      </c>
    </row>
    <row r="258" spans="1:13" x14ac:dyDescent="0.3">
      <c r="A258" s="17">
        <v>99920002</v>
      </c>
      <c r="B258" s="17">
        <v>9992</v>
      </c>
      <c r="C258" s="17">
        <v>2</v>
      </c>
      <c r="D258" s="13">
        <v>2</v>
      </c>
      <c r="E258" s="13">
        <v>0</v>
      </c>
      <c r="F258" s="13">
        <v>2</v>
      </c>
      <c r="G258" s="17">
        <v>100</v>
      </c>
      <c r="H258" s="13" t="s">
        <v>576</v>
      </c>
      <c r="I258" s="13" t="s">
        <v>577</v>
      </c>
      <c r="J258" s="13" t="s">
        <v>578</v>
      </c>
      <c r="L258" s="17" t="s">
        <v>37</v>
      </c>
      <c r="M258" s="13">
        <v>3570003</v>
      </c>
    </row>
    <row r="259" spans="1:13" x14ac:dyDescent="0.3">
      <c r="A259" s="17">
        <v>99920003</v>
      </c>
      <c r="B259" s="17">
        <v>9992</v>
      </c>
      <c r="C259" s="17">
        <v>3</v>
      </c>
      <c r="D259" s="13">
        <v>2</v>
      </c>
      <c r="E259" s="13">
        <v>0</v>
      </c>
      <c r="F259" s="13">
        <v>2</v>
      </c>
      <c r="G259" s="17">
        <v>100</v>
      </c>
      <c r="H259" s="50" t="s">
        <v>612</v>
      </c>
      <c r="I259" s="13" t="s">
        <v>613</v>
      </c>
      <c r="J259" s="13" t="s">
        <v>614</v>
      </c>
      <c r="L259" s="17" t="s">
        <v>37</v>
      </c>
      <c r="M259" s="13">
        <v>3570003</v>
      </c>
    </row>
    <row r="260" spans="1:13" x14ac:dyDescent="0.3">
      <c r="A260" s="17">
        <v>99920004</v>
      </c>
      <c r="B260" s="17">
        <v>9992</v>
      </c>
      <c r="C260" s="17">
        <v>4</v>
      </c>
      <c r="D260" s="13">
        <v>2</v>
      </c>
      <c r="E260" s="13">
        <v>0</v>
      </c>
      <c r="F260" s="13">
        <v>2</v>
      </c>
      <c r="G260" s="17">
        <v>100</v>
      </c>
      <c r="H260" s="13" t="s">
        <v>615</v>
      </c>
      <c r="I260" s="13" t="s">
        <v>583</v>
      </c>
      <c r="J260" s="13" t="s">
        <v>616</v>
      </c>
      <c r="L260" s="17" t="s">
        <v>37</v>
      </c>
      <c r="M260" s="13">
        <v>3570003</v>
      </c>
    </row>
    <row r="261" spans="1:13" x14ac:dyDescent="0.3">
      <c r="A261" s="17">
        <v>99920005</v>
      </c>
      <c r="B261" s="17">
        <v>9992</v>
      </c>
      <c r="C261" s="17">
        <v>5</v>
      </c>
      <c r="D261" s="13">
        <v>3</v>
      </c>
      <c r="E261" s="13">
        <v>0</v>
      </c>
      <c r="F261" s="13">
        <v>2</v>
      </c>
      <c r="G261" s="17">
        <v>100</v>
      </c>
      <c r="H261" s="50" t="s">
        <v>617</v>
      </c>
      <c r="I261" s="13" t="s">
        <v>618</v>
      </c>
      <c r="J261" s="13" t="s">
        <v>619</v>
      </c>
      <c r="L261" s="17" t="s">
        <v>37</v>
      </c>
      <c r="M261" s="13">
        <v>3570003</v>
      </c>
    </row>
    <row r="262" spans="1:13" x14ac:dyDescent="0.3">
      <c r="A262" s="17">
        <v>99920006</v>
      </c>
      <c r="B262" s="17">
        <v>9992</v>
      </c>
      <c r="C262" s="17">
        <v>6</v>
      </c>
      <c r="D262" s="13">
        <v>3</v>
      </c>
      <c r="E262" s="13">
        <v>0</v>
      </c>
      <c r="F262" s="13">
        <v>1</v>
      </c>
      <c r="G262" s="17">
        <v>100</v>
      </c>
      <c r="H262" s="13" t="s">
        <v>620</v>
      </c>
      <c r="I262" s="13" t="s">
        <v>621</v>
      </c>
      <c r="J262" s="13" t="s">
        <v>622</v>
      </c>
      <c r="L262" s="17" t="s">
        <v>37</v>
      </c>
      <c r="M262" s="13">
        <v>3570003</v>
      </c>
    </row>
    <row r="263" spans="1:13" x14ac:dyDescent="0.3">
      <c r="A263" s="17">
        <v>99920007</v>
      </c>
      <c r="B263" s="17">
        <v>9992</v>
      </c>
      <c r="C263" s="17">
        <v>7</v>
      </c>
      <c r="D263" s="13">
        <v>3</v>
      </c>
      <c r="E263" s="13">
        <v>0</v>
      </c>
      <c r="F263" s="13">
        <v>1</v>
      </c>
      <c r="G263" s="17">
        <v>100</v>
      </c>
      <c r="H263" s="50" t="s">
        <v>623</v>
      </c>
      <c r="I263" s="13" t="s">
        <v>624</v>
      </c>
      <c r="J263" s="13" t="s">
        <v>625</v>
      </c>
      <c r="L263" s="17" t="s">
        <v>37</v>
      </c>
      <c r="M263" s="13">
        <v>3570003</v>
      </c>
    </row>
    <row r="264" spans="1:13" x14ac:dyDescent="0.3">
      <c r="A264" s="17">
        <v>99920008</v>
      </c>
      <c r="B264" s="17">
        <v>9992</v>
      </c>
      <c r="C264" s="17">
        <v>8</v>
      </c>
      <c r="D264" s="13">
        <v>4</v>
      </c>
      <c r="E264" s="13">
        <v>0</v>
      </c>
      <c r="F264" s="13">
        <v>2</v>
      </c>
      <c r="G264" s="17">
        <v>100</v>
      </c>
      <c r="H264" s="50" t="s">
        <v>626</v>
      </c>
      <c r="I264" s="13" t="s">
        <v>627</v>
      </c>
      <c r="J264" s="13" t="s">
        <v>628</v>
      </c>
      <c r="L264" s="17" t="s">
        <v>37</v>
      </c>
      <c r="M264" s="13">
        <v>3570003</v>
      </c>
    </row>
    <row r="265" spans="1:13" x14ac:dyDescent="0.3">
      <c r="A265" s="17">
        <v>99920009</v>
      </c>
      <c r="B265" s="17">
        <v>9992</v>
      </c>
      <c r="C265" s="17">
        <v>9</v>
      </c>
      <c r="D265" s="13">
        <v>4</v>
      </c>
      <c r="E265" s="13">
        <v>0</v>
      </c>
      <c r="F265" s="13">
        <v>1</v>
      </c>
      <c r="G265" s="17">
        <v>100</v>
      </c>
      <c r="H265" s="13" t="s">
        <v>629</v>
      </c>
      <c r="I265" s="13" t="s">
        <v>630</v>
      </c>
      <c r="J265" s="13" t="s">
        <v>631</v>
      </c>
      <c r="L265" s="17" t="s">
        <v>37</v>
      </c>
      <c r="M265" s="13">
        <v>3570003</v>
      </c>
    </row>
    <row r="266" spans="1:13" x14ac:dyDescent="0.3">
      <c r="A266" s="17">
        <v>99920010</v>
      </c>
      <c r="B266" s="17">
        <v>9992</v>
      </c>
      <c r="C266" s="17">
        <v>10</v>
      </c>
      <c r="D266" s="13">
        <v>4</v>
      </c>
      <c r="E266" s="13">
        <v>0</v>
      </c>
      <c r="F266" s="13">
        <v>2</v>
      </c>
      <c r="G266" s="17">
        <v>100</v>
      </c>
      <c r="H266" s="50" t="s">
        <v>632</v>
      </c>
      <c r="I266" s="13" t="s">
        <v>633</v>
      </c>
      <c r="J266" s="13" t="s">
        <v>634</v>
      </c>
      <c r="L266" s="17" t="s">
        <v>37</v>
      </c>
      <c r="M266" s="13">
        <v>3570003</v>
      </c>
    </row>
    <row r="267" spans="1:13" x14ac:dyDescent="0.3">
      <c r="A267" s="17">
        <v>99920011</v>
      </c>
      <c r="B267" s="17">
        <v>9992</v>
      </c>
      <c r="C267" s="17">
        <v>11</v>
      </c>
      <c r="D267" s="13">
        <v>5</v>
      </c>
      <c r="E267" s="13">
        <v>0</v>
      </c>
      <c r="F267" s="13">
        <v>2</v>
      </c>
      <c r="G267" s="17">
        <v>100</v>
      </c>
      <c r="H267" s="13" t="s">
        <v>635</v>
      </c>
      <c r="I267" s="13" t="s">
        <v>636</v>
      </c>
      <c r="J267" s="13" t="s">
        <v>637</v>
      </c>
      <c r="L267" s="17" t="s">
        <v>37</v>
      </c>
      <c r="M267" s="13">
        <v>3570003</v>
      </c>
    </row>
    <row r="268" spans="1:13" x14ac:dyDescent="0.3">
      <c r="A268" s="17">
        <v>99920012</v>
      </c>
      <c r="B268" s="17">
        <v>9992</v>
      </c>
      <c r="C268" s="17">
        <v>12</v>
      </c>
      <c r="D268" s="13">
        <v>6</v>
      </c>
      <c r="E268" s="13">
        <v>0</v>
      </c>
      <c r="F268" s="13">
        <v>1</v>
      </c>
      <c r="G268" s="17">
        <v>100</v>
      </c>
      <c r="H268" s="13" t="s">
        <v>638</v>
      </c>
      <c r="I268" s="13" t="s">
        <v>639</v>
      </c>
      <c r="J268" s="13" t="s">
        <v>640</v>
      </c>
      <c r="L268" s="17" t="s">
        <v>37</v>
      </c>
      <c r="M268" s="13">
        <v>3570003</v>
      </c>
    </row>
    <row r="269" spans="1:13" x14ac:dyDescent="0.3">
      <c r="A269" s="17">
        <v>99930001</v>
      </c>
      <c r="B269" s="17">
        <v>9993</v>
      </c>
      <c r="C269" s="17">
        <v>1</v>
      </c>
      <c r="D269" s="13">
        <v>1</v>
      </c>
      <c r="E269" s="13">
        <v>0</v>
      </c>
      <c r="F269" s="13">
        <v>1</v>
      </c>
      <c r="G269" s="17">
        <v>100</v>
      </c>
      <c r="H269" s="13" t="s">
        <v>641</v>
      </c>
      <c r="I269" s="13" t="s">
        <v>642</v>
      </c>
      <c r="J269" s="13" t="s">
        <v>643</v>
      </c>
      <c r="L269" s="17" t="s">
        <v>37</v>
      </c>
      <c r="M269" s="13">
        <v>3570003</v>
      </c>
    </row>
    <row r="270" spans="1:13" x14ac:dyDescent="0.3">
      <c r="A270" s="17">
        <v>99930006</v>
      </c>
      <c r="B270" s="17">
        <v>9993</v>
      </c>
      <c r="C270" s="17">
        <v>6</v>
      </c>
      <c r="D270" s="13">
        <v>3</v>
      </c>
      <c r="E270" s="13">
        <v>0</v>
      </c>
      <c r="F270" s="13">
        <v>1</v>
      </c>
      <c r="G270" s="17">
        <v>100</v>
      </c>
      <c r="H270" s="13" t="s">
        <v>644</v>
      </c>
      <c r="I270" s="13" t="s">
        <v>645</v>
      </c>
      <c r="J270" s="13" t="s">
        <v>646</v>
      </c>
      <c r="L270" s="17" t="s">
        <v>37</v>
      </c>
      <c r="M270" s="13">
        <v>3570003</v>
      </c>
    </row>
    <row r="271" spans="1:13" x14ac:dyDescent="0.3">
      <c r="A271" s="17">
        <v>99930007</v>
      </c>
      <c r="B271" s="17">
        <v>9993</v>
      </c>
      <c r="C271" s="17">
        <v>7</v>
      </c>
      <c r="D271" s="13">
        <v>3</v>
      </c>
      <c r="E271" s="13">
        <v>0</v>
      </c>
      <c r="F271" s="13">
        <v>1</v>
      </c>
      <c r="G271" s="17">
        <v>100</v>
      </c>
      <c r="H271" s="13" t="s">
        <v>647</v>
      </c>
      <c r="I271" s="13" t="s">
        <v>648</v>
      </c>
      <c r="J271" s="13" t="s">
        <v>649</v>
      </c>
      <c r="L271" s="17" t="s">
        <v>37</v>
      </c>
      <c r="M271" s="13">
        <v>3570003</v>
      </c>
    </row>
    <row r="272" spans="1:13" x14ac:dyDescent="0.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x14ac:dyDescent="0.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x14ac:dyDescent="0.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x14ac:dyDescent="0.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x14ac:dyDescent="0.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x14ac:dyDescent="0.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x14ac:dyDescent="0.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x14ac:dyDescent="0.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x14ac:dyDescent="0.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x14ac:dyDescent="0.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x14ac:dyDescent="0.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x14ac:dyDescent="0.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x14ac:dyDescent="0.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x14ac:dyDescent="0.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x14ac:dyDescent="0.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x14ac:dyDescent="0.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x14ac:dyDescent="0.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x14ac:dyDescent="0.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x14ac:dyDescent="0.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x14ac:dyDescent="0.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x14ac:dyDescent="0.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x14ac:dyDescent="0.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x14ac:dyDescent="0.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x14ac:dyDescent="0.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x14ac:dyDescent="0.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x14ac:dyDescent="0.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x14ac:dyDescent="0.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x14ac:dyDescent="0.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x14ac:dyDescent="0.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x14ac:dyDescent="0.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x14ac:dyDescent="0.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x14ac:dyDescent="0.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x14ac:dyDescent="0.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x14ac:dyDescent="0.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x14ac:dyDescent="0.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x14ac:dyDescent="0.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x14ac:dyDescent="0.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x14ac:dyDescent="0.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x14ac:dyDescent="0.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x14ac:dyDescent="0.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x14ac:dyDescent="0.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x14ac:dyDescent="0.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x14ac:dyDescent="0.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x14ac:dyDescent="0.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x14ac:dyDescent="0.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x14ac:dyDescent="0.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x14ac:dyDescent="0.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x14ac:dyDescent="0.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x14ac:dyDescent="0.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x14ac:dyDescent="0.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x14ac:dyDescent="0.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x14ac:dyDescent="0.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x14ac:dyDescent="0.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x14ac:dyDescent="0.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x14ac:dyDescent="0.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x14ac:dyDescent="0.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x14ac:dyDescent="0.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x14ac:dyDescent="0.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x14ac:dyDescent="0.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x14ac:dyDescent="0.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x14ac:dyDescent="0.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x14ac:dyDescent="0.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x14ac:dyDescent="0.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x14ac:dyDescent="0.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x14ac:dyDescent="0.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x14ac:dyDescent="0.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x14ac:dyDescent="0.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x14ac:dyDescent="0.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x14ac:dyDescent="0.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x14ac:dyDescent="0.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x14ac:dyDescent="0.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x14ac:dyDescent="0.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x14ac:dyDescent="0.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x14ac:dyDescent="0.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x14ac:dyDescent="0.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x14ac:dyDescent="0.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x14ac:dyDescent="0.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x14ac:dyDescent="0.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x14ac:dyDescent="0.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x14ac:dyDescent="0.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x14ac:dyDescent="0.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x14ac:dyDescent="0.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x14ac:dyDescent="0.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x14ac:dyDescent="0.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x14ac:dyDescent="0.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x14ac:dyDescent="0.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x14ac:dyDescent="0.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x14ac:dyDescent="0.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x14ac:dyDescent="0.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x14ac:dyDescent="0.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x14ac:dyDescent="0.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x14ac:dyDescent="0.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x14ac:dyDescent="0.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x14ac:dyDescent="0.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x14ac:dyDescent="0.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x14ac:dyDescent="0.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x14ac:dyDescent="0.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x14ac:dyDescent="0.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x14ac:dyDescent="0.3">
      <c r="A370" s="17">
        <v>600100001</v>
      </c>
      <c r="B370" s="17">
        <v>6001</v>
      </c>
      <c r="C370" s="17">
        <v>1</v>
      </c>
      <c r="D370" s="13">
        <v>1</v>
      </c>
      <c r="E370" s="13">
        <v>0</v>
      </c>
      <c r="F370" s="13">
        <v>1</v>
      </c>
      <c r="G370" s="17">
        <v>200</v>
      </c>
      <c r="H370" s="13" t="s">
        <v>570</v>
      </c>
      <c r="I370" s="13" t="s">
        <v>296</v>
      </c>
      <c r="J370" s="13" t="s">
        <v>881</v>
      </c>
      <c r="L370" s="17" t="s">
        <v>37</v>
      </c>
      <c r="M370" s="13" t="s">
        <v>882</v>
      </c>
    </row>
    <row r="371" spans="1:13" x14ac:dyDescent="0.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x14ac:dyDescent="0.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x14ac:dyDescent="0.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x14ac:dyDescent="0.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x14ac:dyDescent="0.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x14ac:dyDescent="0.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x14ac:dyDescent="0.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x14ac:dyDescent="0.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x14ac:dyDescent="0.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x14ac:dyDescent="0.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x14ac:dyDescent="0.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x14ac:dyDescent="0.3">
      <c r="A382" s="17">
        <v>600200001</v>
      </c>
      <c r="B382" s="17">
        <v>6002</v>
      </c>
      <c r="C382" s="17">
        <v>1</v>
      </c>
      <c r="D382" s="13">
        <v>1</v>
      </c>
      <c r="E382" s="13">
        <v>0</v>
      </c>
      <c r="F382" s="13">
        <v>1</v>
      </c>
      <c r="G382" s="17">
        <v>200</v>
      </c>
      <c r="H382" s="13" t="s">
        <v>901</v>
      </c>
      <c r="I382" s="13" t="s">
        <v>610</v>
      </c>
      <c r="J382" s="13" t="s">
        <v>902</v>
      </c>
      <c r="L382" s="17" t="s">
        <v>37</v>
      </c>
      <c r="M382" s="13" t="s">
        <v>903</v>
      </c>
    </row>
    <row r="383" spans="1:13" x14ac:dyDescent="0.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x14ac:dyDescent="0.3">
      <c r="A384" s="17">
        <v>600200102</v>
      </c>
      <c r="B384" s="17">
        <v>6002</v>
      </c>
      <c r="C384" s="17">
        <v>3</v>
      </c>
      <c r="D384" s="13">
        <v>2</v>
      </c>
      <c r="E384" s="17">
        <v>600200102</v>
      </c>
      <c r="F384" s="13">
        <v>1</v>
      </c>
      <c r="G384" s="17">
        <v>200</v>
      </c>
      <c r="H384" s="50" t="s">
        <v>904</v>
      </c>
      <c r="I384" s="13" t="s">
        <v>613</v>
      </c>
      <c r="J384" s="13" t="s">
        <v>614</v>
      </c>
      <c r="L384" s="17" t="s">
        <v>37</v>
      </c>
      <c r="M384" s="13" t="s">
        <v>903</v>
      </c>
    </row>
    <row r="385" spans="1:13" x14ac:dyDescent="0.3">
      <c r="A385" s="17">
        <v>600200112</v>
      </c>
      <c r="B385" s="17">
        <v>6002</v>
      </c>
      <c r="C385" s="17">
        <v>21</v>
      </c>
      <c r="D385" s="13">
        <v>2</v>
      </c>
      <c r="E385" s="17">
        <v>600200112</v>
      </c>
      <c r="F385" s="13">
        <v>1</v>
      </c>
      <c r="G385" s="17">
        <v>200</v>
      </c>
      <c r="H385" s="39" t="s">
        <v>905</v>
      </c>
      <c r="I385" s="13" t="s">
        <v>906</v>
      </c>
      <c r="J385" s="13" t="s">
        <v>907</v>
      </c>
      <c r="L385" s="17" t="s">
        <v>37</v>
      </c>
      <c r="M385" s="13" t="s">
        <v>903</v>
      </c>
    </row>
    <row r="386" spans="1:13" x14ac:dyDescent="0.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x14ac:dyDescent="0.3">
      <c r="A387" s="17">
        <v>600200201</v>
      </c>
      <c r="B387" s="17">
        <v>6002</v>
      </c>
      <c r="C387" s="17">
        <v>5</v>
      </c>
      <c r="D387" s="13">
        <v>3</v>
      </c>
      <c r="E387" s="17">
        <v>600200201</v>
      </c>
      <c r="F387" s="13">
        <v>2</v>
      </c>
      <c r="G387" s="17">
        <v>300</v>
      </c>
      <c r="H387" s="50" t="s">
        <v>910</v>
      </c>
      <c r="I387" s="13" t="s">
        <v>618</v>
      </c>
      <c r="J387" s="13" t="s">
        <v>911</v>
      </c>
      <c r="L387" s="17" t="s">
        <v>37</v>
      </c>
      <c r="M387" s="13" t="s">
        <v>903</v>
      </c>
    </row>
    <row r="388" spans="1:13" x14ac:dyDescent="0.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x14ac:dyDescent="0.3">
      <c r="A389" s="17">
        <v>600200203</v>
      </c>
      <c r="B389" s="17">
        <v>6002</v>
      </c>
      <c r="C389" s="17">
        <v>7</v>
      </c>
      <c r="D389" s="13">
        <v>3</v>
      </c>
      <c r="E389" s="17">
        <v>600200203</v>
      </c>
      <c r="F389" s="13">
        <v>1</v>
      </c>
      <c r="G389" s="17">
        <v>300</v>
      </c>
      <c r="H389" s="50" t="s">
        <v>913</v>
      </c>
      <c r="I389" s="13" t="s">
        <v>624</v>
      </c>
      <c r="J389" s="13" t="s">
        <v>625</v>
      </c>
      <c r="L389" s="17" t="s">
        <v>37</v>
      </c>
      <c r="M389" s="13" t="s">
        <v>903</v>
      </c>
    </row>
    <row r="390" spans="1:13" x14ac:dyDescent="0.3">
      <c r="A390" s="17">
        <v>600200301</v>
      </c>
      <c r="B390" s="17">
        <v>6002</v>
      </c>
      <c r="C390" s="17">
        <v>8</v>
      </c>
      <c r="D390" s="13">
        <v>4</v>
      </c>
      <c r="E390" s="17">
        <v>600200301</v>
      </c>
      <c r="F390" s="13">
        <v>2</v>
      </c>
      <c r="G390" s="17">
        <v>400</v>
      </c>
      <c r="H390" s="50" t="s">
        <v>914</v>
      </c>
      <c r="I390" s="13" t="s">
        <v>627</v>
      </c>
      <c r="J390" s="13" t="s">
        <v>628</v>
      </c>
      <c r="L390" s="17" t="s">
        <v>37</v>
      </c>
      <c r="M390" s="13" t="s">
        <v>903</v>
      </c>
    </row>
    <row r="391" spans="1:13" x14ac:dyDescent="0.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x14ac:dyDescent="0.3">
      <c r="A392" s="17">
        <v>600200303</v>
      </c>
      <c r="B392" s="17">
        <v>6002</v>
      </c>
      <c r="C392" s="17">
        <v>10</v>
      </c>
      <c r="D392" s="13">
        <v>4</v>
      </c>
      <c r="E392" s="17">
        <v>600200303</v>
      </c>
      <c r="F392" s="13">
        <v>2</v>
      </c>
      <c r="G392" s="17">
        <v>400</v>
      </c>
      <c r="H392" s="39" t="s">
        <v>916</v>
      </c>
      <c r="I392" s="13" t="s">
        <v>633</v>
      </c>
      <c r="J392" s="13" t="s">
        <v>917</v>
      </c>
      <c r="L392" s="17" t="s">
        <v>37</v>
      </c>
      <c r="M392" s="13" t="s">
        <v>903</v>
      </c>
    </row>
    <row r="393" spans="1:13" x14ac:dyDescent="0.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x14ac:dyDescent="0.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x14ac:dyDescent="0.3">
      <c r="A395" s="17">
        <v>600300001</v>
      </c>
      <c r="B395" s="17">
        <v>6003</v>
      </c>
      <c r="C395" s="17">
        <v>1</v>
      </c>
      <c r="D395" s="13">
        <v>1</v>
      </c>
      <c r="E395" s="13">
        <v>0</v>
      </c>
      <c r="F395" s="13">
        <v>1</v>
      </c>
      <c r="G395" s="17">
        <v>200</v>
      </c>
      <c r="H395" s="13" t="s">
        <v>641</v>
      </c>
      <c r="I395" s="13" t="s">
        <v>642</v>
      </c>
      <c r="J395" s="13" t="s">
        <v>920</v>
      </c>
      <c r="L395" s="17" t="s">
        <v>37</v>
      </c>
      <c r="M395" s="13" t="s">
        <v>921</v>
      </c>
    </row>
    <row r="396" spans="1:13" x14ac:dyDescent="0.3">
      <c r="A396" s="17">
        <v>600300101</v>
      </c>
      <c r="B396" s="17">
        <v>6003</v>
      </c>
      <c r="C396" s="17">
        <v>2</v>
      </c>
      <c r="D396" s="13">
        <v>2</v>
      </c>
      <c r="E396" s="17">
        <v>600300101</v>
      </c>
      <c r="F396" s="13">
        <v>2</v>
      </c>
      <c r="G396" s="17">
        <v>200</v>
      </c>
      <c r="H396" s="51" t="s">
        <v>922</v>
      </c>
      <c r="I396" s="13" t="s">
        <v>923</v>
      </c>
      <c r="J396" s="13" t="s">
        <v>924</v>
      </c>
      <c r="L396" s="17" t="s">
        <v>37</v>
      </c>
      <c r="M396" s="13" t="s">
        <v>921</v>
      </c>
    </row>
    <row r="397" spans="1:13" x14ac:dyDescent="0.3">
      <c r="A397" s="17">
        <v>600300102</v>
      </c>
      <c r="B397" s="17">
        <v>6003</v>
      </c>
      <c r="C397" s="17">
        <v>3</v>
      </c>
      <c r="D397" s="13">
        <v>2</v>
      </c>
      <c r="E397" s="17">
        <v>600300102</v>
      </c>
      <c r="F397" s="13">
        <v>2</v>
      </c>
      <c r="G397" s="17">
        <v>200</v>
      </c>
      <c r="H397" s="51" t="s">
        <v>925</v>
      </c>
      <c r="I397" s="13" t="s">
        <v>926</v>
      </c>
      <c r="J397" s="13" t="s">
        <v>927</v>
      </c>
      <c r="L397" s="17" t="s">
        <v>37</v>
      </c>
      <c r="M397" s="13" t="s">
        <v>921</v>
      </c>
    </row>
    <row r="398" spans="1:13" x14ac:dyDescent="0.3">
      <c r="A398" s="17">
        <v>600300103</v>
      </c>
      <c r="B398" s="17">
        <v>6003</v>
      </c>
      <c r="C398" s="17">
        <v>4</v>
      </c>
      <c r="D398" s="13">
        <v>2</v>
      </c>
      <c r="E398" s="17">
        <v>600300103</v>
      </c>
      <c r="F398" s="13">
        <v>2</v>
      </c>
      <c r="G398" s="17">
        <v>200</v>
      </c>
      <c r="H398" s="51" t="s">
        <v>928</v>
      </c>
      <c r="I398" s="13" t="s">
        <v>929</v>
      </c>
      <c r="J398" s="13" t="s">
        <v>930</v>
      </c>
      <c r="L398" s="17" t="s">
        <v>37</v>
      </c>
      <c r="M398" s="13" t="s">
        <v>921</v>
      </c>
    </row>
    <row r="399" spans="1:13" x14ac:dyDescent="0.3">
      <c r="A399" s="17">
        <v>600300201</v>
      </c>
      <c r="B399" s="17">
        <v>6003</v>
      </c>
      <c r="C399" s="17">
        <v>5</v>
      </c>
      <c r="D399" s="13">
        <v>3</v>
      </c>
      <c r="E399" s="17">
        <v>600300201</v>
      </c>
      <c r="F399" s="13">
        <v>2</v>
      </c>
      <c r="G399" s="17">
        <v>300</v>
      </c>
      <c r="H399" s="51" t="s">
        <v>931</v>
      </c>
      <c r="I399" s="13" t="s">
        <v>932</v>
      </c>
      <c r="J399" s="13" t="s">
        <v>933</v>
      </c>
      <c r="L399" s="17" t="s">
        <v>37</v>
      </c>
      <c r="M399" s="13" t="s">
        <v>921</v>
      </c>
    </row>
    <row r="400" spans="1:13" x14ac:dyDescent="0.3">
      <c r="A400" s="17">
        <v>600300202</v>
      </c>
      <c r="B400" s="17">
        <v>6003</v>
      </c>
      <c r="C400" s="17">
        <v>6</v>
      </c>
      <c r="D400" s="13">
        <v>3</v>
      </c>
      <c r="E400" s="17">
        <v>600300202</v>
      </c>
      <c r="F400" s="13">
        <v>1</v>
      </c>
      <c r="G400" s="17">
        <v>300</v>
      </c>
      <c r="H400" s="51" t="s">
        <v>934</v>
      </c>
      <c r="I400" s="13" t="s">
        <v>645</v>
      </c>
      <c r="J400" s="13" t="s">
        <v>935</v>
      </c>
      <c r="L400" s="17" t="s">
        <v>37</v>
      </c>
      <c r="M400" s="13" t="s">
        <v>921</v>
      </c>
    </row>
    <row r="401" spans="1:13" x14ac:dyDescent="0.3">
      <c r="A401" s="17">
        <v>600300203</v>
      </c>
      <c r="B401" s="17">
        <v>6003</v>
      </c>
      <c r="C401" s="17">
        <v>7</v>
      </c>
      <c r="D401" s="13">
        <v>3</v>
      </c>
      <c r="E401" s="17">
        <v>600300203</v>
      </c>
      <c r="F401" s="13">
        <v>1</v>
      </c>
      <c r="G401" s="17">
        <v>300</v>
      </c>
      <c r="H401" s="51" t="s">
        <v>936</v>
      </c>
      <c r="I401" s="13" t="s">
        <v>648</v>
      </c>
      <c r="J401" s="13" t="s">
        <v>937</v>
      </c>
      <c r="L401" s="17" t="s">
        <v>37</v>
      </c>
      <c r="M401" s="13" t="s">
        <v>921</v>
      </c>
    </row>
    <row r="402" spans="1:13" x14ac:dyDescent="0.3">
      <c r="A402" s="17">
        <v>600300301</v>
      </c>
      <c r="B402" s="17">
        <v>6003</v>
      </c>
      <c r="C402" s="17">
        <v>8</v>
      </c>
      <c r="D402" s="13">
        <v>4</v>
      </c>
      <c r="E402" s="17">
        <v>600300301</v>
      </c>
      <c r="F402" s="13">
        <v>2</v>
      </c>
      <c r="G402" s="17">
        <v>400</v>
      </c>
      <c r="H402" s="51" t="s">
        <v>938</v>
      </c>
      <c r="I402" s="13" t="s">
        <v>939</v>
      </c>
      <c r="J402" s="13" t="s">
        <v>940</v>
      </c>
      <c r="L402" s="17" t="s">
        <v>37</v>
      </c>
      <c r="M402" s="13" t="s">
        <v>921</v>
      </c>
    </row>
    <row r="403" spans="1:13" x14ac:dyDescent="0.3">
      <c r="A403" s="17">
        <v>600300302</v>
      </c>
      <c r="B403" s="17">
        <v>6003</v>
      </c>
      <c r="C403" s="17">
        <v>9</v>
      </c>
      <c r="D403" s="13">
        <v>4</v>
      </c>
      <c r="E403" s="17">
        <v>600300302</v>
      </c>
      <c r="F403" s="13">
        <v>1</v>
      </c>
      <c r="G403" s="17">
        <v>400</v>
      </c>
      <c r="H403" s="51" t="s">
        <v>941</v>
      </c>
      <c r="I403" s="13" t="s">
        <v>942</v>
      </c>
      <c r="J403" s="13" t="s">
        <v>943</v>
      </c>
      <c r="L403" s="17" t="s">
        <v>37</v>
      </c>
      <c r="M403" s="13" t="s">
        <v>921</v>
      </c>
    </row>
    <row r="404" spans="1:13" x14ac:dyDescent="0.3">
      <c r="A404" s="17">
        <v>600300303</v>
      </c>
      <c r="B404" s="17">
        <v>6003</v>
      </c>
      <c r="C404" s="17">
        <v>10</v>
      </c>
      <c r="D404" s="13">
        <v>4</v>
      </c>
      <c r="E404" s="17">
        <v>600300303</v>
      </c>
      <c r="F404" s="13">
        <v>2</v>
      </c>
      <c r="G404" s="17">
        <v>400</v>
      </c>
      <c r="H404" s="51" t="s">
        <v>944</v>
      </c>
      <c r="I404" s="13" t="s">
        <v>454</v>
      </c>
      <c r="J404" s="13" t="s">
        <v>945</v>
      </c>
      <c r="L404" s="17" t="s">
        <v>37</v>
      </c>
      <c r="M404" s="13" t="s">
        <v>921</v>
      </c>
    </row>
    <row r="405" spans="1:13" x14ac:dyDescent="0.3">
      <c r="A405" s="17">
        <v>600300401</v>
      </c>
      <c r="B405" s="17">
        <v>6003</v>
      </c>
      <c r="C405" s="17">
        <v>11</v>
      </c>
      <c r="D405" s="13">
        <v>5</v>
      </c>
      <c r="E405" s="17">
        <v>600300401</v>
      </c>
      <c r="F405" s="13">
        <v>2</v>
      </c>
      <c r="G405" s="17">
        <v>500</v>
      </c>
      <c r="H405" s="51" t="s">
        <v>946</v>
      </c>
      <c r="I405" s="13" t="s">
        <v>947</v>
      </c>
      <c r="J405" s="13" t="s">
        <v>948</v>
      </c>
      <c r="L405" s="17" t="s">
        <v>37</v>
      </c>
      <c r="M405" s="13" t="s">
        <v>921</v>
      </c>
    </row>
    <row r="406" spans="1:13" x14ac:dyDescent="0.3">
      <c r="A406" s="17">
        <v>600300501</v>
      </c>
      <c r="B406" s="17">
        <v>6003</v>
      </c>
      <c r="C406" s="17">
        <v>12</v>
      </c>
      <c r="D406" s="13">
        <v>6</v>
      </c>
      <c r="E406" s="17">
        <v>600300501</v>
      </c>
      <c r="F406" s="13">
        <v>1</v>
      </c>
      <c r="G406" s="17">
        <v>800</v>
      </c>
      <c r="H406" s="51" t="s">
        <v>949</v>
      </c>
      <c r="I406" s="13" t="s">
        <v>950</v>
      </c>
      <c r="J406" s="13" t="s">
        <v>951</v>
      </c>
      <c r="L406" s="17" t="s">
        <v>37</v>
      </c>
      <c r="M406" s="13" t="s">
        <v>921</v>
      </c>
    </row>
    <row r="407" spans="1:13" x14ac:dyDescent="0.3">
      <c r="A407" s="17">
        <v>600400001</v>
      </c>
      <c r="B407" s="17">
        <v>6004</v>
      </c>
      <c r="C407" s="17">
        <v>1</v>
      </c>
      <c r="D407" s="13">
        <v>1</v>
      </c>
      <c r="E407" s="13">
        <v>0</v>
      </c>
      <c r="F407" s="13">
        <v>1</v>
      </c>
      <c r="G407" s="17">
        <v>200</v>
      </c>
      <c r="H407" s="51" t="s">
        <v>952</v>
      </c>
      <c r="I407" s="13" t="s">
        <v>766</v>
      </c>
      <c r="J407" s="13" t="s">
        <v>953</v>
      </c>
      <c r="L407" s="17" t="s">
        <v>37</v>
      </c>
      <c r="M407" s="13" t="s">
        <v>954</v>
      </c>
    </row>
    <row r="408" spans="1:13" x14ac:dyDescent="0.3">
      <c r="A408" s="17">
        <v>600400101</v>
      </c>
      <c r="B408" s="17">
        <v>6004</v>
      </c>
      <c r="C408" s="17">
        <v>2</v>
      </c>
      <c r="D408" s="13">
        <v>2</v>
      </c>
      <c r="E408" s="17">
        <v>600400101</v>
      </c>
      <c r="F408" s="13">
        <v>2</v>
      </c>
      <c r="G408" s="17">
        <v>200</v>
      </c>
      <c r="H408" s="51" t="s">
        <v>922</v>
      </c>
      <c r="I408" s="13" t="s">
        <v>923</v>
      </c>
      <c r="J408" s="13" t="s">
        <v>924</v>
      </c>
      <c r="L408" s="17" t="s">
        <v>37</v>
      </c>
      <c r="M408" s="13" t="s">
        <v>954</v>
      </c>
    </row>
    <row r="409" spans="1:13" x14ac:dyDescent="0.3">
      <c r="A409" s="17">
        <v>600400102</v>
      </c>
      <c r="B409" s="17">
        <v>6004</v>
      </c>
      <c r="C409" s="17">
        <v>3</v>
      </c>
      <c r="D409" s="13">
        <v>2</v>
      </c>
      <c r="E409" s="17">
        <v>600400102</v>
      </c>
      <c r="F409" s="13">
        <v>1</v>
      </c>
      <c r="G409" s="17">
        <v>200</v>
      </c>
      <c r="H409" s="50" t="s">
        <v>955</v>
      </c>
      <c r="I409" s="13" t="s">
        <v>956</v>
      </c>
      <c r="J409" s="13" t="s">
        <v>957</v>
      </c>
      <c r="L409" s="17" t="s">
        <v>37</v>
      </c>
      <c r="M409" s="13" t="s">
        <v>954</v>
      </c>
    </row>
    <row r="410" spans="1:13" x14ac:dyDescent="0.3">
      <c r="A410" s="17">
        <v>600400112</v>
      </c>
      <c r="B410" s="17">
        <v>6004</v>
      </c>
      <c r="C410" s="17">
        <v>21</v>
      </c>
      <c r="D410" s="13">
        <v>2</v>
      </c>
      <c r="E410" s="17">
        <v>600400112</v>
      </c>
      <c r="F410" s="13">
        <v>1</v>
      </c>
      <c r="G410" s="17">
        <v>200</v>
      </c>
      <c r="H410" s="50" t="s">
        <v>958</v>
      </c>
      <c r="I410" s="13" t="s">
        <v>959</v>
      </c>
      <c r="J410" s="13" t="s">
        <v>960</v>
      </c>
      <c r="L410" s="17" t="s">
        <v>37</v>
      </c>
      <c r="M410" s="13" t="s">
        <v>954</v>
      </c>
    </row>
    <row r="411" spans="1:13" x14ac:dyDescent="0.3">
      <c r="A411" s="17">
        <v>600400103</v>
      </c>
      <c r="B411" s="17">
        <v>6004</v>
      </c>
      <c r="C411" s="17">
        <v>4</v>
      </c>
      <c r="D411" s="13">
        <v>2</v>
      </c>
      <c r="E411" s="17">
        <v>600400103</v>
      </c>
      <c r="F411" s="13">
        <v>2</v>
      </c>
      <c r="G411" s="17">
        <v>200</v>
      </c>
      <c r="H411" s="51" t="s">
        <v>961</v>
      </c>
      <c r="I411" s="13" t="s">
        <v>962</v>
      </c>
      <c r="J411" s="13" t="s">
        <v>963</v>
      </c>
      <c r="L411" s="17" t="s">
        <v>37</v>
      </c>
      <c r="M411" s="13" t="s">
        <v>954</v>
      </c>
    </row>
    <row r="412" spans="1:13" x14ac:dyDescent="0.3">
      <c r="A412" s="17">
        <v>600400201</v>
      </c>
      <c r="B412" s="17">
        <v>6004</v>
      </c>
      <c r="C412" s="17">
        <v>5</v>
      </c>
      <c r="D412" s="13">
        <v>3</v>
      </c>
      <c r="E412" s="17">
        <v>600400201</v>
      </c>
      <c r="F412" s="13">
        <v>2</v>
      </c>
      <c r="G412" s="17">
        <v>300</v>
      </c>
      <c r="H412" s="51" t="s">
        <v>964</v>
      </c>
      <c r="I412" s="13" t="s">
        <v>965</v>
      </c>
      <c r="J412" s="13" t="s">
        <v>966</v>
      </c>
      <c r="L412" s="17" t="s">
        <v>37</v>
      </c>
      <c r="M412" s="13" t="s">
        <v>954</v>
      </c>
    </row>
    <row r="413" spans="1:13" x14ac:dyDescent="0.3">
      <c r="A413" s="17">
        <v>600400202</v>
      </c>
      <c r="B413" s="17">
        <v>6004</v>
      </c>
      <c r="C413" s="17">
        <v>6</v>
      </c>
      <c r="D413" s="13">
        <v>3</v>
      </c>
      <c r="E413" s="17">
        <v>600400202</v>
      </c>
      <c r="F413" s="13">
        <v>1</v>
      </c>
      <c r="G413" s="17">
        <v>300</v>
      </c>
      <c r="H413" s="51" t="s">
        <v>967</v>
      </c>
      <c r="I413" s="13" t="s">
        <v>968</v>
      </c>
      <c r="J413" s="13" t="s">
        <v>969</v>
      </c>
      <c r="L413" s="17" t="s">
        <v>37</v>
      </c>
      <c r="M413" s="13" t="s">
        <v>954</v>
      </c>
    </row>
    <row r="414" spans="1:13" x14ac:dyDescent="0.3">
      <c r="A414" s="17">
        <v>600400203</v>
      </c>
      <c r="B414" s="17">
        <v>6004</v>
      </c>
      <c r="C414" s="17">
        <v>7</v>
      </c>
      <c r="D414" s="13">
        <v>3</v>
      </c>
      <c r="E414" s="17">
        <v>600400203</v>
      </c>
      <c r="F414" s="13">
        <v>1</v>
      </c>
      <c r="G414" s="17">
        <v>300</v>
      </c>
      <c r="H414" s="51" t="s">
        <v>970</v>
      </c>
      <c r="I414" s="13" t="s">
        <v>971</v>
      </c>
      <c r="J414" s="13" t="s">
        <v>972</v>
      </c>
      <c r="L414" s="17" t="s">
        <v>37</v>
      </c>
      <c r="M414" s="13" t="s">
        <v>954</v>
      </c>
    </row>
    <row r="415" spans="1:13" x14ac:dyDescent="0.3">
      <c r="A415" s="17">
        <v>600400301</v>
      </c>
      <c r="B415" s="17">
        <v>6004</v>
      </c>
      <c r="C415" s="17">
        <v>8</v>
      </c>
      <c r="D415" s="13">
        <v>4</v>
      </c>
      <c r="E415" s="17">
        <v>600400301</v>
      </c>
      <c r="F415" s="13">
        <v>2</v>
      </c>
      <c r="G415" s="17">
        <v>400</v>
      </c>
      <c r="H415" s="51" t="s">
        <v>973</v>
      </c>
      <c r="I415" s="13" t="s">
        <v>974</v>
      </c>
      <c r="J415" s="13" t="s">
        <v>975</v>
      </c>
      <c r="L415" s="17" t="s">
        <v>37</v>
      </c>
      <c r="M415" s="13" t="s">
        <v>954</v>
      </c>
    </row>
    <row r="416" spans="1:13" x14ac:dyDescent="0.3">
      <c r="A416" s="17">
        <v>600400302</v>
      </c>
      <c r="B416" s="17">
        <v>6004</v>
      </c>
      <c r="C416" s="17">
        <v>9</v>
      </c>
      <c r="D416" s="13">
        <v>4</v>
      </c>
      <c r="E416" s="17">
        <v>600400302</v>
      </c>
      <c r="F416" s="13">
        <v>1</v>
      </c>
      <c r="G416" s="17">
        <v>400</v>
      </c>
      <c r="H416" s="51" t="s">
        <v>976</v>
      </c>
      <c r="I416" s="13" t="s">
        <v>977</v>
      </c>
      <c r="J416" s="13" t="s">
        <v>978</v>
      </c>
      <c r="L416" s="17" t="s">
        <v>37</v>
      </c>
      <c r="M416" s="13" t="s">
        <v>954</v>
      </c>
    </row>
    <row r="417" spans="1:13" x14ac:dyDescent="0.3">
      <c r="A417" s="17">
        <v>600400303</v>
      </c>
      <c r="B417" s="17">
        <v>6004</v>
      </c>
      <c r="C417" s="17">
        <v>10</v>
      </c>
      <c r="D417" s="13">
        <v>4</v>
      </c>
      <c r="E417" s="17">
        <v>600400303</v>
      </c>
      <c r="F417" s="13">
        <v>2</v>
      </c>
      <c r="G417" s="17">
        <v>400</v>
      </c>
      <c r="H417" s="51" t="s">
        <v>979</v>
      </c>
      <c r="I417" s="13" t="s">
        <v>980</v>
      </c>
      <c r="J417" s="13" t="s">
        <v>981</v>
      </c>
      <c r="L417" s="17" t="s">
        <v>37</v>
      </c>
      <c r="M417" s="13" t="s">
        <v>954</v>
      </c>
    </row>
    <row r="418" spans="1:13" x14ac:dyDescent="0.3">
      <c r="A418" s="17">
        <v>600400401</v>
      </c>
      <c r="B418" s="17">
        <v>6004</v>
      </c>
      <c r="C418" s="17">
        <v>11</v>
      </c>
      <c r="D418" s="13">
        <v>5</v>
      </c>
      <c r="E418" s="17">
        <v>600400401</v>
      </c>
      <c r="F418" s="13">
        <v>2</v>
      </c>
      <c r="G418" s="17">
        <v>500</v>
      </c>
      <c r="H418" s="51" t="s">
        <v>976</v>
      </c>
      <c r="I418" s="13" t="s">
        <v>982</v>
      </c>
      <c r="J418" s="13" t="s">
        <v>983</v>
      </c>
      <c r="L418" s="17" t="s">
        <v>37</v>
      </c>
      <c r="M418" s="13" t="s">
        <v>954</v>
      </c>
    </row>
    <row r="419" spans="1:13" x14ac:dyDescent="0.3">
      <c r="A419" s="17">
        <v>600400501</v>
      </c>
      <c r="B419" s="17">
        <v>6004</v>
      </c>
      <c r="C419" s="17">
        <v>12</v>
      </c>
      <c r="D419" s="13">
        <v>6</v>
      </c>
      <c r="E419" s="17">
        <v>600400501</v>
      </c>
      <c r="F419" s="13">
        <v>1</v>
      </c>
      <c r="G419" s="17">
        <v>800</v>
      </c>
      <c r="H419" s="51" t="s">
        <v>984</v>
      </c>
      <c r="I419" s="13" t="s">
        <v>645</v>
      </c>
      <c r="J419" s="13" t="s">
        <v>985</v>
      </c>
      <c r="L419" s="17" t="s">
        <v>37</v>
      </c>
      <c r="M419" s="13" t="s">
        <v>954</v>
      </c>
    </row>
    <row r="420" spans="1:13" x14ac:dyDescent="0.3">
      <c r="A420" s="17">
        <v>600500001</v>
      </c>
      <c r="B420" s="17">
        <v>6005</v>
      </c>
      <c r="C420" s="17">
        <v>1</v>
      </c>
      <c r="D420" s="13">
        <v>1</v>
      </c>
      <c r="E420" s="13">
        <v>0</v>
      </c>
      <c r="F420" s="13">
        <v>1</v>
      </c>
      <c r="G420" s="17">
        <v>200</v>
      </c>
      <c r="H420" s="13" t="s">
        <v>986</v>
      </c>
      <c r="I420" s="13" t="s">
        <v>271</v>
      </c>
      <c r="J420" s="13" t="s">
        <v>987</v>
      </c>
      <c r="L420" s="17" t="s">
        <v>37</v>
      </c>
      <c r="M420" s="13" t="s">
        <v>988</v>
      </c>
    </row>
    <row r="421" spans="1:13" ht="15" customHeight="1" x14ac:dyDescent="0.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x14ac:dyDescent="0.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x14ac:dyDescent="0.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x14ac:dyDescent="0.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x14ac:dyDescent="0.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x14ac:dyDescent="0.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x14ac:dyDescent="0.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x14ac:dyDescent="0.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x14ac:dyDescent="0.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x14ac:dyDescent="0.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x14ac:dyDescent="0.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x14ac:dyDescent="0.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x14ac:dyDescent="0.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x14ac:dyDescent="0.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x14ac:dyDescent="0.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x14ac:dyDescent="0.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x14ac:dyDescent="0.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x14ac:dyDescent="0.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x14ac:dyDescent="0.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x14ac:dyDescent="0.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x14ac:dyDescent="0.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x14ac:dyDescent="0.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x14ac:dyDescent="0.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x14ac:dyDescent="0.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x14ac:dyDescent="0.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x14ac:dyDescent="0.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x14ac:dyDescent="0.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x14ac:dyDescent="0.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x14ac:dyDescent="0.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x14ac:dyDescent="0.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x14ac:dyDescent="0.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x14ac:dyDescent="0.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x14ac:dyDescent="0.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x14ac:dyDescent="0.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x14ac:dyDescent="0.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x14ac:dyDescent="0.3">
      <c r="A456" s="17">
        <v>600700501</v>
      </c>
      <c r="B456" s="17">
        <v>6007</v>
      </c>
      <c r="C456" s="17">
        <v>12</v>
      </c>
      <c r="D456" s="13">
        <v>6</v>
      </c>
      <c r="E456" s="17">
        <v>600700501</v>
      </c>
      <c r="F456" s="13">
        <v>1</v>
      </c>
      <c r="G456" s="17">
        <v>800</v>
      </c>
      <c r="H456" s="13" t="s">
        <v>1090</v>
      </c>
      <c r="I456" s="13" t="s">
        <v>1091</v>
      </c>
      <c r="J456" s="13" t="s">
        <v>1092</v>
      </c>
      <c r="L456" s="17" t="s">
        <v>37</v>
      </c>
      <c r="M456" s="13" t="s">
        <v>1093</v>
      </c>
    </row>
    <row r="457" spans="1:13" x14ac:dyDescent="0.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x14ac:dyDescent="0.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x14ac:dyDescent="0.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x14ac:dyDescent="0.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x14ac:dyDescent="0.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x14ac:dyDescent="0.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x14ac:dyDescent="0.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x14ac:dyDescent="0.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x14ac:dyDescent="0.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x14ac:dyDescent="0.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x14ac:dyDescent="0.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x14ac:dyDescent="0.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x14ac:dyDescent="0.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x14ac:dyDescent="0.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x14ac:dyDescent="0.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x14ac:dyDescent="0.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2:W175"/>
  <sheetViews>
    <sheetView zoomScale="130" zoomScaleNormal="130" workbookViewId="0">
      <pane ySplit="2" topLeftCell="A159" activePane="bottomLeft" state="frozen"/>
      <selection pane="bottomLeft" activeCell="B35" sqref="B35"/>
    </sheetView>
  </sheetViews>
  <sheetFormatPr defaultColWidth="9" defaultRowHeight="11.25" x14ac:dyDescent="0.1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1:23" x14ac:dyDescent="0.15">
      <c r="B2" s="1" t="s">
        <v>1139</v>
      </c>
      <c r="E2" s="1">
        <f>SUM(E3:E7)</f>
        <v>1100</v>
      </c>
    </row>
    <row r="3" spans="1:23" ht="33.75" x14ac:dyDescent="0.15">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spans="1:23" ht="12" customHeight="1" x14ac:dyDescent="0.15">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x14ac:dyDescent="0.15">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x14ac:dyDescent="0.15">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x14ac:dyDescent="0.15">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x14ac:dyDescent="0.15">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spans="1:23" ht="45" x14ac:dyDescent="0.15">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spans="1:23" ht="13.5" customHeight="1" x14ac:dyDescent="0.15">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spans="1:23" ht="33.75" x14ac:dyDescent="0.15">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1:23" x14ac:dyDescent="0.15">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1:23" x14ac:dyDescent="0.15">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1:23" x14ac:dyDescent="0.15">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1:23" x14ac:dyDescent="0.15">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1:23" x14ac:dyDescent="0.15">
      <c r="C16" s="7" t="s">
        <v>47</v>
      </c>
      <c r="D16" s="1">
        <v>3040201</v>
      </c>
      <c r="E16" s="1">
        <v>280</v>
      </c>
      <c r="F16" s="1" t="str">
        <f t="shared" si="2"/>
        <v>3040201:280</v>
      </c>
      <c r="H16" s="2" t="str">
        <f t="shared" si="1"/>
        <v>3040201:280</v>
      </c>
      <c r="J16" s="1" t="s">
        <v>1191</v>
      </c>
      <c r="P16" s="1">
        <f>P15+1</f>
        <v>3051001</v>
      </c>
      <c r="Q16" s="1" t="s">
        <v>1192</v>
      </c>
      <c r="R16" s="1" t="s">
        <v>1193</v>
      </c>
    </row>
    <row r="17" spans="3:18" x14ac:dyDescent="0.15">
      <c r="C17" s="7" t="s">
        <v>47</v>
      </c>
      <c r="D17" s="1">
        <v>3040201</v>
      </c>
      <c r="E17" s="1">
        <v>410</v>
      </c>
      <c r="F17" s="1" t="str">
        <f t="shared" si="2"/>
        <v>3040201:410</v>
      </c>
      <c r="H17" s="2" t="str">
        <f t="shared" si="1"/>
        <v>3040201:410</v>
      </c>
      <c r="J17" s="1" t="s">
        <v>1194</v>
      </c>
      <c r="P17" s="1">
        <f>P16+1</f>
        <v>3051002</v>
      </c>
      <c r="Q17" s="1" t="s">
        <v>1195</v>
      </c>
      <c r="R17" s="1" t="s">
        <v>1196</v>
      </c>
    </row>
    <row r="18" spans="3:18" x14ac:dyDescent="0.15">
      <c r="C18" s="1" t="s">
        <v>47</v>
      </c>
      <c r="D18" s="1">
        <v>3040202</v>
      </c>
      <c r="E18" s="1">
        <v>3000</v>
      </c>
      <c r="F18" s="1" t="str">
        <f t="shared" si="2"/>
        <v>3040202:3000</v>
      </c>
      <c r="H18" s="2" t="str">
        <f t="shared" si="1"/>
        <v>3040202:3000</v>
      </c>
      <c r="J18" s="1" t="s">
        <v>1197</v>
      </c>
      <c r="P18" s="1">
        <v>3051000</v>
      </c>
      <c r="Q18" s="1" t="s">
        <v>1198</v>
      </c>
      <c r="R18" s="1" t="s">
        <v>1173</v>
      </c>
    </row>
    <row r="19" spans="3:18" x14ac:dyDescent="0.15">
      <c r="C19" s="1" t="s">
        <v>47</v>
      </c>
      <c r="D19" s="1">
        <v>3040202</v>
      </c>
      <c r="E19" s="1">
        <v>5000</v>
      </c>
      <c r="F19" s="1" t="str">
        <f t="shared" si="2"/>
        <v>3040202:5000</v>
      </c>
      <c r="H19" s="2" t="str">
        <f t="shared" si="1"/>
        <v>3040202:5000</v>
      </c>
      <c r="J19" s="1" t="s">
        <v>1199</v>
      </c>
      <c r="P19" s="1">
        <f>P18+1</f>
        <v>3051001</v>
      </c>
      <c r="Q19" s="1" t="s">
        <v>1200</v>
      </c>
      <c r="R19" s="1" t="s">
        <v>1201</v>
      </c>
    </row>
    <row r="20" spans="3:18" x14ac:dyDescent="0.15">
      <c r="C20" s="1" t="s">
        <v>47</v>
      </c>
      <c r="D20" s="1">
        <v>3040202</v>
      </c>
      <c r="E20" s="1">
        <v>7000</v>
      </c>
      <c r="F20" s="1" t="str">
        <f t="shared" si="2"/>
        <v>3040202:7000</v>
      </c>
      <c r="H20" s="2" t="str">
        <f t="shared" si="1"/>
        <v>3040202:7000</v>
      </c>
      <c r="J20" s="1" t="s">
        <v>1202</v>
      </c>
      <c r="P20" s="1">
        <f>P19+1</f>
        <v>3051002</v>
      </c>
      <c r="Q20" s="1" t="s">
        <v>1203</v>
      </c>
      <c r="R20" s="1" t="s">
        <v>1204</v>
      </c>
    </row>
    <row r="21" spans="3:18" x14ac:dyDescent="0.15">
      <c r="C21" s="1" t="s">
        <v>47</v>
      </c>
      <c r="D21" s="1">
        <v>3040202</v>
      </c>
      <c r="E21" s="1">
        <v>10000</v>
      </c>
      <c r="F21" s="1" t="str">
        <f t="shared" si="2"/>
        <v>3040202:10000</v>
      </c>
      <c r="H21" s="2" t="str">
        <f t="shared" si="1"/>
        <v>3040202:10000</v>
      </c>
      <c r="J21" s="1" t="s">
        <v>1205</v>
      </c>
      <c r="P21" s="1">
        <f>P20+1</f>
        <v>3051003</v>
      </c>
    </row>
    <row r="22" spans="3:18" x14ac:dyDescent="0.15">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8" x14ac:dyDescent="0.15">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8" x14ac:dyDescent="0.15">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8" x14ac:dyDescent="0.15">
      <c r="C25" s="1" t="s">
        <v>50</v>
      </c>
      <c r="D25" s="1">
        <v>3040301</v>
      </c>
      <c r="E25" s="1">
        <v>7000</v>
      </c>
      <c r="F25" s="1" t="str">
        <f t="shared" si="2"/>
        <v>3040301:7000</v>
      </c>
      <c r="H25" s="2" t="str">
        <f t="shared" si="1"/>
        <v>3040301:7000</v>
      </c>
      <c r="J25" s="1" t="s">
        <v>1212</v>
      </c>
      <c r="N25" s="11">
        <v>1010903</v>
      </c>
      <c r="O25" s="11" t="s">
        <v>83</v>
      </c>
      <c r="P25" s="1">
        <v>3051200</v>
      </c>
    </row>
    <row r="26" spans="3:18" x14ac:dyDescent="0.15">
      <c r="C26" s="1" t="s">
        <v>50</v>
      </c>
      <c r="D26" s="1">
        <v>3040301</v>
      </c>
      <c r="E26" s="1">
        <v>10000</v>
      </c>
      <c r="F26" s="1" t="str">
        <f t="shared" si="2"/>
        <v>3040301:10000</v>
      </c>
      <c r="H26" s="2" t="str">
        <f t="shared" si="1"/>
        <v>3040301:10000</v>
      </c>
      <c r="J26" s="1" t="s">
        <v>1213</v>
      </c>
      <c r="N26" s="11">
        <v>1010904</v>
      </c>
      <c r="O26" s="11" t="s">
        <v>83</v>
      </c>
    </row>
    <row r="27" spans="3:18" x14ac:dyDescent="0.15">
      <c r="C27" s="1" t="s">
        <v>50</v>
      </c>
      <c r="D27" s="1">
        <v>3040301</v>
      </c>
      <c r="E27" s="1">
        <v>15000</v>
      </c>
      <c r="F27" s="1" t="str">
        <f t="shared" si="2"/>
        <v>3040301:15000</v>
      </c>
      <c r="H27" s="2" t="str">
        <f t="shared" si="1"/>
        <v>3040301:15000</v>
      </c>
      <c r="J27" s="1" t="s">
        <v>1214</v>
      </c>
      <c r="N27" s="11">
        <v>1010905</v>
      </c>
      <c r="O27" s="11" t="s">
        <v>83</v>
      </c>
    </row>
    <row r="28" spans="3:18" x14ac:dyDescent="0.15">
      <c r="C28" s="8" t="s">
        <v>1147</v>
      </c>
      <c r="D28" s="1">
        <v>3040501</v>
      </c>
      <c r="E28" s="1">
        <v>80</v>
      </c>
      <c r="F28" s="1" t="str">
        <f t="shared" si="2"/>
        <v>3040501:80</v>
      </c>
      <c r="H28" s="2" t="str">
        <f t="shared" si="1"/>
        <v>3040501:80</v>
      </c>
      <c r="J28" s="1" t="s">
        <v>1215</v>
      </c>
      <c r="N28" s="2">
        <v>905010101</v>
      </c>
      <c r="O28" s="2" t="s">
        <v>358</v>
      </c>
    </row>
    <row r="29" spans="3:18" x14ac:dyDescent="0.15">
      <c r="C29" s="8" t="s">
        <v>1147</v>
      </c>
      <c r="D29" s="1">
        <v>3040501</v>
      </c>
      <c r="E29" s="1">
        <v>140</v>
      </c>
      <c r="F29" s="1" t="str">
        <f t="shared" si="2"/>
        <v>3040501:140</v>
      </c>
      <c r="H29" s="2" t="str">
        <f t="shared" si="1"/>
        <v>3040501:140</v>
      </c>
      <c r="J29" s="1" t="s">
        <v>1216</v>
      </c>
      <c r="N29" s="2">
        <v>905010202</v>
      </c>
      <c r="O29" s="2" t="s">
        <v>360</v>
      </c>
    </row>
    <row r="30" spans="3:18" x14ac:dyDescent="0.15">
      <c r="C30" s="8" t="s">
        <v>1147</v>
      </c>
      <c r="D30" s="1">
        <v>3040501</v>
      </c>
      <c r="E30" s="1">
        <v>190</v>
      </c>
      <c r="F30" s="1" t="str">
        <f t="shared" si="2"/>
        <v>3040501:190</v>
      </c>
      <c r="H30" s="2" t="str">
        <f t="shared" si="1"/>
        <v>3040501:190</v>
      </c>
      <c r="J30" s="1" t="s">
        <v>1217</v>
      </c>
      <c r="N30" s="2">
        <v>905010302</v>
      </c>
      <c r="O30" s="2" t="s">
        <v>364</v>
      </c>
    </row>
    <row r="31" spans="3:18" x14ac:dyDescent="0.15">
      <c r="C31" s="8" t="s">
        <v>1147</v>
      </c>
      <c r="D31" s="1">
        <v>3040501</v>
      </c>
      <c r="E31" s="1">
        <v>280</v>
      </c>
      <c r="F31" s="1" t="str">
        <f t="shared" si="2"/>
        <v>3040501:280</v>
      </c>
      <c r="H31" s="2" t="str">
        <f t="shared" si="1"/>
        <v>3040501:280</v>
      </c>
      <c r="J31" s="1" t="s">
        <v>1218</v>
      </c>
      <c r="N31" s="2">
        <v>905010403</v>
      </c>
      <c r="O31" s="2" t="s">
        <v>368</v>
      </c>
    </row>
    <row r="32" spans="3:18" x14ac:dyDescent="0.15">
      <c r="C32" s="8" t="s">
        <v>1147</v>
      </c>
      <c r="D32" s="1">
        <v>3040501</v>
      </c>
      <c r="E32" s="1">
        <v>410</v>
      </c>
      <c r="F32" s="1" t="str">
        <f t="shared" si="2"/>
        <v>3040501:410</v>
      </c>
      <c r="H32" s="2" t="str">
        <f t="shared" si="1"/>
        <v>3040501:410</v>
      </c>
      <c r="J32" s="1" t="s">
        <v>1219</v>
      </c>
      <c r="N32" s="2">
        <v>905010503</v>
      </c>
      <c r="O32" s="2" t="s">
        <v>371</v>
      </c>
    </row>
    <row r="33" spans="3:15" x14ac:dyDescent="0.15">
      <c r="C33" s="1" t="s">
        <v>61</v>
      </c>
      <c r="D33" s="1">
        <v>3040701</v>
      </c>
      <c r="E33" s="1">
        <v>3000</v>
      </c>
      <c r="F33" s="1" t="str">
        <f t="shared" si="2"/>
        <v>3040701:3000</v>
      </c>
      <c r="H33" s="2" t="str">
        <f t="shared" si="1"/>
        <v>3040701:3000</v>
      </c>
      <c r="J33" s="1" t="s">
        <v>1220</v>
      </c>
      <c r="N33" s="2">
        <v>905010604</v>
      </c>
      <c r="O33" s="2" t="s">
        <v>1221</v>
      </c>
    </row>
    <row r="34" spans="3:15" x14ac:dyDescent="0.15">
      <c r="C34" s="1" t="s">
        <v>61</v>
      </c>
      <c r="D34" s="1">
        <v>3040701</v>
      </c>
      <c r="E34" s="1">
        <v>5000</v>
      </c>
      <c r="F34" s="1" t="str">
        <f t="shared" si="2"/>
        <v>3040701:5000</v>
      </c>
      <c r="H34" s="2" t="str">
        <f t="shared" si="1"/>
        <v>3040701:5000</v>
      </c>
      <c r="J34" s="1" t="s">
        <v>1222</v>
      </c>
      <c r="N34" s="2">
        <v>905010704</v>
      </c>
      <c r="O34" s="2" t="s">
        <v>376</v>
      </c>
    </row>
    <row r="35" spans="3:15" x14ac:dyDescent="0.15">
      <c r="C35" s="1" t="s">
        <v>61</v>
      </c>
      <c r="D35" s="1">
        <v>3040701</v>
      </c>
      <c r="E35" s="1">
        <v>7000</v>
      </c>
      <c r="F35" s="1" t="str">
        <f t="shared" si="2"/>
        <v>3040701:7000</v>
      </c>
      <c r="H35" s="2" t="str">
        <f t="shared" si="1"/>
        <v>3040701:7000</v>
      </c>
      <c r="J35" s="1" t="s">
        <v>1223</v>
      </c>
      <c r="N35" s="2">
        <v>905010805</v>
      </c>
      <c r="O35" s="2" t="s">
        <v>379</v>
      </c>
    </row>
    <row r="36" spans="3:15" x14ac:dyDescent="0.15">
      <c r="C36" s="1" t="s">
        <v>61</v>
      </c>
      <c r="D36" s="1">
        <v>3040701</v>
      </c>
      <c r="E36" s="1">
        <v>10000</v>
      </c>
      <c r="F36" s="1" t="str">
        <f t="shared" si="2"/>
        <v>3040701:10000</v>
      </c>
      <c r="H36" s="2" t="str">
        <f t="shared" si="1"/>
        <v>3040701:10000</v>
      </c>
      <c r="J36" s="1" t="s">
        <v>1224</v>
      </c>
      <c r="N36" s="12">
        <v>901010101</v>
      </c>
      <c r="O36" s="12" t="s">
        <v>266</v>
      </c>
    </row>
    <row r="37" spans="3:15" x14ac:dyDescent="0.15">
      <c r="C37" s="1" t="s">
        <v>61</v>
      </c>
      <c r="D37" s="1">
        <v>3040701</v>
      </c>
      <c r="E37" s="1">
        <v>15000</v>
      </c>
      <c r="F37" s="1" t="str">
        <f t="shared" si="2"/>
        <v>3040701:15000</v>
      </c>
      <c r="H37" s="2" t="str">
        <f t="shared" si="1"/>
        <v>3040701:15000</v>
      </c>
      <c r="J37" s="1" t="s">
        <v>1225</v>
      </c>
      <c r="N37" s="12">
        <v>901010202</v>
      </c>
      <c r="O37" s="12" t="s">
        <v>269</v>
      </c>
    </row>
    <row r="38" spans="3:15" x14ac:dyDescent="0.15">
      <c r="C38" s="1" t="s">
        <v>72</v>
      </c>
      <c r="D38" s="1">
        <v>3040901</v>
      </c>
      <c r="E38" s="1">
        <v>2000</v>
      </c>
      <c r="F38" s="1" t="str">
        <f t="shared" si="2"/>
        <v>3040901:2000</v>
      </c>
      <c r="H38" s="2" t="str">
        <f t="shared" si="1"/>
        <v>3040901:2000</v>
      </c>
      <c r="J38" s="1" t="s">
        <v>1226</v>
      </c>
      <c r="N38" s="12">
        <v>901010302</v>
      </c>
      <c r="O38" s="12" t="s">
        <v>271</v>
      </c>
    </row>
    <row r="39" spans="3:15" x14ac:dyDescent="0.15">
      <c r="C39" s="1" t="s">
        <v>72</v>
      </c>
      <c r="D39" s="1">
        <v>3040901</v>
      </c>
      <c r="E39" s="1">
        <v>3000</v>
      </c>
      <c r="F39" s="1" t="str">
        <f t="shared" si="2"/>
        <v>3040901:3000</v>
      </c>
      <c r="H39" s="2" t="str">
        <f t="shared" si="1"/>
        <v>3040901:3000</v>
      </c>
      <c r="J39" s="1" t="s">
        <v>1227</v>
      </c>
      <c r="N39" s="12">
        <v>901010403</v>
      </c>
      <c r="O39" s="12" t="s">
        <v>274</v>
      </c>
    </row>
    <row r="40" spans="3:15" x14ac:dyDescent="0.15">
      <c r="C40" s="1" t="s">
        <v>72</v>
      </c>
      <c r="D40" s="1">
        <v>3040901</v>
      </c>
      <c r="E40" s="1">
        <v>4000</v>
      </c>
      <c r="F40" s="1" t="str">
        <f t="shared" si="2"/>
        <v>3040901:4000</v>
      </c>
      <c r="H40" s="2" t="str">
        <f t="shared" si="1"/>
        <v>3040901:4000</v>
      </c>
      <c r="J40" s="1" t="s">
        <v>1228</v>
      </c>
      <c r="N40" s="12">
        <v>901010503</v>
      </c>
      <c r="O40" s="12" t="s">
        <v>278</v>
      </c>
    </row>
    <row r="41" spans="3:15" x14ac:dyDescent="0.15">
      <c r="C41" s="1" t="s">
        <v>72</v>
      </c>
      <c r="D41" s="1">
        <v>3040901</v>
      </c>
      <c r="E41" s="1">
        <v>5000</v>
      </c>
      <c r="F41" s="1" t="str">
        <f t="shared" si="2"/>
        <v>3040901:5000</v>
      </c>
      <c r="H41" s="2" t="str">
        <f t="shared" si="1"/>
        <v>3040901:5000</v>
      </c>
      <c r="J41" s="1" t="s">
        <v>1229</v>
      </c>
      <c r="N41" s="12">
        <v>901010604</v>
      </c>
      <c r="O41" s="12" t="s">
        <v>281</v>
      </c>
    </row>
    <row r="42" spans="3:15" x14ac:dyDescent="0.15">
      <c r="C42" s="1" t="s">
        <v>72</v>
      </c>
      <c r="D42" s="1">
        <v>3040901</v>
      </c>
      <c r="E42" s="1">
        <v>6000</v>
      </c>
      <c r="F42" s="1" t="str">
        <f t="shared" si="2"/>
        <v>3040901:6000</v>
      </c>
      <c r="H42" s="2" t="str">
        <f t="shared" si="1"/>
        <v>3040901:6000</v>
      </c>
      <c r="J42" s="1" t="s">
        <v>1230</v>
      </c>
      <c r="N42" s="12">
        <v>901010704</v>
      </c>
      <c r="O42" s="12" t="s">
        <v>284</v>
      </c>
    </row>
    <row r="43" spans="3:15" x14ac:dyDescent="0.15">
      <c r="C43" s="1" t="s">
        <v>97</v>
      </c>
      <c r="D43" s="1">
        <v>3041001</v>
      </c>
      <c r="E43" s="1">
        <v>3000</v>
      </c>
      <c r="F43" s="1" t="str">
        <f t="shared" si="2"/>
        <v>3041001:3000</v>
      </c>
      <c r="H43" s="2" t="str">
        <f t="shared" si="1"/>
        <v>3041001:3000</v>
      </c>
      <c r="J43" s="1" t="s">
        <v>1231</v>
      </c>
      <c r="N43" s="12">
        <v>901010805</v>
      </c>
      <c r="O43" s="12" t="s">
        <v>287</v>
      </c>
    </row>
    <row r="44" spans="3:15" x14ac:dyDescent="0.15">
      <c r="C44" s="1" t="s">
        <v>97</v>
      </c>
      <c r="D44" s="1">
        <v>3041001</v>
      </c>
      <c r="E44" s="1">
        <v>5000</v>
      </c>
      <c r="F44" s="1" t="str">
        <f t="shared" si="2"/>
        <v>3041001:5000</v>
      </c>
      <c r="H44" s="2" t="str">
        <f t="shared" si="1"/>
        <v>3041001:5000</v>
      </c>
      <c r="J44" s="1" t="s">
        <v>1232</v>
      </c>
    </row>
    <row r="45" spans="3:15" x14ac:dyDescent="0.15">
      <c r="C45" s="1" t="s">
        <v>97</v>
      </c>
      <c r="D45" s="1">
        <v>3041001</v>
      </c>
      <c r="E45" s="1">
        <v>7000</v>
      </c>
      <c r="F45" s="1" t="str">
        <f t="shared" si="2"/>
        <v>3041001:7000</v>
      </c>
      <c r="H45" s="2" t="str">
        <f t="shared" si="1"/>
        <v>3041001:7000</v>
      </c>
      <c r="J45" s="1" t="s">
        <v>1233</v>
      </c>
    </row>
    <row r="46" spans="3:15" x14ac:dyDescent="0.15">
      <c r="C46" s="1" t="s">
        <v>97</v>
      </c>
      <c r="D46" s="1">
        <v>3041001</v>
      </c>
      <c r="E46" s="1">
        <v>10000</v>
      </c>
      <c r="F46" s="1" t="str">
        <f t="shared" si="2"/>
        <v>3041001:10000</v>
      </c>
      <c r="H46" s="2" t="str">
        <f t="shared" si="1"/>
        <v>3041001:10000</v>
      </c>
      <c r="J46" s="1" t="s">
        <v>1234</v>
      </c>
    </row>
    <row r="47" spans="3:15" x14ac:dyDescent="0.15">
      <c r="C47" s="1" t="s">
        <v>97</v>
      </c>
      <c r="D47" s="1">
        <v>3041001</v>
      </c>
      <c r="E47" s="1">
        <v>15000</v>
      </c>
      <c r="F47" s="1" t="str">
        <f t="shared" si="2"/>
        <v>3041001:15000</v>
      </c>
      <c r="H47" s="2" t="str">
        <f t="shared" si="1"/>
        <v>3041001:15000</v>
      </c>
      <c r="J47" s="1" t="s">
        <v>1235</v>
      </c>
    </row>
    <row r="48" spans="3:15" x14ac:dyDescent="0.15">
      <c r="C48" s="8" t="s">
        <v>1176</v>
      </c>
      <c r="D48" s="1">
        <v>3041101</v>
      </c>
      <c r="E48" s="1">
        <v>60</v>
      </c>
      <c r="F48" s="1" t="str">
        <f t="shared" si="2"/>
        <v>3041101:60</v>
      </c>
      <c r="H48" s="2" t="str">
        <f t="shared" si="1"/>
        <v>3041101:60</v>
      </c>
      <c r="J48" s="1" t="s">
        <v>1236</v>
      </c>
    </row>
    <row r="49" spans="3:10" x14ac:dyDescent="0.15">
      <c r="C49" s="8" t="s">
        <v>1176</v>
      </c>
      <c r="D49" s="1">
        <v>3041101</v>
      </c>
      <c r="E49" s="1">
        <v>100</v>
      </c>
      <c r="F49" s="1" t="str">
        <f t="shared" si="2"/>
        <v>3041101:100</v>
      </c>
      <c r="H49" s="2" t="str">
        <f t="shared" si="1"/>
        <v>3041101:100</v>
      </c>
      <c r="J49" s="1" t="s">
        <v>1237</v>
      </c>
    </row>
    <row r="50" spans="3:10" x14ac:dyDescent="0.15">
      <c r="C50" s="8" t="s">
        <v>1176</v>
      </c>
      <c r="D50" s="1">
        <v>3041101</v>
      </c>
      <c r="E50" s="1">
        <v>140</v>
      </c>
      <c r="F50" s="1" t="str">
        <f t="shared" si="2"/>
        <v>3041101:140</v>
      </c>
      <c r="H50" s="2" t="str">
        <f t="shared" si="1"/>
        <v>3041101:140</v>
      </c>
      <c r="J50" s="1" t="s">
        <v>1238</v>
      </c>
    </row>
    <row r="51" spans="3:10" x14ac:dyDescent="0.15">
      <c r="C51" s="8" t="s">
        <v>1176</v>
      </c>
      <c r="D51" s="1">
        <v>3041101</v>
      </c>
      <c r="E51" s="1">
        <v>200</v>
      </c>
      <c r="F51" s="1" t="str">
        <f t="shared" si="2"/>
        <v>3041101:200</v>
      </c>
      <c r="H51" s="2" t="str">
        <f t="shared" si="1"/>
        <v>3041101:200</v>
      </c>
      <c r="J51" s="1" t="s">
        <v>1239</v>
      </c>
    </row>
    <row r="52" spans="3:10" x14ac:dyDescent="0.15">
      <c r="C52" s="8" t="s">
        <v>1176</v>
      </c>
      <c r="D52" s="1">
        <v>3041101</v>
      </c>
      <c r="E52" s="1">
        <v>300</v>
      </c>
      <c r="F52" s="1" t="str">
        <f t="shared" si="2"/>
        <v>3041101:300</v>
      </c>
      <c r="H52" s="2" t="str">
        <f t="shared" si="1"/>
        <v>3041101:300</v>
      </c>
      <c r="J52" s="1" t="s">
        <v>1240</v>
      </c>
    </row>
    <row r="53" spans="3:10" x14ac:dyDescent="0.15">
      <c r="C53" s="1" t="s">
        <v>105</v>
      </c>
      <c r="D53" s="1">
        <v>3041201</v>
      </c>
      <c r="E53" s="1">
        <v>1000</v>
      </c>
      <c r="F53" s="1" t="str">
        <f t="shared" si="2"/>
        <v>3041201:1000</v>
      </c>
      <c r="H53" s="2" t="str">
        <f t="shared" si="1"/>
        <v>3041201:1000</v>
      </c>
      <c r="J53" s="1" t="s">
        <v>1241</v>
      </c>
    </row>
    <row r="54" spans="3:10" x14ac:dyDescent="0.15">
      <c r="C54" s="1" t="s">
        <v>105</v>
      </c>
      <c r="D54" s="1">
        <v>3041201</v>
      </c>
      <c r="E54" s="1">
        <v>1500</v>
      </c>
      <c r="F54" s="1" t="str">
        <f t="shared" si="2"/>
        <v>3041201:1500</v>
      </c>
      <c r="H54" s="2" t="str">
        <f t="shared" si="1"/>
        <v>3041201:1500</v>
      </c>
      <c r="J54" s="1" t="s">
        <v>1242</v>
      </c>
    </row>
    <row r="55" spans="3:10" x14ac:dyDescent="0.15">
      <c r="C55" s="1" t="s">
        <v>105</v>
      </c>
      <c r="D55" s="1">
        <v>3041201</v>
      </c>
      <c r="E55" s="1">
        <v>2000</v>
      </c>
      <c r="F55" s="1" t="str">
        <f t="shared" si="2"/>
        <v>3041201:2000</v>
      </c>
      <c r="H55" s="2" t="str">
        <f t="shared" si="1"/>
        <v>3041201:2000</v>
      </c>
      <c r="J55" s="1" t="s">
        <v>1243</v>
      </c>
    </row>
    <row r="56" spans="3:10" x14ac:dyDescent="0.15">
      <c r="C56" s="1" t="s">
        <v>105</v>
      </c>
      <c r="D56" s="1">
        <v>3041201</v>
      </c>
      <c r="E56" s="1">
        <v>2500</v>
      </c>
      <c r="F56" s="1" t="str">
        <f t="shared" si="2"/>
        <v>3041201:2500</v>
      </c>
      <c r="H56" s="2" t="str">
        <f t="shared" si="1"/>
        <v>3041201:2500</v>
      </c>
      <c r="J56" s="1" t="s">
        <v>1244</v>
      </c>
    </row>
    <row r="57" spans="3:10" x14ac:dyDescent="0.15">
      <c r="C57" s="1" t="s">
        <v>105</v>
      </c>
      <c r="D57" s="1">
        <v>3041201</v>
      </c>
      <c r="E57" s="1">
        <v>3000</v>
      </c>
      <c r="F57" s="1" t="str">
        <f t="shared" si="2"/>
        <v>3041201:3000</v>
      </c>
      <c r="H57" s="2" t="str">
        <f t="shared" si="1"/>
        <v>3041201:3000</v>
      </c>
      <c r="J57" s="1" t="s">
        <v>1245</v>
      </c>
    </row>
    <row r="58" spans="3:10" x14ac:dyDescent="0.15">
      <c r="C58" s="1" t="s">
        <v>116</v>
      </c>
      <c r="D58" s="1">
        <v>3041301</v>
      </c>
      <c r="E58" s="1">
        <v>3000</v>
      </c>
      <c r="F58" s="1" t="str">
        <f t="shared" si="2"/>
        <v>3041301:3000</v>
      </c>
      <c r="H58" s="2" t="str">
        <f t="shared" si="1"/>
        <v>3041301:3000</v>
      </c>
      <c r="J58" s="1" t="s">
        <v>1246</v>
      </c>
    </row>
    <row r="59" spans="3:10" x14ac:dyDescent="0.15">
      <c r="C59" s="1" t="s">
        <v>116</v>
      </c>
      <c r="D59" s="1">
        <v>3041301</v>
      </c>
      <c r="E59" s="1">
        <v>5000</v>
      </c>
      <c r="F59" s="1" t="str">
        <f t="shared" si="2"/>
        <v>3041301:5000</v>
      </c>
      <c r="H59" s="2" t="str">
        <f t="shared" si="1"/>
        <v>3041301:5000</v>
      </c>
      <c r="J59" s="1" t="s">
        <v>1247</v>
      </c>
    </row>
    <row r="60" spans="3:10" x14ac:dyDescent="0.15">
      <c r="C60" s="1" t="s">
        <v>116</v>
      </c>
      <c r="D60" s="1">
        <v>3041301</v>
      </c>
      <c r="E60" s="1">
        <v>7000</v>
      </c>
      <c r="F60" s="1" t="str">
        <f t="shared" si="2"/>
        <v>3041301:7000</v>
      </c>
      <c r="H60" s="2" t="str">
        <f t="shared" si="1"/>
        <v>3041301:7000</v>
      </c>
      <c r="J60" s="1" t="s">
        <v>1248</v>
      </c>
    </row>
    <row r="61" spans="3:10" x14ac:dyDescent="0.15">
      <c r="C61" s="1" t="s">
        <v>116</v>
      </c>
      <c r="D61" s="1">
        <v>3041301</v>
      </c>
      <c r="E61" s="1">
        <v>10000</v>
      </c>
      <c r="F61" s="1" t="str">
        <f t="shared" si="2"/>
        <v>3041301:10000</v>
      </c>
      <c r="H61" s="2" t="str">
        <f t="shared" si="1"/>
        <v>3041301:10000</v>
      </c>
      <c r="J61" s="1" t="s">
        <v>1249</v>
      </c>
    </row>
    <row r="62" spans="3:10" x14ac:dyDescent="0.15">
      <c r="C62" s="1" t="s">
        <v>116</v>
      </c>
      <c r="D62" s="1">
        <v>3041301</v>
      </c>
      <c r="E62" s="1">
        <v>15000</v>
      </c>
      <c r="F62" s="1" t="str">
        <f t="shared" si="2"/>
        <v>3041301:15000</v>
      </c>
      <c r="H62" s="2" t="str">
        <f t="shared" si="1"/>
        <v>3041301:15000</v>
      </c>
      <c r="J62" s="1" t="s">
        <v>1250</v>
      </c>
    </row>
    <row r="63" spans="3:10" x14ac:dyDescent="0.15">
      <c r="C63" s="1" t="s">
        <v>1186</v>
      </c>
      <c r="D63" s="1">
        <v>3041401</v>
      </c>
      <c r="E63" s="1">
        <v>1000</v>
      </c>
      <c r="F63" s="1" t="str">
        <f t="shared" si="2"/>
        <v>3041401:1000</v>
      </c>
      <c r="H63" s="2" t="str">
        <f t="shared" si="1"/>
        <v>3041401:1000</v>
      </c>
      <c r="J63" s="1" t="s">
        <v>1251</v>
      </c>
    </row>
    <row r="64" spans="3:10" x14ac:dyDescent="0.15">
      <c r="C64" s="1" t="s">
        <v>1186</v>
      </c>
      <c r="D64" s="1">
        <v>3041401</v>
      </c>
      <c r="E64" s="1">
        <v>2000</v>
      </c>
      <c r="F64" s="1" t="str">
        <f t="shared" si="2"/>
        <v>3041401:2000</v>
      </c>
      <c r="H64" s="2" t="str">
        <f t="shared" si="1"/>
        <v>3041401:2000</v>
      </c>
      <c r="J64" s="1" t="s">
        <v>1252</v>
      </c>
    </row>
    <row r="65" spans="3:11" x14ac:dyDescent="0.15">
      <c r="C65" s="1" t="s">
        <v>1186</v>
      </c>
      <c r="D65" s="1">
        <v>3041401</v>
      </c>
      <c r="E65" s="1">
        <v>3000</v>
      </c>
      <c r="F65" s="1" t="str">
        <f t="shared" si="2"/>
        <v>3041401:3000</v>
      </c>
      <c r="H65" s="2" t="str">
        <f t="shared" si="1"/>
        <v>3041401:3000</v>
      </c>
      <c r="J65" s="1" t="s">
        <v>1253</v>
      </c>
    </row>
    <row r="66" spans="3:11" x14ac:dyDescent="0.15">
      <c r="C66" s="1" t="s">
        <v>1186</v>
      </c>
      <c r="D66" s="1">
        <v>3041401</v>
      </c>
      <c r="E66" s="1">
        <v>4000</v>
      </c>
      <c r="F66" s="1" t="str">
        <f t="shared" si="2"/>
        <v>3041401:4000</v>
      </c>
      <c r="H66" s="2" t="str">
        <f t="shared" si="1"/>
        <v>3041401:4000</v>
      </c>
      <c r="J66" s="1" t="s">
        <v>1254</v>
      </c>
    </row>
    <row r="67" spans="3:11" x14ac:dyDescent="0.15">
      <c r="C67" s="1" t="s">
        <v>1186</v>
      </c>
      <c r="D67" s="1">
        <v>3041401</v>
      </c>
      <c r="E67" s="1">
        <v>5000</v>
      </c>
      <c r="F67" s="1" t="str">
        <f t="shared" si="2"/>
        <v>3041401:5000</v>
      </c>
      <c r="H67" s="2" t="str">
        <f t="shared" si="1"/>
        <v>3041401:5000</v>
      </c>
      <c r="J67" s="1" t="s">
        <v>1255</v>
      </c>
    </row>
    <row r="68" spans="3:11" x14ac:dyDescent="0.15">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x14ac:dyDescent="0.15">
      <c r="C69" s="1" t="s">
        <v>127</v>
      </c>
      <c r="D69" s="1">
        <v>3050001</v>
      </c>
      <c r="E69" s="1">
        <v>5000</v>
      </c>
      <c r="F69" s="1" t="str">
        <f t="shared" si="3"/>
        <v>3050001:5000</v>
      </c>
      <c r="G69" s="1" t="s">
        <v>1256</v>
      </c>
      <c r="H69" s="2" t="str">
        <f t="shared" si="4"/>
        <v>3050001:5000_3050000:1</v>
      </c>
      <c r="J69" s="1" t="s">
        <v>1258</v>
      </c>
      <c r="K69" s="1" t="s">
        <v>1256</v>
      </c>
    </row>
    <row r="70" spans="3:11" x14ac:dyDescent="0.15">
      <c r="C70" s="1" t="s">
        <v>127</v>
      </c>
      <c r="D70" s="1">
        <v>3050001</v>
      </c>
      <c r="E70" s="1">
        <v>7000</v>
      </c>
      <c r="F70" s="1" t="str">
        <f t="shared" si="3"/>
        <v>3050001:7000</v>
      </c>
      <c r="G70" s="1" t="s">
        <v>1256</v>
      </c>
      <c r="H70" s="2" t="str">
        <f t="shared" si="4"/>
        <v>3050001:7000_3050000:1</v>
      </c>
      <c r="J70" s="1" t="s">
        <v>1259</v>
      </c>
      <c r="K70" s="1" t="s">
        <v>1256</v>
      </c>
    </row>
    <row r="71" spans="3:11" x14ac:dyDescent="0.15">
      <c r="C71" s="1" t="s">
        <v>127</v>
      </c>
      <c r="D71" s="1">
        <v>3050001</v>
      </c>
      <c r="E71" s="1">
        <v>10000</v>
      </c>
      <c r="F71" s="1" t="str">
        <f t="shared" si="3"/>
        <v>3050001:10000</v>
      </c>
      <c r="G71" s="1" t="s">
        <v>1256</v>
      </c>
      <c r="H71" s="2" t="str">
        <f t="shared" si="4"/>
        <v>3050001:10000_3050000:1</v>
      </c>
      <c r="J71" s="1" t="s">
        <v>1260</v>
      </c>
      <c r="K71" s="1" t="s">
        <v>1256</v>
      </c>
    </row>
    <row r="72" spans="3:11" x14ac:dyDescent="0.15">
      <c r="C72" s="1" t="s">
        <v>127</v>
      </c>
      <c r="D72" s="1">
        <v>3050001</v>
      </c>
      <c r="E72" s="1">
        <v>15000</v>
      </c>
      <c r="F72" s="1" t="str">
        <f t="shared" si="3"/>
        <v>3050001:15000</v>
      </c>
      <c r="G72" s="1" t="s">
        <v>1256</v>
      </c>
      <c r="H72" s="2" t="str">
        <f t="shared" si="4"/>
        <v>3050001:15000_3050000:1</v>
      </c>
      <c r="J72" s="1" t="s">
        <v>1261</v>
      </c>
      <c r="K72" s="1" t="s">
        <v>1256</v>
      </c>
    </row>
    <row r="73" spans="3:11" x14ac:dyDescent="0.15">
      <c r="C73" s="7" t="s">
        <v>139</v>
      </c>
      <c r="D73" s="1">
        <v>3050101</v>
      </c>
      <c r="E73" s="1">
        <v>80</v>
      </c>
      <c r="F73" s="1" t="str">
        <f t="shared" si="3"/>
        <v>3050101:80</v>
      </c>
      <c r="G73" s="1" t="s">
        <v>1256</v>
      </c>
      <c r="H73" s="2" t="str">
        <f t="shared" si="4"/>
        <v>3050101:80_3050000:1</v>
      </c>
      <c r="J73" s="1" t="s">
        <v>1262</v>
      </c>
      <c r="K73" s="1" t="s">
        <v>1256</v>
      </c>
    </row>
    <row r="74" spans="3:11" x14ac:dyDescent="0.15">
      <c r="C74" s="7" t="s">
        <v>139</v>
      </c>
      <c r="D74" s="1">
        <v>3050101</v>
      </c>
      <c r="E74" s="1">
        <v>140</v>
      </c>
      <c r="F74" s="1" t="str">
        <f t="shared" si="3"/>
        <v>3050101:140</v>
      </c>
      <c r="G74" s="1" t="s">
        <v>1256</v>
      </c>
      <c r="H74" s="2" t="str">
        <f t="shared" si="4"/>
        <v>3050101:140_3050000:1</v>
      </c>
      <c r="J74" s="1" t="s">
        <v>1263</v>
      </c>
      <c r="K74" s="1" t="s">
        <v>1256</v>
      </c>
    </row>
    <row r="75" spans="3:11" x14ac:dyDescent="0.15">
      <c r="C75" s="7" t="s">
        <v>139</v>
      </c>
      <c r="D75" s="1">
        <v>3050101</v>
      </c>
      <c r="E75" s="1">
        <v>190</v>
      </c>
      <c r="F75" s="1" t="str">
        <f t="shared" si="3"/>
        <v>3050101:190</v>
      </c>
      <c r="G75" s="1" t="s">
        <v>1256</v>
      </c>
      <c r="H75" s="2" t="str">
        <f t="shared" si="4"/>
        <v>3050101:190_3050000:1</v>
      </c>
      <c r="J75" s="1" t="s">
        <v>1264</v>
      </c>
      <c r="K75" s="1" t="s">
        <v>1256</v>
      </c>
    </row>
    <row r="76" spans="3:11" x14ac:dyDescent="0.15">
      <c r="C76" s="7" t="s">
        <v>139</v>
      </c>
      <c r="D76" s="1">
        <v>3050101</v>
      </c>
      <c r="E76" s="1">
        <v>280</v>
      </c>
      <c r="F76" s="1" t="str">
        <f t="shared" si="3"/>
        <v>3050101:280</v>
      </c>
      <c r="G76" s="1" t="s">
        <v>1256</v>
      </c>
      <c r="H76" s="2" t="str">
        <f t="shared" si="4"/>
        <v>3050101:280_3050000:1</v>
      </c>
      <c r="J76" s="1" t="s">
        <v>1265</v>
      </c>
      <c r="K76" s="1" t="s">
        <v>1256</v>
      </c>
    </row>
    <row r="77" spans="3:11" x14ac:dyDescent="0.15">
      <c r="C77" s="7" t="s">
        <v>139</v>
      </c>
      <c r="D77" s="1">
        <v>3050101</v>
      </c>
      <c r="E77" s="1">
        <v>410</v>
      </c>
      <c r="F77" s="1" t="str">
        <f t="shared" si="3"/>
        <v>3050101:410</v>
      </c>
      <c r="G77" s="1" t="s">
        <v>1256</v>
      </c>
      <c r="H77" s="2" t="str">
        <f t="shared" si="4"/>
        <v>3050101:410_3050000:1</v>
      </c>
      <c r="J77" s="1" t="s">
        <v>1266</v>
      </c>
      <c r="K77" s="1" t="s">
        <v>1256</v>
      </c>
    </row>
    <row r="78" spans="3:11" x14ac:dyDescent="0.15">
      <c r="C78" s="1" t="s">
        <v>139</v>
      </c>
      <c r="D78" s="1">
        <v>3050102</v>
      </c>
      <c r="E78" s="1">
        <v>3000</v>
      </c>
      <c r="F78" s="1" t="str">
        <f t="shared" si="3"/>
        <v>3050102:3000</v>
      </c>
      <c r="H78" s="2" t="str">
        <f t="shared" si="4"/>
        <v>3050102:3000</v>
      </c>
      <c r="J78" s="1" t="s">
        <v>1267</v>
      </c>
    </row>
    <row r="79" spans="3:11" x14ac:dyDescent="0.15">
      <c r="C79" s="1" t="s">
        <v>139</v>
      </c>
      <c r="D79" s="1">
        <v>3050102</v>
      </c>
      <c r="E79" s="1">
        <v>5000</v>
      </c>
      <c r="F79" s="1" t="str">
        <f t="shared" si="3"/>
        <v>3050102:5000</v>
      </c>
      <c r="H79" s="2" t="str">
        <f t="shared" si="4"/>
        <v>3050102:5000</v>
      </c>
      <c r="J79" s="1" t="s">
        <v>1268</v>
      </c>
    </row>
    <row r="80" spans="3:11" x14ac:dyDescent="0.15">
      <c r="C80" s="1" t="s">
        <v>139</v>
      </c>
      <c r="D80" s="1">
        <v>3050102</v>
      </c>
      <c r="E80" s="1">
        <v>7000</v>
      </c>
      <c r="F80" s="1" t="str">
        <f t="shared" si="3"/>
        <v>3050102:7000</v>
      </c>
      <c r="H80" s="2" t="str">
        <f t="shared" si="4"/>
        <v>3050102:7000</v>
      </c>
      <c r="J80" s="1" t="s">
        <v>1269</v>
      </c>
    </row>
    <row r="81" spans="3:11" x14ac:dyDescent="0.15">
      <c r="C81" s="1" t="s">
        <v>139</v>
      </c>
      <c r="D81" s="1">
        <v>3050102</v>
      </c>
      <c r="E81" s="1">
        <v>10000</v>
      </c>
      <c r="F81" s="1" t="str">
        <f t="shared" si="3"/>
        <v>3050102:10000</v>
      </c>
      <c r="H81" s="2" t="str">
        <f t="shared" si="4"/>
        <v>3050102:10000</v>
      </c>
      <c r="J81" s="1" t="s">
        <v>1270</v>
      </c>
    </row>
    <row r="82" spans="3:11" x14ac:dyDescent="0.15">
      <c r="C82" s="1" t="s">
        <v>139</v>
      </c>
      <c r="D82" s="1">
        <v>3050102</v>
      </c>
      <c r="E82" s="1">
        <v>15000</v>
      </c>
      <c r="F82" s="1" t="str">
        <f t="shared" si="3"/>
        <v>3050102:15000</v>
      </c>
      <c r="H82" s="2" t="str">
        <f t="shared" si="4"/>
        <v>3050102:15000</v>
      </c>
      <c r="J82" s="1" t="s">
        <v>1271</v>
      </c>
    </row>
    <row r="83" spans="3:11" x14ac:dyDescent="0.15">
      <c r="C83" s="1" t="s">
        <v>150</v>
      </c>
      <c r="D83" s="1">
        <v>3050301</v>
      </c>
      <c r="E83" s="1">
        <v>3000</v>
      </c>
      <c r="F83" s="1" t="str">
        <f t="shared" si="3"/>
        <v>3050301:3000</v>
      </c>
      <c r="H83" s="2" t="str">
        <f t="shared" si="4"/>
        <v>3050301:3000</v>
      </c>
      <c r="J83" s="1" t="s">
        <v>1272</v>
      </c>
    </row>
    <row r="84" spans="3:11" x14ac:dyDescent="0.15">
      <c r="C84" s="1" t="s">
        <v>150</v>
      </c>
      <c r="D84" s="1">
        <v>3050301</v>
      </c>
      <c r="E84" s="1">
        <v>5000</v>
      </c>
      <c r="F84" s="1" t="str">
        <f t="shared" si="3"/>
        <v>3050301:5000</v>
      </c>
      <c r="H84" s="2" t="str">
        <f t="shared" si="4"/>
        <v>3050301:5000</v>
      </c>
      <c r="J84" s="1" t="s">
        <v>1273</v>
      </c>
    </row>
    <row r="85" spans="3:11" x14ac:dyDescent="0.15">
      <c r="C85" s="1" t="s">
        <v>150</v>
      </c>
      <c r="D85" s="1">
        <v>3050301</v>
      </c>
      <c r="E85" s="1">
        <v>7000</v>
      </c>
      <c r="F85" s="1" t="str">
        <f t="shared" si="3"/>
        <v>3050301:7000</v>
      </c>
      <c r="H85" s="2" t="str">
        <f t="shared" si="4"/>
        <v>3050301:7000</v>
      </c>
      <c r="J85" s="1" t="s">
        <v>1274</v>
      </c>
    </row>
    <row r="86" spans="3:11" x14ac:dyDescent="0.15">
      <c r="C86" s="1" t="s">
        <v>150</v>
      </c>
      <c r="D86" s="1">
        <v>3050301</v>
      </c>
      <c r="E86" s="1">
        <v>10000</v>
      </c>
      <c r="F86" s="1" t="str">
        <f t="shared" si="3"/>
        <v>3050301:10000</v>
      </c>
      <c r="H86" s="2" t="str">
        <f t="shared" si="4"/>
        <v>3050301:10000</v>
      </c>
      <c r="J86" s="1" t="s">
        <v>1275</v>
      </c>
    </row>
    <row r="87" spans="3:11" x14ac:dyDescent="0.15">
      <c r="C87" s="1" t="s">
        <v>150</v>
      </c>
      <c r="D87" s="1">
        <v>3050301</v>
      </c>
      <c r="E87" s="1">
        <v>15000</v>
      </c>
      <c r="F87" s="1" t="str">
        <f t="shared" si="3"/>
        <v>3050301:15000</v>
      </c>
      <c r="H87" s="2" t="str">
        <f t="shared" si="4"/>
        <v>3050301:15000</v>
      </c>
      <c r="J87" s="1" t="s">
        <v>1276</v>
      </c>
    </row>
    <row r="88" spans="3:11" x14ac:dyDescent="0.15">
      <c r="C88" s="8" t="s">
        <v>1160</v>
      </c>
      <c r="D88" s="1">
        <v>3050501</v>
      </c>
      <c r="E88" s="1">
        <v>80</v>
      </c>
      <c r="F88" s="1" t="str">
        <f t="shared" si="3"/>
        <v>3050501:80</v>
      </c>
      <c r="G88" s="1" t="s">
        <v>1256</v>
      </c>
      <c r="H88" s="2" t="str">
        <f t="shared" si="4"/>
        <v>3050501:80_3050000:1</v>
      </c>
      <c r="J88" s="1" t="s">
        <v>1277</v>
      </c>
      <c r="K88" s="1" t="s">
        <v>1256</v>
      </c>
    </row>
    <row r="89" spans="3:11" x14ac:dyDescent="0.15">
      <c r="C89" s="8" t="s">
        <v>1160</v>
      </c>
      <c r="D89" s="1">
        <v>3050501</v>
      </c>
      <c r="E89" s="1">
        <v>140</v>
      </c>
      <c r="F89" s="1" t="str">
        <f t="shared" si="3"/>
        <v>3050501:140</v>
      </c>
      <c r="G89" s="1" t="s">
        <v>1256</v>
      </c>
      <c r="H89" s="2" t="str">
        <f t="shared" si="4"/>
        <v>3050501:140_3050000:1</v>
      </c>
      <c r="J89" s="1" t="s">
        <v>1278</v>
      </c>
      <c r="K89" s="1" t="s">
        <v>1256</v>
      </c>
    </row>
    <row r="90" spans="3:11" x14ac:dyDescent="0.15">
      <c r="C90" s="8" t="s">
        <v>1160</v>
      </c>
      <c r="D90" s="1">
        <v>3050501</v>
      </c>
      <c r="E90" s="1">
        <v>190</v>
      </c>
      <c r="F90" s="1" t="str">
        <f t="shared" si="3"/>
        <v>3050501:190</v>
      </c>
      <c r="G90" s="1" t="s">
        <v>1256</v>
      </c>
      <c r="H90" s="2" t="str">
        <f t="shared" si="4"/>
        <v>3050501:190_3050000:1</v>
      </c>
      <c r="J90" s="1" t="s">
        <v>1279</v>
      </c>
      <c r="K90" s="1" t="s">
        <v>1256</v>
      </c>
    </row>
    <row r="91" spans="3:11" x14ac:dyDescent="0.15">
      <c r="C91" s="8" t="s">
        <v>1160</v>
      </c>
      <c r="D91" s="1">
        <v>3050501</v>
      </c>
      <c r="E91" s="1">
        <v>280</v>
      </c>
      <c r="F91" s="1" t="str">
        <f t="shared" si="3"/>
        <v>3050501:280</v>
      </c>
      <c r="G91" s="1" t="s">
        <v>1256</v>
      </c>
      <c r="H91" s="2" t="str">
        <f t="shared" si="4"/>
        <v>3050501:280_3050000:1</v>
      </c>
      <c r="J91" s="1" t="s">
        <v>1280</v>
      </c>
      <c r="K91" s="1" t="s">
        <v>1256</v>
      </c>
    </row>
    <row r="92" spans="3:11" x14ac:dyDescent="0.15">
      <c r="C92" s="8" t="s">
        <v>1160</v>
      </c>
      <c r="D92" s="1">
        <v>3050501</v>
      </c>
      <c r="E92" s="1">
        <v>410</v>
      </c>
      <c r="F92" s="1" t="str">
        <f t="shared" si="3"/>
        <v>3050501:410</v>
      </c>
      <c r="G92" s="1" t="s">
        <v>1256</v>
      </c>
      <c r="H92" s="2" t="str">
        <f t="shared" si="4"/>
        <v>3050501:410_3050000:1</v>
      </c>
      <c r="J92" s="1" t="s">
        <v>1281</v>
      </c>
      <c r="K92" s="1" t="s">
        <v>1256</v>
      </c>
    </row>
    <row r="93" spans="3:11" x14ac:dyDescent="0.15">
      <c r="C93" s="1" t="s">
        <v>161</v>
      </c>
      <c r="D93" s="1">
        <v>3060001</v>
      </c>
      <c r="E93" s="1">
        <v>3000</v>
      </c>
      <c r="F93" s="1" t="str">
        <f t="shared" si="3"/>
        <v>3060001:3000</v>
      </c>
      <c r="G93" s="1" t="s">
        <v>1282</v>
      </c>
      <c r="H93" s="2" t="str">
        <f t="shared" si="4"/>
        <v>3060001:3000_3060000:1</v>
      </c>
      <c r="J93" s="1" t="s">
        <v>1283</v>
      </c>
      <c r="K93" s="1" t="s">
        <v>1282</v>
      </c>
    </row>
    <row r="94" spans="3:11" x14ac:dyDescent="0.15">
      <c r="C94" s="1" t="s">
        <v>161</v>
      </c>
      <c r="D94" s="1">
        <v>3060001</v>
      </c>
      <c r="E94" s="1">
        <v>5000</v>
      </c>
      <c r="F94" s="1" t="str">
        <f t="shared" si="3"/>
        <v>3060001:5000</v>
      </c>
      <c r="G94" s="1" t="s">
        <v>1282</v>
      </c>
      <c r="H94" s="2" t="str">
        <f t="shared" si="4"/>
        <v>3060001:5000_3060000:1</v>
      </c>
      <c r="J94" s="1" t="s">
        <v>1284</v>
      </c>
      <c r="K94" s="1" t="s">
        <v>1282</v>
      </c>
    </row>
    <row r="95" spans="3:11" x14ac:dyDescent="0.15">
      <c r="C95" s="1" t="s">
        <v>161</v>
      </c>
      <c r="D95" s="1">
        <v>3060001</v>
      </c>
      <c r="E95" s="1">
        <v>7000</v>
      </c>
      <c r="F95" s="1" t="str">
        <f t="shared" si="3"/>
        <v>3060001:7000</v>
      </c>
      <c r="G95" s="1" t="s">
        <v>1282</v>
      </c>
      <c r="H95" s="2" t="str">
        <f t="shared" si="4"/>
        <v>3060001:7000_3060000:1</v>
      </c>
      <c r="J95" s="1" t="s">
        <v>1285</v>
      </c>
      <c r="K95" s="1" t="s">
        <v>1282</v>
      </c>
    </row>
    <row r="96" spans="3:11" x14ac:dyDescent="0.15">
      <c r="C96" s="1" t="s">
        <v>161</v>
      </c>
      <c r="D96" s="1">
        <v>3060001</v>
      </c>
      <c r="E96" s="1">
        <v>10000</v>
      </c>
      <c r="F96" s="1" t="str">
        <f t="shared" si="3"/>
        <v>3060001:10000</v>
      </c>
      <c r="G96" s="1" t="s">
        <v>1282</v>
      </c>
      <c r="H96" s="2" t="str">
        <f t="shared" si="4"/>
        <v>3060001:10000_3060000:1</v>
      </c>
      <c r="J96" s="1" t="s">
        <v>1286</v>
      </c>
      <c r="K96" s="1" t="s">
        <v>1282</v>
      </c>
    </row>
    <row r="97" spans="3:11" x14ac:dyDescent="0.15">
      <c r="C97" s="1" t="s">
        <v>161</v>
      </c>
      <c r="D97" s="1">
        <v>3060001</v>
      </c>
      <c r="E97" s="1">
        <v>15000</v>
      </c>
      <c r="F97" s="1" t="str">
        <f t="shared" si="3"/>
        <v>3060001:15000</v>
      </c>
      <c r="G97" s="1" t="s">
        <v>1282</v>
      </c>
      <c r="H97" s="2" t="str">
        <f t="shared" si="4"/>
        <v>3060001:15000_3060000:1</v>
      </c>
      <c r="J97" s="1" t="s">
        <v>1287</v>
      </c>
      <c r="K97" s="1" t="s">
        <v>1282</v>
      </c>
    </row>
    <row r="98" spans="3:11" x14ac:dyDescent="0.15">
      <c r="C98" s="7" t="s">
        <v>173</v>
      </c>
      <c r="D98" s="1">
        <v>3060101</v>
      </c>
      <c r="E98" s="1">
        <v>80</v>
      </c>
      <c r="F98" s="1" t="str">
        <f t="shared" si="3"/>
        <v>3060101:80</v>
      </c>
      <c r="G98" s="1" t="s">
        <v>1282</v>
      </c>
      <c r="H98" s="2" t="str">
        <f t="shared" si="4"/>
        <v>3060101:80_3060000:1</v>
      </c>
      <c r="J98" s="1" t="s">
        <v>1288</v>
      </c>
      <c r="K98" s="1" t="s">
        <v>1282</v>
      </c>
    </row>
    <row r="99" spans="3:11" x14ac:dyDescent="0.15">
      <c r="C99" s="7" t="s">
        <v>173</v>
      </c>
      <c r="D99" s="1">
        <v>3060101</v>
      </c>
      <c r="E99" s="1">
        <v>140</v>
      </c>
      <c r="F99" s="1" t="str">
        <f t="shared" si="3"/>
        <v>3060101:140</v>
      </c>
      <c r="G99" s="1" t="s">
        <v>1282</v>
      </c>
      <c r="H99" s="2" t="str">
        <f t="shared" si="4"/>
        <v>3060101:140_3060000:1</v>
      </c>
      <c r="J99" s="1" t="s">
        <v>1289</v>
      </c>
      <c r="K99" s="1" t="s">
        <v>1282</v>
      </c>
    </row>
    <row r="100" spans="3:11" x14ac:dyDescent="0.15">
      <c r="C100" s="7" t="s">
        <v>173</v>
      </c>
      <c r="D100" s="1">
        <v>3060101</v>
      </c>
      <c r="E100" s="1">
        <v>190</v>
      </c>
      <c r="F100" s="1" t="str">
        <f t="shared" si="3"/>
        <v>3060101:190</v>
      </c>
      <c r="G100" s="1" t="s">
        <v>1282</v>
      </c>
      <c r="H100" s="2" t="str">
        <f t="shared" si="4"/>
        <v>3060101:190_3060000:1</v>
      </c>
      <c r="J100" s="1" t="s">
        <v>1290</v>
      </c>
      <c r="K100" s="1" t="s">
        <v>1282</v>
      </c>
    </row>
    <row r="101" spans="3:11" x14ac:dyDescent="0.15">
      <c r="C101" s="7" t="s">
        <v>173</v>
      </c>
      <c r="D101" s="1">
        <v>3060101</v>
      </c>
      <c r="E101" s="1">
        <v>280</v>
      </c>
      <c r="F101" s="1" t="str">
        <f t="shared" si="3"/>
        <v>3060101:280</v>
      </c>
      <c r="G101" s="1" t="s">
        <v>1282</v>
      </c>
      <c r="H101" s="2" t="str">
        <f t="shared" si="4"/>
        <v>3060101:280_3060000:1</v>
      </c>
      <c r="J101" s="1" t="s">
        <v>1291</v>
      </c>
      <c r="K101" s="1" t="s">
        <v>1282</v>
      </c>
    </row>
    <row r="102" spans="3:11" x14ac:dyDescent="0.15">
      <c r="C102" s="7" t="s">
        <v>173</v>
      </c>
      <c r="D102" s="1">
        <v>3060101</v>
      </c>
      <c r="E102" s="1">
        <v>410</v>
      </c>
      <c r="F102" s="1" t="str">
        <f t="shared" si="3"/>
        <v>3060101:410</v>
      </c>
      <c r="G102" s="1" t="s">
        <v>1282</v>
      </c>
      <c r="H102" s="2" t="str">
        <f t="shared" si="4"/>
        <v>3060101:410_3060000:1</v>
      </c>
      <c r="J102" s="1" t="s">
        <v>1292</v>
      </c>
      <c r="K102" s="1" t="s">
        <v>1282</v>
      </c>
    </row>
    <row r="103" spans="3:11" x14ac:dyDescent="0.15">
      <c r="C103" s="1" t="s">
        <v>173</v>
      </c>
      <c r="D103" s="1">
        <v>3060102</v>
      </c>
      <c r="E103" s="1">
        <v>3000</v>
      </c>
      <c r="F103" s="1" t="str">
        <f t="shared" si="3"/>
        <v>3060102:3000</v>
      </c>
      <c r="H103" s="2" t="str">
        <f t="shared" si="4"/>
        <v>3060102:3000</v>
      </c>
      <c r="J103" s="1" t="s">
        <v>1293</v>
      </c>
    </row>
    <row r="104" spans="3:11" x14ac:dyDescent="0.15">
      <c r="C104" s="1" t="s">
        <v>173</v>
      </c>
      <c r="D104" s="1">
        <v>3060102</v>
      </c>
      <c r="E104" s="1">
        <v>5000</v>
      </c>
      <c r="F104" s="1" t="str">
        <f t="shared" si="3"/>
        <v>3060102:5000</v>
      </c>
      <c r="H104" s="2" t="str">
        <f t="shared" si="4"/>
        <v>3060102:5000</v>
      </c>
      <c r="J104" s="1" t="s">
        <v>1294</v>
      </c>
    </row>
    <row r="105" spans="3:11" x14ac:dyDescent="0.15">
      <c r="C105" s="1" t="s">
        <v>173</v>
      </c>
      <c r="D105" s="1">
        <v>3060102</v>
      </c>
      <c r="E105" s="1">
        <v>7000</v>
      </c>
      <c r="F105" s="1" t="str">
        <f t="shared" si="3"/>
        <v>3060102:7000</v>
      </c>
      <c r="H105" s="2" t="str">
        <f t="shared" si="4"/>
        <v>3060102:7000</v>
      </c>
      <c r="J105" s="1" t="s">
        <v>1295</v>
      </c>
    </row>
    <row r="106" spans="3:11" x14ac:dyDescent="0.15">
      <c r="C106" s="1" t="s">
        <v>173</v>
      </c>
      <c r="D106" s="1">
        <v>3060102</v>
      </c>
      <c r="E106" s="1">
        <v>10000</v>
      </c>
      <c r="F106" s="1" t="str">
        <f t="shared" si="3"/>
        <v>3060102:10000</v>
      </c>
      <c r="H106" s="2" t="str">
        <f t="shared" si="4"/>
        <v>3060102:10000</v>
      </c>
      <c r="J106" s="1" t="s">
        <v>1296</v>
      </c>
    </row>
    <row r="107" spans="3:11" x14ac:dyDescent="0.15">
      <c r="C107" s="1" t="s">
        <v>173</v>
      </c>
      <c r="D107" s="1">
        <v>3060102</v>
      </c>
      <c r="E107" s="1">
        <v>15000</v>
      </c>
      <c r="F107" s="1" t="str">
        <f t="shared" si="3"/>
        <v>3060102:15000</v>
      </c>
      <c r="H107" s="2" t="str">
        <f t="shared" si="4"/>
        <v>3060102:15000</v>
      </c>
      <c r="J107" s="1" t="s">
        <v>1297</v>
      </c>
    </row>
    <row r="108" spans="3:11" x14ac:dyDescent="0.15">
      <c r="C108" s="1" t="s">
        <v>184</v>
      </c>
      <c r="D108" s="1">
        <v>3060301</v>
      </c>
      <c r="E108" s="1">
        <v>3000</v>
      </c>
      <c r="F108" s="1" t="str">
        <f t="shared" si="3"/>
        <v>3060301:3000</v>
      </c>
      <c r="H108" s="2" t="str">
        <f t="shared" si="4"/>
        <v>3060301:3000</v>
      </c>
      <c r="J108" s="1" t="s">
        <v>1298</v>
      </c>
    </row>
    <row r="109" spans="3:11" x14ac:dyDescent="0.15">
      <c r="C109" s="1" t="s">
        <v>184</v>
      </c>
      <c r="D109" s="1">
        <v>3060301</v>
      </c>
      <c r="E109" s="1">
        <v>5000</v>
      </c>
      <c r="F109" s="1" t="str">
        <f t="shared" si="3"/>
        <v>3060301:5000</v>
      </c>
      <c r="H109" s="2" t="str">
        <f t="shared" si="4"/>
        <v>3060301:5000</v>
      </c>
      <c r="J109" s="1" t="s">
        <v>1299</v>
      </c>
    </row>
    <row r="110" spans="3:11" x14ac:dyDescent="0.15">
      <c r="C110" s="1" t="s">
        <v>184</v>
      </c>
      <c r="D110" s="1">
        <v>3060301</v>
      </c>
      <c r="E110" s="1">
        <v>7000</v>
      </c>
      <c r="F110" s="1" t="str">
        <f t="shared" si="3"/>
        <v>3060301:7000</v>
      </c>
      <c r="H110" s="2" t="str">
        <f t="shared" si="4"/>
        <v>3060301:7000</v>
      </c>
      <c r="J110" s="1" t="s">
        <v>1300</v>
      </c>
    </row>
    <row r="111" spans="3:11" x14ac:dyDescent="0.15">
      <c r="C111" s="1" t="s">
        <v>184</v>
      </c>
      <c r="D111" s="1">
        <v>3060301</v>
      </c>
      <c r="E111" s="1">
        <v>10000</v>
      </c>
      <c r="F111" s="1" t="str">
        <f t="shared" si="3"/>
        <v>3060301:10000</v>
      </c>
      <c r="H111" s="2" t="str">
        <f t="shared" si="4"/>
        <v>3060301:10000</v>
      </c>
      <c r="J111" s="1" t="s">
        <v>1301</v>
      </c>
    </row>
    <row r="112" spans="3:11" x14ac:dyDescent="0.15">
      <c r="C112" s="1" t="s">
        <v>184</v>
      </c>
      <c r="D112" s="1">
        <v>3060301</v>
      </c>
      <c r="E112" s="1">
        <v>15000</v>
      </c>
      <c r="F112" s="1" t="str">
        <f t="shared" si="3"/>
        <v>3060301:15000</v>
      </c>
      <c r="H112" s="2" t="str">
        <f t="shared" si="4"/>
        <v>3060301:15000</v>
      </c>
      <c r="J112" s="1" t="s">
        <v>1302</v>
      </c>
    </row>
    <row r="113" spans="3:11" x14ac:dyDescent="0.15">
      <c r="C113" s="8" t="s">
        <v>1161</v>
      </c>
      <c r="D113" s="1">
        <v>3060501</v>
      </c>
      <c r="E113" s="1">
        <v>80</v>
      </c>
      <c r="F113" s="1" t="str">
        <f t="shared" si="3"/>
        <v>3060501:80</v>
      </c>
      <c r="G113" s="1" t="s">
        <v>1282</v>
      </c>
      <c r="H113" s="2" t="str">
        <f t="shared" si="4"/>
        <v>3060501:80_3060000:1</v>
      </c>
      <c r="J113" s="1" t="s">
        <v>1303</v>
      </c>
      <c r="K113" s="1" t="s">
        <v>1282</v>
      </c>
    </row>
    <row r="114" spans="3:11" x14ac:dyDescent="0.15">
      <c r="C114" s="8" t="s">
        <v>1161</v>
      </c>
      <c r="D114" s="1">
        <v>3060501</v>
      </c>
      <c r="E114" s="1">
        <v>140</v>
      </c>
      <c r="F114" s="1" t="str">
        <f t="shared" si="3"/>
        <v>3060501:140</v>
      </c>
      <c r="G114" s="1" t="s">
        <v>1282</v>
      </c>
      <c r="H114" s="2" t="str">
        <f t="shared" si="4"/>
        <v>3060501:140_3060000:1</v>
      </c>
      <c r="J114" s="1" t="s">
        <v>1304</v>
      </c>
      <c r="K114" s="1" t="s">
        <v>1282</v>
      </c>
    </row>
    <row r="115" spans="3:11" x14ac:dyDescent="0.15">
      <c r="C115" s="8" t="s">
        <v>1161</v>
      </c>
      <c r="D115" s="1">
        <v>3060501</v>
      </c>
      <c r="E115" s="1">
        <v>190</v>
      </c>
      <c r="F115" s="1" t="str">
        <f t="shared" si="3"/>
        <v>3060501:190</v>
      </c>
      <c r="G115" s="1" t="s">
        <v>1282</v>
      </c>
      <c r="H115" s="2" t="str">
        <f t="shared" si="4"/>
        <v>3060501:190_3060000:1</v>
      </c>
      <c r="J115" s="1" t="s">
        <v>1305</v>
      </c>
      <c r="K115" s="1" t="s">
        <v>1282</v>
      </c>
    </row>
    <row r="116" spans="3:11" x14ac:dyDescent="0.15">
      <c r="C116" s="8" t="s">
        <v>1161</v>
      </c>
      <c r="D116" s="1">
        <v>3060501</v>
      </c>
      <c r="E116" s="1">
        <v>280</v>
      </c>
      <c r="F116" s="1" t="str">
        <f t="shared" si="3"/>
        <v>3060501:280</v>
      </c>
      <c r="G116" s="1" t="s">
        <v>1282</v>
      </c>
      <c r="H116" s="2" t="str">
        <f t="shared" si="4"/>
        <v>3060501:280_3060000:1</v>
      </c>
      <c r="J116" s="1" t="s">
        <v>1306</v>
      </c>
      <c r="K116" s="1" t="s">
        <v>1282</v>
      </c>
    </row>
    <row r="117" spans="3:11" x14ac:dyDescent="0.15">
      <c r="C117" s="8" t="s">
        <v>1161</v>
      </c>
      <c r="D117" s="1">
        <v>3060501</v>
      </c>
      <c r="E117" s="1">
        <v>410</v>
      </c>
      <c r="F117" s="1" t="str">
        <f t="shared" si="3"/>
        <v>3060501:410</v>
      </c>
      <c r="G117" s="1" t="s">
        <v>1282</v>
      </c>
      <c r="H117" s="2" t="str">
        <f t="shared" si="4"/>
        <v>3060501:410_3060000:1</v>
      </c>
      <c r="J117" s="1" t="s">
        <v>1307</v>
      </c>
      <c r="K117" s="1" t="s">
        <v>1282</v>
      </c>
    </row>
    <row r="118" spans="3:11" x14ac:dyDescent="0.15">
      <c r="C118" s="1" t="s">
        <v>195</v>
      </c>
      <c r="D118" s="1">
        <v>3070001</v>
      </c>
      <c r="E118" s="1">
        <v>3000</v>
      </c>
      <c r="F118" s="1" t="str">
        <f t="shared" si="3"/>
        <v>3070001:3000</v>
      </c>
      <c r="G118" s="1" t="s">
        <v>1308</v>
      </c>
      <c r="H118" s="2" t="str">
        <f t="shared" si="4"/>
        <v>3070001:3000_3070000:1</v>
      </c>
      <c r="J118" s="1" t="s">
        <v>1309</v>
      </c>
      <c r="K118" s="1" t="s">
        <v>1308</v>
      </c>
    </row>
    <row r="119" spans="3:11" x14ac:dyDescent="0.15">
      <c r="C119" s="1" t="s">
        <v>195</v>
      </c>
      <c r="D119" s="1">
        <v>3070001</v>
      </c>
      <c r="E119" s="1">
        <v>5000</v>
      </c>
      <c r="F119" s="1" t="str">
        <f t="shared" si="3"/>
        <v>3070001:5000</v>
      </c>
      <c r="G119" s="1" t="s">
        <v>1308</v>
      </c>
      <c r="H119" s="2" t="str">
        <f t="shared" si="4"/>
        <v>3070001:5000_3070000:1</v>
      </c>
      <c r="J119" s="1" t="s">
        <v>1310</v>
      </c>
      <c r="K119" s="1" t="s">
        <v>1308</v>
      </c>
    </row>
    <row r="120" spans="3:11" x14ac:dyDescent="0.15">
      <c r="C120" s="1" t="s">
        <v>195</v>
      </c>
      <c r="D120" s="1">
        <v>3070001</v>
      </c>
      <c r="E120" s="1">
        <v>7000</v>
      </c>
      <c r="F120" s="1" t="str">
        <f t="shared" si="3"/>
        <v>3070001:7000</v>
      </c>
      <c r="G120" s="1" t="s">
        <v>1308</v>
      </c>
      <c r="H120" s="2" t="str">
        <f t="shared" si="4"/>
        <v>3070001:7000_3070000:1</v>
      </c>
      <c r="J120" s="1" t="s">
        <v>1311</v>
      </c>
      <c r="K120" s="1" t="s">
        <v>1308</v>
      </c>
    </row>
    <row r="121" spans="3:11" x14ac:dyDescent="0.15">
      <c r="C121" s="1" t="s">
        <v>195</v>
      </c>
      <c r="D121" s="1">
        <v>3070001</v>
      </c>
      <c r="E121" s="1">
        <v>10000</v>
      </c>
      <c r="F121" s="1" t="str">
        <f t="shared" si="3"/>
        <v>3070001:10000</v>
      </c>
      <c r="G121" s="1" t="s">
        <v>1308</v>
      </c>
      <c r="H121" s="2" t="str">
        <f t="shared" si="4"/>
        <v>3070001:10000_3070000:1</v>
      </c>
      <c r="J121" s="1" t="s">
        <v>1312</v>
      </c>
      <c r="K121" s="1" t="s">
        <v>1308</v>
      </c>
    </row>
    <row r="122" spans="3:11" x14ac:dyDescent="0.15">
      <c r="C122" s="1" t="s">
        <v>195</v>
      </c>
      <c r="D122" s="1">
        <v>3070001</v>
      </c>
      <c r="E122" s="1">
        <v>15000</v>
      </c>
      <c r="F122" s="1" t="str">
        <f t="shared" si="3"/>
        <v>3070001:15000</v>
      </c>
      <c r="G122" s="1" t="s">
        <v>1308</v>
      </c>
      <c r="H122" s="2" t="str">
        <f t="shared" si="4"/>
        <v>3070001:15000_3070000:1</v>
      </c>
      <c r="J122" s="1" t="s">
        <v>1313</v>
      </c>
      <c r="K122" s="1" t="s">
        <v>1308</v>
      </c>
    </row>
    <row r="123" spans="3:11" x14ac:dyDescent="0.15">
      <c r="C123" s="7" t="s">
        <v>207</v>
      </c>
      <c r="D123" s="1">
        <v>3070101</v>
      </c>
      <c r="E123" s="1">
        <v>80</v>
      </c>
      <c r="F123" s="1" t="str">
        <f t="shared" si="3"/>
        <v>3070101:80</v>
      </c>
      <c r="G123" s="1" t="s">
        <v>1308</v>
      </c>
      <c r="H123" s="2" t="str">
        <f t="shared" si="4"/>
        <v>3070101:80_3070000:1</v>
      </c>
      <c r="J123" s="1" t="s">
        <v>1314</v>
      </c>
      <c r="K123" s="1" t="s">
        <v>1308</v>
      </c>
    </row>
    <row r="124" spans="3:11" x14ac:dyDescent="0.15">
      <c r="C124" s="7" t="s">
        <v>207</v>
      </c>
      <c r="D124" s="1">
        <v>3070101</v>
      </c>
      <c r="E124" s="1">
        <v>140</v>
      </c>
      <c r="F124" s="1" t="str">
        <f t="shared" si="3"/>
        <v>3070101:140</v>
      </c>
      <c r="G124" s="1" t="s">
        <v>1308</v>
      </c>
      <c r="H124" s="2" t="str">
        <f t="shared" si="4"/>
        <v>3070101:140_3070000:1</v>
      </c>
      <c r="J124" s="1" t="s">
        <v>1315</v>
      </c>
      <c r="K124" s="1" t="s">
        <v>1308</v>
      </c>
    </row>
    <row r="125" spans="3:11" x14ac:dyDescent="0.15">
      <c r="C125" s="7" t="s">
        <v>207</v>
      </c>
      <c r="D125" s="1">
        <v>3070101</v>
      </c>
      <c r="E125" s="1">
        <v>190</v>
      </c>
      <c r="F125" s="1" t="str">
        <f t="shared" si="3"/>
        <v>3070101:190</v>
      </c>
      <c r="G125" s="1" t="s">
        <v>1308</v>
      </c>
      <c r="H125" s="2" t="str">
        <f t="shared" si="4"/>
        <v>3070101:190_3070000:1</v>
      </c>
      <c r="J125" s="1" t="s">
        <v>1316</v>
      </c>
      <c r="K125" s="1" t="s">
        <v>1308</v>
      </c>
    </row>
    <row r="126" spans="3:11" x14ac:dyDescent="0.15">
      <c r="C126" s="7" t="s">
        <v>207</v>
      </c>
      <c r="D126" s="1">
        <v>3070101</v>
      </c>
      <c r="E126" s="1">
        <v>280</v>
      </c>
      <c r="F126" s="1" t="str">
        <f t="shared" si="3"/>
        <v>3070101:280</v>
      </c>
      <c r="G126" s="1" t="s">
        <v>1308</v>
      </c>
      <c r="H126" s="2" t="str">
        <f t="shared" si="4"/>
        <v>3070101:280_3070000:1</v>
      </c>
      <c r="J126" s="1" t="s">
        <v>1317</v>
      </c>
      <c r="K126" s="1" t="s">
        <v>1308</v>
      </c>
    </row>
    <row r="127" spans="3:11" x14ac:dyDescent="0.15">
      <c r="C127" s="7" t="s">
        <v>207</v>
      </c>
      <c r="D127" s="1">
        <v>3070101</v>
      </c>
      <c r="E127" s="1">
        <v>410</v>
      </c>
      <c r="F127" s="1" t="str">
        <f t="shared" si="3"/>
        <v>3070101:410</v>
      </c>
      <c r="G127" s="1" t="s">
        <v>1308</v>
      </c>
      <c r="H127" s="2" t="str">
        <f t="shared" si="4"/>
        <v>3070101:410_3070000:1</v>
      </c>
      <c r="J127" s="1" t="s">
        <v>1318</v>
      </c>
      <c r="K127" s="1" t="s">
        <v>1308</v>
      </c>
    </row>
    <row r="128" spans="3:11" x14ac:dyDescent="0.15">
      <c r="C128" s="1" t="s">
        <v>207</v>
      </c>
      <c r="D128" s="1">
        <v>3070102</v>
      </c>
      <c r="E128" s="1">
        <v>3000</v>
      </c>
      <c r="F128" s="1" t="str">
        <f t="shared" si="3"/>
        <v>3070102:3000</v>
      </c>
      <c r="H128" s="2" t="str">
        <f t="shared" si="4"/>
        <v>3070102:3000</v>
      </c>
      <c r="J128" s="1" t="s">
        <v>1319</v>
      </c>
    </row>
    <row r="129" spans="3:11" x14ac:dyDescent="0.15">
      <c r="C129" s="1" t="s">
        <v>207</v>
      </c>
      <c r="D129" s="1">
        <v>3070102</v>
      </c>
      <c r="E129" s="1">
        <v>5000</v>
      </c>
      <c r="F129" s="1" t="str">
        <f t="shared" si="3"/>
        <v>3070102:5000</v>
      </c>
      <c r="H129" s="2" t="str">
        <f t="shared" si="4"/>
        <v>3070102:5000</v>
      </c>
      <c r="J129" s="1" t="s">
        <v>1320</v>
      </c>
    </row>
    <row r="130" spans="3:11" x14ac:dyDescent="0.15">
      <c r="C130" s="1" t="s">
        <v>207</v>
      </c>
      <c r="D130" s="1">
        <v>3070102</v>
      </c>
      <c r="E130" s="1">
        <v>7000</v>
      </c>
      <c r="F130" s="1" t="str">
        <f t="shared" si="3"/>
        <v>3070102:7000</v>
      </c>
      <c r="H130" s="2" t="str">
        <f t="shared" si="4"/>
        <v>3070102:7000</v>
      </c>
      <c r="J130" s="1" t="s">
        <v>1321</v>
      </c>
    </row>
    <row r="131" spans="3:11" x14ac:dyDescent="0.15">
      <c r="C131" s="1" t="s">
        <v>207</v>
      </c>
      <c r="D131" s="1">
        <v>3070102</v>
      </c>
      <c r="E131" s="1">
        <v>10000</v>
      </c>
      <c r="F131" s="1" t="str">
        <f t="shared" si="3"/>
        <v>3070102:10000</v>
      </c>
      <c r="H131" s="2" t="str">
        <f t="shared" si="4"/>
        <v>3070102:10000</v>
      </c>
      <c r="J131" s="1" t="s">
        <v>1322</v>
      </c>
    </row>
    <row r="132" spans="3:11" x14ac:dyDescent="0.15">
      <c r="C132" s="1" t="s">
        <v>207</v>
      </c>
      <c r="D132" s="1">
        <v>3070102</v>
      </c>
      <c r="E132" s="1">
        <v>15000</v>
      </c>
      <c r="F132" s="1" t="str">
        <f t="shared" ref="F132:F167" si="5">D132&amp;":"&amp;E132</f>
        <v>3070102:15000</v>
      </c>
      <c r="H132" s="2" t="str">
        <f t="shared" ref="H132:H167" si="6">_xlfn.TEXTJOIN("_",TRUE,F132:G132)</f>
        <v>3070102:15000</v>
      </c>
      <c r="J132" s="1" t="s">
        <v>1323</v>
      </c>
    </row>
    <row r="133" spans="3:11" x14ac:dyDescent="0.15">
      <c r="C133" s="1" t="s">
        <v>218</v>
      </c>
      <c r="D133" s="1">
        <v>3070301</v>
      </c>
      <c r="E133" s="1">
        <v>3000</v>
      </c>
      <c r="F133" s="1" t="str">
        <f t="shared" si="5"/>
        <v>3070301:3000</v>
      </c>
      <c r="H133" s="2" t="str">
        <f t="shared" si="6"/>
        <v>3070301:3000</v>
      </c>
      <c r="J133" s="1" t="s">
        <v>1324</v>
      </c>
    </row>
    <row r="134" spans="3:11" x14ac:dyDescent="0.15">
      <c r="C134" s="1" t="s">
        <v>218</v>
      </c>
      <c r="D134" s="1">
        <v>3070301</v>
      </c>
      <c r="E134" s="1">
        <v>5000</v>
      </c>
      <c r="F134" s="1" t="str">
        <f t="shared" si="5"/>
        <v>3070301:5000</v>
      </c>
      <c r="H134" s="2" t="str">
        <f t="shared" si="6"/>
        <v>3070301:5000</v>
      </c>
      <c r="J134" s="1" t="s">
        <v>1325</v>
      </c>
    </row>
    <row r="135" spans="3:11" x14ac:dyDescent="0.15">
      <c r="C135" s="1" t="s">
        <v>218</v>
      </c>
      <c r="D135" s="1">
        <v>3070301</v>
      </c>
      <c r="E135" s="1">
        <v>7000</v>
      </c>
      <c r="F135" s="1" t="str">
        <f t="shared" si="5"/>
        <v>3070301:7000</v>
      </c>
      <c r="H135" s="2" t="str">
        <f t="shared" si="6"/>
        <v>3070301:7000</v>
      </c>
      <c r="J135" s="1" t="s">
        <v>1326</v>
      </c>
    </row>
    <row r="136" spans="3:11" x14ac:dyDescent="0.15">
      <c r="C136" s="1" t="s">
        <v>218</v>
      </c>
      <c r="D136" s="1">
        <v>3070301</v>
      </c>
      <c r="E136" s="1">
        <v>10000</v>
      </c>
      <c r="F136" s="1" t="str">
        <f t="shared" si="5"/>
        <v>3070301:10000</v>
      </c>
      <c r="H136" s="2" t="str">
        <f t="shared" si="6"/>
        <v>3070301:10000</v>
      </c>
      <c r="J136" s="1" t="s">
        <v>1327</v>
      </c>
    </row>
    <row r="137" spans="3:11" x14ac:dyDescent="0.15">
      <c r="C137" s="1" t="s">
        <v>218</v>
      </c>
      <c r="D137" s="1">
        <v>3070301</v>
      </c>
      <c r="E137" s="1">
        <v>15000</v>
      </c>
      <c r="F137" s="1" t="str">
        <f t="shared" si="5"/>
        <v>3070301:15000</v>
      </c>
      <c r="H137" s="2" t="str">
        <f t="shared" si="6"/>
        <v>3070301:15000</v>
      </c>
      <c r="J137" s="1" t="s">
        <v>1328</v>
      </c>
    </row>
    <row r="138" spans="3:11" x14ac:dyDescent="0.15">
      <c r="C138" s="8" t="s">
        <v>1162</v>
      </c>
      <c r="D138" s="1">
        <v>3070501</v>
      </c>
      <c r="E138" s="1">
        <v>80</v>
      </c>
      <c r="F138" s="1" t="str">
        <f t="shared" si="5"/>
        <v>3070501:80</v>
      </c>
      <c r="G138" s="1" t="s">
        <v>1308</v>
      </c>
      <c r="H138" s="2" t="str">
        <f t="shared" si="6"/>
        <v>3070501:80_3070000:1</v>
      </c>
      <c r="J138" s="1" t="s">
        <v>1329</v>
      </c>
      <c r="K138" s="1" t="s">
        <v>1308</v>
      </c>
    </row>
    <row r="139" spans="3:11" x14ac:dyDescent="0.15">
      <c r="C139" s="8" t="s">
        <v>1162</v>
      </c>
      <c r="D139" s="1">
        <v>3070501</v>
      </c>
      <c r="E139" s="1">
        <v>140</v>
      </c>
      <c r="F139" s="1" t="str">
        <f t="shared" si="5"/>
        <v>3070501:140</v>
      </c>
      <c r="G139" s="1" t="s">
        <v>1308</v>
      </c>
      <c r="H139" s="2" t="str">
        <f t="shared" si="6"/>
        <v>3070501:140_3070000:1</v>
      </c>
      <c r="J139" s="1" t="s">
        <v>1330</v>
      </c>
      <c r="K139" s="1" t="s">
        <v>1308</v>
      </c>
    </row>
    <row r="140" spans="3:11" x14ac:dyDescent="0.15">
      <c r="C140" s="8" t="s">
        <v>1162</v>
      </c>
      <c r="D140" s="1">
        <v>3070501</v>
      </c>
      <c r="E140" s="1">
        <v>190</v>
      </c>
      <c r="F140" s="1" t="str">
        <f t="shared" si="5"/>
        <v>3070501:190</v>
      </c>
      <c r="G140" s="1" t="s">
        <v>1308</v>
      </c>
      <c r="H140" s="2" t="str">
        <f t="shared" si="6"/>
        <v>3070501:190_3070000:1</v>
      </c>
      <c r="J140" s="1" t="s">
        <v>1331</v>
      </c>
      <c r="K140" s="1" t="s">
        <v>1308</v>
      </c>
    </row>
    <row r="141" spans="3:11" x14ac:dyDescent="0.15">
      <c r="C141" s="8" t="s">
        <v>1162</v>
      </c>
      <c r="D141" s="1">
        <v>3070501</v>
      </c>
      <c r="E141" s="1">
        <v>280</v>
      </c>
      <c r="F141" s="1" t="str">
        <f t="shared" si="5"/>
        <v>3070501:280</v>
      </c>
      <c r="G141" s="1" t="s">
        <v>1308</v>
      </c>
      <c r="H141" s="2" t="str">
        <f t="shared" si="6"/>
        <v>3070501:280_3070000:1</v>
      </c>
      <c r="J141" s="1" t="s">
        <v>1332</v>
      </c>
      <c r="K141" s="1" t="s">
        <v>1308</v>
      </c>
    </row>
    <row r="142" spans="3:11" x14ac:dyDescent="0.15">
      <c r="C142" s="8" t="s">
        <v>1162</v>
      </c>
      <c r="D142" s="1">
        <v>3070501</v>
      </c>
      <c r="E142" s="1">
        <v>410</v>
      </c>
      <c r="F142" s="1" t="str">
        <f t="shared" si="5"/>
        <v>3070501:410</v>
      </c>
      <c r="G142" s="1" t="s">
        <v>1308</v>
      </c>
      <c r="H142" s="2" t="str">
        <f t="shared" si="6"/>
        <v>3070501:410_3070000:1</v>
      </c>
      <c r="J142" s="1" t="s">
        <v>1333</v>
      </c>
      <c r="K142" s="1" t="s">
        <v>1308</v>
      </c>
    </row>
    <row r="143" spans="3:11" x14ac:dyDescent="0.15">
      <c r="C143" s="1" t="s">
        <v>229</v>
      </c>
      <c r="D143" s="1">
        <v>3080001</v>
      </c>
      <c r="E143" s="1">
        <v>3000</v>
      </c>
      <c r="F143" s="1" t="str">
        <f t="shared" si="5"/>
        <v>3080001:3000</v>
      </c>
      <c r="G143" s="1" t="s">
        <v>1334</v>
      </c>
      <c r="H143" s="2" t="str">
        <f t="shared" si="6"/>
        <v>3080001:3000_3080000:1</v>
      </c>
      <c r="J143" s="1" t="s">
        <v>1335</v>
      </c>
      <c r="K143" s="1" t="s">
        <v>1334</v>
      </c>
    </row>
    <row r="144" spans="3:11" x14ac:dyDescent="0.15">
      <c r="C144" s="1" t="s">
        <v>229</v>
      </c>
      <c r="D144" s="1">
        <v>3080001</v>
      </c>
      <c r="E144" s="1">
        <v>5000</v>
      </c>
      <c r="F144" s="1" t="str">
        <f t="shared" si="5"/>
        <v>3080001:5000</v>
      </c>
      <c r="G144" s="1" t="s">
        <v>1334</v>
      </c>
      <c r="H144" s="2" t="str">
        <f t="shared" si="6"/>
        <v>3080001:5000_3080000:1</v>
      </c>
      <c r="J144" s="1" t="s">
        <v>1336</v>
      </c>
      <c r="K144" s="1" t="s">
        <v>1334</v>
      </c>
    </row>
    <row r="145" spans="3:11" x14ac:dyDescent="0.15">
      <c r="C145" s="1" t="s">
        <v>229</v>
      </c>
      <c r="D145" s="1">
        <v>3080001</v>
      </c>
      <c r="E145" s="1">
        <v>7000</v>
      </c>
      <c r="F145" s="1" t="str">
        <f t="shared" si="5"/>
        <v>3080001:7000</v>
      </c>
      <c r="G145" s="1" t="s">
        <v>1334</v>
      </c>
      <c r="H145" s="2" t="str">
        <f t="shared" si="6"/>
        <v>3080001:7000_3080000:1</v>
      </c>
      <c r="J145" s="1" t="s">
        <v>1337</v>
      </c>
      <c r="K145" s="1" t="s">
        <v>1334</v>
      </c>
    </row>
    <row r="146" spans="3:11" x14ac:dyDescent="0.15">
      <c r="C146" s="1" t="s">
        <v>229</v>
      </c>
      <c r="D146" s="1">
        <v>3080001</v>
      </c>
      <c r="E146" s="1">
        <v>10000</v>
      </c>
      <c r="F146" s="1" t="str">
        <f t="shared" si="5"/>
        <v>3080001:10000</v>
      </c>
      <c r="G146" s="1" t="s">
        <v>1334</v>
      </c>
      <c r="H146" s="2" t="str">
        <f t="shared" si="6"/>
        <v>3080001:10000_3080000:1</v>
      </c>
      <c r="J146" s="1" t="s">
        <v>1338</v>
      </c>
      <c r="K146" s="1" t="s">
        <v>1334</v>
      </c>
    </row>
    <row r="147" spans="3:11" x14ac:dyDescent="0.15">
      <c r="C147" s="1" t="s">
        <v>229</v>
      </c>
      <c r="D147" s="1">
        <v>3080001</v>
      </c>
      <c r="E147" s="1">
        <v>15000</v>
      </c>
      <c r="F147" s="1" t="str">
        <f t="shared" si="5"/>
        <v>3080001:15000</v>
      </c>
      <c r="G147" s="1" t="s">
        <v>1334</v>
      </c>
      <c r="H147" s="2" t="str">
        <f t="shared" si="6"/>
        <v>3080001:15000_3080000:1</v>
      </c>
      <c r="J147" s="1" t="s">
        <v>1339</v>
      </c>
      <c r="K147" s="1" t="s">
        <v>1334</v>
      </c>
    </row>
    <row r="148" spans="3:11" x14ac:dyDescent="0.15">
      <c r="C148" s="7" t="s">
        <v>241</v>
      </c>
      <c r="D148" s="1">
        <v>3080101</v>
      </c>
      <c r="E148" s="1">
        <v>80</v>
      </c>
      <c r="F148" s="1" t="str">
        <f t="shared" si="5"/>
        <v>3080101:80</v>
      </c>
      <c r="G148" s="1" t="s">
        <v>1334</v>
      </c>
      <c r="H148" s="2" t="str">
        <f t="shared" si="6"/>
        <v>3080101:80_3080000:1</v>
      </c>
      <c r="J148" s="1" t="s">
        <v>1340</v>
      </c>
      <c r="K148" s="1" t="s">
        <v>1334</v>
      </c>
    </row>
    <row r="149" spans="3:11" x14ac:dyDescent="0.15">
      <c r="C149" s="7" t="s">
        <v>241</v>
      </c>
      <c r="D149" s="1">
        <v>3080101</v>
      </c>
      <c r="E149" s="1">
        <v>140</v>
      </c>
      <c r="F149" s="1" t="str">
        <f t="shared" si="5"/>
        <v>3080101:140</v>
      </c>
      <c r="G149" s="1" t="s">
        <v>1334</v>
      </c>
      <c r="H149" s="2" t="str">
        <f t="shared" si="6"/>
        <v>3080101:140_3080000:1</v>
      </c>
      <c r="J149" s="1" t="s">
        <v>1341</v>
      </c>
      <c r="K149" s="1" t="s">
        <v>1334</v>
      </c>
    </row>
    <row r="150" spans="3:11" x14ac:dyDescent="0.15">
      <c r="C150" s="7" t="s">
        <v>241</v>
      </c>
      <c r="D150" s="1">
        <v>3080101</v>
      </c>
      <c r="E150" s="1">
        <v>190</v>
      </c>
      <c r="F150" s="1" t="str">
        <f t="shared" si="5"/>
        <v>3080101:190</v>
      </c>
      <c r="G150" s="1" t="s">
        <v>1334</v>
      </c>
      <c r="H150" s="2" t="str">
        <f t="shared" si="6"/>
        <v>3080101:190_3080000:1</v>
      </c>
      <c r="J150" s="1" t="s">
        <v>1342</v>
      </c>
      <c r="K150" s="1" t="s">
        <v>1334</v>
      </c>
    </row>
    <row r="151" spans="3:11" x14ac:dyDescent="0.15">
      <c r="C151" s="7" t="s">
        <v>241</v>
      </c>
      <c r="D151" s="1">
        <v>3080101</v>
      </c>
      <c r="E151" s="1">
        <v>280</v>
      </c>
      <c r="F151" s="1" t="str">
        <f t="shared" si="5"/>
        <v>3080101:280</v>
      </c>
      <c r="G151" s="1" t="s">
        <v>1334</v>
      </c>
      <c r="H151" s="2" t="str">
        <f t="shared" si="6"/>
        <v>3080101:280_3080000:1</v>
      </c>
      <c r="J151" s="1" t="s">
        <v>1343</v>
      </c>
      <c r="K151" s="1" t="s">
        <v>1334</v>
      </c>
    </row>
    <row r="152" spans="3:11" x14ac:dyDescent="0.15">
      <c r="C152" s="7" t="s">
        <v>241</v>
      </c>
      <c r="D152" s="1">
        <v>3080101</v>
      </c>
      <c r="E152" s="1">
        <v>410</v>
      </c>
      <c r="F152" s="1" t="str">
        <f t="shared" si="5"/>
        <v>3080101:410</v>
      </c>
      <c r="G152" s="1" t="s">
        <v>1334</v>
      </c>
      <c r="H152" s="2" t="str">
        <f t="shared" si="6"/>
        <v>3080101:410_3080000:1</v>
      </c>
      <c r="J152" s="1" t="s">
        <v>1344</v>
      </c>
      <c r="K152" s="1" t="s">
        <v>1334</v>
      </c>
    </row>
    <row r="153" spans="3:11" x14ac:dyDescent="0.15">
      <c r="C153" s="1" t="s">
        <v>241</v>
      </c>
      <c r="D153" s="1">
        <v>3080102</v>
      </c>
      <c r="E153" s="1">
        <v>3000</v>
      </c>
      <c r="F153" s="1" t="str">
        <f t="shared" si="5"/>
        <v>3080102:3000</v>
      </c>
      <c r="H153" s="2" t="str">
        <f t="shared" si="6"/>
        <v>3080102:3000</v>
      </c>
      <c r="J153" s="1" t="s">
        <v>1345</v>
      </c>
    </row>
    <row r="154" spans="3:11" x14ac:dyDescent="0.15">
      <c r="C154" s="1" t="s">
        <v>241</v>
      </c>
      <c r="D154" s="1">
        <v>3080102</v>
      </c>
      <c r="E154" s="1">
        <v>5000</v>
      </c>
      <c r="F154" s="1" t="str">
        <f t="shared" si="5"/>
        <v>3080102:5000</v>
      </c>
      <c r="H154" s="2" t="str">
        <f t="shared" si="6"/>
        <v>3080102:5000</v>
      </c>
      <c r="J154" s="1" t="s">
        <v>1346</v>
      </c>
    </row>
    <row r="155" spans="3:11" x14ac:dyDescent="0.15">
      <c r="C155" s="1" t="s">
        <v>241</v>
      </c>
      <c r="D155" s="1">
        <v>3080102</v>
      </c>
      <c r="E155" s="1">
        <v>7000</v>
      </c>
      <c r="F155" s="1" t="str">
        <f t="shared" si="5"/>
        <v>3080102:7000</v>
      </c>
      <c r="H155" s="2" t="str">
        <f t="shared" si="6"/>
        <v>3080102:7000</v>
      </c>
      <c r="J155" s="1" t="s">
        <v>1347</v>
      </c>
    </row>
    <row r="156" spans="3:11" x14ac:dyDescent="0.15">
      <c r="C156" s="1" t="s">
        <v>241</v>
      </c>
      <c r="D156" s="1">
        <v>3080102</v>
      </c>
      <c r="E156" s="1">
        <v>10000</v>
      </c>
      <c r="F156" s="1" t="str">
        <f t="shared" si="5"/>
        <v>3080102:10000</v>
      </c>
      <c r="H156" s="2" t="str">
        <f t="shared" si="6"/>
        <v>3080102:10000</v>
      </c>
      <c r="J156" s="1" t="s">
        <v>1348</v>
      </c>
    </row>
    <row r="157" spans="3:11" x14ac:dyDescent="0.15">
      <c r="C157" s="1" t="s">
        <v>241</v>
      </c>
      <c r="D157" s="1">
        <v>3080102</v>
      </c>
      <c r="E157" s="1">
        <v>15000</v>
      </c>
      <c r="F157" s="1" t="str">
        <f t="shared" si="5"/>
        <v>3080102:15000</v>
      </c>
      <c r="H157" s="2" t="str">
        <f t="shared" si="6"/>
        <v>3080102:15000</v>
      </c>
      <c r="J157" s="1" t="s">
        <v>1349</v>
      </c>
    </row>
    <row r="158" spans="3:11" x14ac:dyDescent="0.15">
      <c r="C158" s="1" t="s">
        <v>252</v>
      </c>
      <c r="D158" s="1">
        <v>3080301</v>
      </c>
      <c r="E158" s="1">
        <v>3000</v>
      </c>
      <c r="F158" s="1" t="str">
        <f t="shared" si="5"/>
        <v>3080301:3000</v>
      </c>
      <c r="H158" s="2" t="str">
        <f t="shared" si="6"/>
        <v>3080301:3000</v>
      </c>
      <c r="J158" s="1" t="s">
        <v>1350</v>
      </c>
    </row>
    <row r="159" spans="3:11" x14ac:dyDescent="0.15">
      <c r="C159" s="1" t="s">
        <v>252</v>
      </c>
      <c r="D159" s="1">
        <v>3080301</v>
      </c>
      <c r="E159" s="1">
        <v>5000</v>
      </c>
      <c r="F159" s="1" t="str">
        <f t="shared" si="5"/>
        <v>3080301:5000</v>
      </c>
      <c r="H159" s="2" t="str">
        <f t="shared" si="6"/>
        <v>3080301:5000</v>
      </c>
      <c r="J159" s="1" t="s">
        <v>1351</v>
      </c>
    </row>
    <row r="160" spans="3:11" x14ac:dyDescent="0.15">
      <c r="C160" s="1" t="s">
        <v>252</v>
      </c>
      <c r="D160" s="1">
        <v>3080301</v>
      </c>
      <c r="E160" s="1">
        <v>7000</v>
      </c>
      <c r="F160" s="1" t="str">
        <f t="shared" si="5"/>
        <v>3080301:7000</v>
      </c>
      <c r="H160" s="2" t="str">
        <f t="shared" si="6"/>
        <v>3080301:7000</v>
      </c>
      <c r="J160" s="1" t="s">
        <v>1352</v>
      </c>
    </row>
    <row r="161" spans="3:11" x14ac:dyDescent="0.15">
      <c r="C161" s="1" t="s">
        <v>252</v>
      </c>
      <c r="D161" s="1">
        <v>3080301</v>
      </c>
      <c r="E161" s="1">
        <v>10000</v>
      </c>
      <c r="F161" s="1" t="str">
        <f t="shared" si="5"/>
        <v>3080301:10000</v>
      </c>
      <c r="H161" s="2" t="str">
        <f t="shared" si="6"/>
        <v>3080301:10000</v>
      </c>
      <c r="J161" s="1" t="s">
        <v>1353</v>
      </c>
    </row>
    <row r="162" spans="3:11" x14ac:dyDescent="0.15">
      <c r="C162" s="1" t="s">
        <v>252</v>
      </c>
      <c r="D162" s="1">
        <v>3080301</v>
      </c>
      <c r="E162" s="1">
        <v>15000</v>
      </c>
      <c r="F162" s="1" t="str">
        <f t="shared" si="5"/>
        <v>3080301:15000</v>
      </c>
      <c r="H162" s="2" t="str">
        <f t="shared" si="6"/>
        <v>3080301:15000</v>
      </c>
      <c r="J162" s="1" t="s">
        <v>1354</v>
      </c>
    </row>
    <row r="163" spans="3:11" x14ac:dyDescent="0.15">
      <c r="C163" s="8" t="s">
        <v>1163</v>
      </c>
      <c r="D163" s="1">
        <v>3080501</v>
      </c>
      <c r="E163" s="1">
        <v>80</v>
      </c>
      <c r="F163" s="1" t="str">
        <f t="shared" si="5"/>
        <v>3080501:80</v>
      </c>
      <c r="G163" s="1" t="s">
        <v>1334</v>
      </c>
      <c r="H163" s="2" t="str">
        <f t="shared" si="6"/>
        <v>3080501:80_3080000:1</v>
      </c>
      <c r="J163" s="1" t="s">
        <v>1355</v>
      </c>
      <c r="K163" s="1" t="s">
        <v>1334</v>
      </c>
    </row>
    <row r="164" spans="3:11" x14ac:dyDescent="0.15">
      <c r="C164" s="8" t="s">
        <v>1163</v>
      </c>
      <c r="D164" s="1">
        <v>3080501</v>
      </c>
      <c r="E164" s="1">
        <v>140</v>
      </c>
      <c r="F164" s="1" t="str">
        <f t="shared" si="5"/>
        <v>3080501:140</v>
      </c>
      <c r="G164" s="1" t="s">
        <v>1334</v>
      </c>
      <c r="H164" s="2" t="str">
        <f t="shared" si="6"/>
        <v>3080501:140_3080000:1</v>
      </c>
      <c r="J164" s="1" t="s">
        <v>1356</v>
      </c>
      <c r="K164" s="1" t="s">
        <v>1334</v>
      </c>
    </row>
    <row r="165" spans="3:11" x14ac:dyDescent="0.15">
      <c r="C165" s="8" t="s">
        <v>1163</v>
      </c>
      <c r="D165" s="1">
        <v>3080501</v>
      </c>
      <c r="E165" s="1">
        <v>190</v>
      </c>
      <c r="F165" s="1" t="str">
        <f t="shared" si="5"/>
        <v>3080501:190</v>
      </c>
      <c r="G165" s="1" t="s">
        <v>1334</v>
      </c>
      <c r="H165" s="2" t="str">
        <f t="shared" si="6"/>
        <v>3080501:190_3080000:1</v>
      </c>
      <c r="J165" s="1" t="s">
        <v>1357</v>
      </c>
      <c r="K165" s="1" t="s">
        <v>1334</v>
      </c>
    </row>
    <row r="166" spans="3:11" x14ac:dyDescent="0.15">
      <c r="C166" s="8" t="s">
        <v>1163</v>
      </c>
      <c r="D166" s="1">
        <v>3080501</v>
      </c>
      <c r="E166" s="1">
        <v>280</v>
      </c>
      <c r="F166" s="1" t="str">
        <f t="shared" si="5"/>
        <v>3080501:280</v>
      </c>
      <c r="G166" s="1" t="s">
        <v>1334</v>
      </c>
      <c r="H166" s="2" t="str">
        <f t="shared" si="6"/>
        <v>3080501:280_3080000:1</v>
      </c>
      <c r="J166" s="1" t="s">
        <v>1358</v>
      </c>
      <c r="K166" s="1" t="s">
        <v>1334</v>
      </c>
    </row>
    <row r="167" spans="3:11" x14ac:dyDescent="0.15">
      <c r="C167" s="8" t="s">
        <v>1163</v>
      </c>
      <c r="D167" s="1">
        <v>3080501</v>
      </c>
      <c r="E167" s="1">
        <v>410</v>
      </c>
      <c r="F167" s="1" t="str">
        <f t="shared" si="5"/>
        <v>3080501:410</v>
      </c>
      <c r="G167" s="1" t="s">
        <v>1334</v>
      </c>
      <c r="H167" s="2" t="str">
        <f t="shared" si="6"/>
        <v>3080501:410_3080000:1</v>
      </c>
      <c r="J167" s="1" t="s">
        <v>1359</v>
      </c>
      <c r="K167" s="1" t="s">
        <v>1334</v>
      </c>
    </row>
    <row r="168" spans="3:11" x14ac:dyDescent="0.15">
      <c r="C168" s="1" t="s">
        <v>445</v>
      </c>
    </row>
    <row r="169" spans="3:11" x14ac:dyDescent="0.15">
      <c r="C169" s="1" t="s">
        <v>448</v>
      </c>
    </row>
    <row r="170" spans="3:11" x14ac:dyDescent="0.15">
      <c r="C170" s="1" t="s">
        <v>1360</v>
      </c>
    </row>
    <row r="171" spans="3:11" x14ac:dyDescent="0.15">
      <c r="C171" s="1" t="s">
        <v>454</v>
      </c>
    </row>
    <row r="172" spans="3:11" x14ac:dyDescent="0.15">
      <c r="C172" s="1" t="s">
        <v>457</v>
      </c>
    </row>
    <row r="173" spans="3:11" x14ac:dyDescent="0.15">
      <c r="C173" s="1" t="s">
        <v>460</v>
      </c>
    </row>
    <row r="174" spans="3:11" x14ac:dyDescent="0.15">
      <c r="C174" s="1" t="s">
        <v>463</v>
      </c>
    </row>
    <row r="175" spans="3:11" x14ac:dyDescent="0.15">
      <c r="C175" s="1" t="s">
        <v>466</v>
      </c>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maze_energy_affix_v8</vt:lpstr>
      <vt:lpstr>备注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704285852@qq.com</cp:lastModifiedBy>
  <dcterms:created xsi:type="dcterms:W3CDTF">2015-06-05T18:19:00Z</dcterms:created>
  <dcterms:modified xsi:type="dcterms:W3CDTF">2025-08-29T02:43:11Z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