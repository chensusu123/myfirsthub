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C2CFE89-EABD-413A-BE07-08E67F2369F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7" i="3" l="1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P24" i="3"/>
  <c r="H24" i="3"/>
  <c r="F24" i="3"/>
  <c r="H23" i="3"/>
  <c r="F23" i="3"/>
  <c r="N22" i="3"/>
  <c r="H22" i="3"/>
  <c r="F22" i="3"/>
  <c r="P21" i="3"/>
  <c r="H21" i="3"/>
  <c r="F21" i="3"/>
  <c r="P20" i="3"/>
  <c r="H20" i="3"/>
  <c r="F20" i="3"/>
  <c r="P19" i="3"/>
  <c r="H19" i="3"/>
  <c r="F19" i="3"/>
  <c r="H18" i="3"/>
  <c r="F18" i="3"/>
  <c r="P17" i="3"/>
  <c r="H17" i="3"/>
  <c r="F17" i="3"/>
  <c r="P16" i="3"/>
  <c r="H16" i="3"/>
  <c r="F16" i="3"/>
  <c r="H15" i="3"/>
  <c r="F15" i="3"/>
  <c r="H14" i="3"/>
  <c r="F14" i="3"/>
  <c r="H13" i="3"/>
  <c r="F13" i="3"/>
  <c r="H12" i="3"/>
  <c r="F12" i="3"/>
  <c r="H11" i="3"/>
  <c r="F11" i="3"/>
  <c r="A11" i="3"/>
  <c r="H10" i="3"/>
  <c r="F10" i="3"/>
  <c r="A10" i="3"/>
  <c r="H9" i="3"/>
  <c r="F9" i="3"/>
  <c r="A9" i="3"/>
  <c r="H8" i="3"/>
  <c r="F8" i="3"/>
  <c r="A8" i="3"/>
  <c r="H7" i="3"/>
  <c r="F7" i="3"/>
  <c r="A7" i="3"/>
  <c r="H6" i="3"/>
  <c r="F6" i="3"/>
  <c r="A6" i="3"/>
  <c r="H5" i="3"/>
  <c r="F5" i="3"/>
  <c r="A5" i="3"/>
  <c r="H4" i="3"/>
  <c r="F4" i="3"/>
  <c r="A4" i="3"/>
  <c r="H3" i="3"/>
  <c r="F3" i="3"/>
  <c r="E2" i="3"/>
</calcChain>
</file>

<file path=xl/sharedStrings.xml><?xml version="1.0" encoding="utf-8"?>
<sst xmlns="http://schemas.openxmlformats.org/spreadsheetml/2006/main" count="2737" uniqueCount="1300">
  <si>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</si>
  <si>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</si>
  <si>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</si>
  <si>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</si>
  <si>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</si>
  <si>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</si>
  <si>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</si>
  <si>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</si>
  <si>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</si>
  <si>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</si>
  <si>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</si>
  <si>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</si>
  <si>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</si>
  <si>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</si>
  <si>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</si>
  <si>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</si>
  <si>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</si>
  <si>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</si>
  <si>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</si>
  <si>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</si>
  <si>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</si>
  <si>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</si>
  <si>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</si>
  <si>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</si>
  <si>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</si>
  <si>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</si>
  <si>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</si>
  <si>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</si>
  <si>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</si>
  <si>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</si>
  <si>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</si>
  <si>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</si>
  <si>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</si>
  <si>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</si>
  <si>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</si>
  <si>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</si>
  <si>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</si>
  <si>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</si>
  <si>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</si>
  <si>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</si>
  <si>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</si>
  <si>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</si>
  <si>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</si>
  <si>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</si>
  <si>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</si>
  <si>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</si>
  <si>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</si>
  <si>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</si>
  <si>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</si>
  <si>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</si>
  <si>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</si>
  <si>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</si>
  <si>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</si>
  <si>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</si>
  <si>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</si>
  <si>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</si>
  <si>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</si>
  <si>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</si>
  <si>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</si>
  <si>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</si>
  <si>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</si>
  <si>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</si>
  <si>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</si>
  <si>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</si>
  <si>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</si>
  <si>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</si>
  <si>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</si>
  <si>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</si>
  <si>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</si>
  <si>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</si>
  <si>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</si>
  <si>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</si>
  <si>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</si>
  <si>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</si>
  <si>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</si>
  <si>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</si>
  <si>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</si>
  <si>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</si>
  <si>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</si>
  <si>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</si>
  <si>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</si>
  <si>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</si>
  <si>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</si>
  <si>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</si>
  <si>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</si>
  <si>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</si>
  <si>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</si>
  <si>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</si>
  <si>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</si>
  <si>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</si>
  <si>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</si>
  <si>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</si>
  <si>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</si>
  <si>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</si>
  <si>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</si>
  <si>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</si>
  <si>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</si>
  <si>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</si>
  <si>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</si>
  <si>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</si>
  <si>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</si>
  <si>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</si>
  <si>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</si>
  <si>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</si>
  <si>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</si>
  <si>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</si>
  <si>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</si>
  <si>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</si>
  <si>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</si>
  <si>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</si>
  <si>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</si>
  <si>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</si>
  <si>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</si>
  <si>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</si>
  <si>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</si>
  <si>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</si>
  <si>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</si>
  <si>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</si>
  <si>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</si>
  <si>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</si>
  <si>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</si>
  <si>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</si>
  <si>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</si>
  <si>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</si>
  <si>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</si>
  <si>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</si>
  <si>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</si>
  <si>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</si>
  <si>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</si>
  <si>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</si>
  <si>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</si>
  <si>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</si>
  <si>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</si>
  <si>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</si>
  <si>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</si>
  <si>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</si>
  <si>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</si>
  <si>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</si>
  <si>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</si>
  <si>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</si>
  <si>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</si>
  <si>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</si>
  <si>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</si>
  <si>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</si>
  <si>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</si>
  <si>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</si>
  <si>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</si>
  <si>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</si>
  <si>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</si>
  <si>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</si>
  <si>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</si>
  <si>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</si>
  <si>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</si>
  <si>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</si>
  <si>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</si>
  <si>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</si>
  <si>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</si>
  <si>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</si>
  <si>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</si>
  <si>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</si>
  <si>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</si>
  <si>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</si>
  <si>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</si>
  <si>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</si>
  <si>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</si>
  <si>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</si>
  <si>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</si>
  <si>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</si>
  <si>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</si>
  <si>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</si>
  <si>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</si>
  <si>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</si>
  <si>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</si>
  <si>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</si>
  <si>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</si>
  <si>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</si>
  <si>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</si>
  <si>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</si>
  <si>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</si>
  <si>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</si>
  <si>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</si>
  <si>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</si>
  <si>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</si>
  <si>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</si>
  <si>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</si>
  <si>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</si>
  <si>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</si>
  <si>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</si>
  <si>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</si>
  <si>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</si>
  <si>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</si>
  <si>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</si>
  <si>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</si>
  <si>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</si>
  <si>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</si>
  <si>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</si>
  <si>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</si>
  <si>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</si>
  <si>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</si>
  <si>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</si>
  <si>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</si>
  <si>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</si>
  <si>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</si>
  <si>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</si>
  <si>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</si>
  <si>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</si>
  <si>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</si>
  <si>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</si>
  <si>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</si>
  <si>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</si>
  <si>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</si>
  <si>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</si>
  <si>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</si>
  <si>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</si>
  <si>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</si>
  <si>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</si>
  <si>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</si>
  <si>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</si>
  <si>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</si>
  <si>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</si>
  <si>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</si>
  <si>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</si>
  <si>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</si>
  <si>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</si>
  <si>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</si>
  <si>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</si>
  <si>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</si>
  <si>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</si>
  <si>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</si>
  <si>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</si>
  <si>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</si>
  <si>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</si>
  <si>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</si>
  <si>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</si>
  <si>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</si>
  <si>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</si>
  <si>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</si>
  <si>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</si>
  <si>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</si>
  <si>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</si>
  <si>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</si>
  <si>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</si>
  <si>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</si>
  <si>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</si>
  <si>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</si>
  <si>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</si>
  <si>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</si>
  <si>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</si>
  <si>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</si>
  <si>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</si>
  <si>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</si>
  <si>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</si>
  <si>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</si>
  <si>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</si>
  <si>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</si>
  <si>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</si>
  <si>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</si>
  <si>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</si>
  <si>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</si>
  <si>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</si>
  <si>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</si>
  <si>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</si>
  <si>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</si>
  <si>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</si>
  <si>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</si>
  <si>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</si>
  <si>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</si>
  <si>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</si>
  <si>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</si>
  <si>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</si>
  <si>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</si>
  <si>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</si>
  <si>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</si>
  <si>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</si>
  <si>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</si>
  <si>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</si>
  <si>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</si>
  <si>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</si>
  <si>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</si>
  <si>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</si>
  <si>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</si>
  <si>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</si>
  <si>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</si>
  <si>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</si>
  <si>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</si>
  <si>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</si>
  <si>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</si>
  <si>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</si>
  <si>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</si>
  <si>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</si>
  <si>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</si>
  <si>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</si>
  <si>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</si>
  <si>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</si>
  <si>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</si>
  <si>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</si>
  <si>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</si>
  <si>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</si>
  <si>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</si>
  <si>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</si>
  <si>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</si>
  <si>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</si>
  <si>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</si>
  <si>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</si>
  <si>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</si>
  <si>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</si>
  <si>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</si>
  <si>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</si>
  <si>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</si>
  <si>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</si>
  <si>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</si>
  <si>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</si>
  <si>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</si>
  <si>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</si>
  <si>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</si>
  <si>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</si>
  <si>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</si>
  <si>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</si>
  <si>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</si>
  <si>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</si>
  <si>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</si>
  <si>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</si>
  <si>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</si>
  <si>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</si>
  <si>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</si>
  <si>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</si>
  <si>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</si>
  <si>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</si>
  <si>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</si>
  <si>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</si>
  <si>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</si>
  <si>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</si>
  <si>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</si>
  <si>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</si>
  <si>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</si>
  <si>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</si>
  <si>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</si>
  <si>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</si>
  <si>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</si>
  <si>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</si>
  <si>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</si>
  <si>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</si>
  <si>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</si>
  <si>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</si>
  <si>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</si>
  <si>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</si>
  <si>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</si>
  <si>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</si>
  <si>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</si>
  <si>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</si>
  <si>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</si>
  <si>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</si>
  <si>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</si>
  <si>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</si>
  <si>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</si>
  <si>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</si>
  <si>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</si>
  <si>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</si>
  <si>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</si>
  <si>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</si>
  <si>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</si>
  <si>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</si>
  <si>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</si>
  <si>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</si>
  <si>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</si>
  <si>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</si>
  <si>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</si>
  <si>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</si>
  <si>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</si>
  <si>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</si>
  <si>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</si>
  <si>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</si>
  <si>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</si>
  <si>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</si>
  <si>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</si>
  <si>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</si>
  <si>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</si>
  <si>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</si>
  <si>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</si>
  <si>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</si>
  <si>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</si>
  <si>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</si>
  <si>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</si>
  <si>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</si>
  <si>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</si>
  <si>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</si>
  <si>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</si>
  <si>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</si>
  <si>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</si>
  <si>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</si>
  <si>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</si>
  <si>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</si>
  <si>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</si>
  <si>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</si>
  <si>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</si>
  <si>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</si>
  <si>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</si>
  <si>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</si>
  <si>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</si>
  <si>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</si>
  <si>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</si>
  <si>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</si>
  <si>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</si>
  <si>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</si>
  <si>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</si>
  <si>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</si>
  <si>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</si>
  <si>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</si>
  <si>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</si>
  <si>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</si>
  <si>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</si>
  <si>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</si>
  <si>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</si>
  <si>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</si>
  <si>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</si>
  <si>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</si>
  <si>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</si>
  <si>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</si>
  <si>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</si>
  <si>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</si>
  <si>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</si>
  <si>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</si>
  <si>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</si>
  <si>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</si>
  <si>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</si>
  <si>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</si>
  <si>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</si>
  <si>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</si>
  <si>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</si>
  <si>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</si>
  <si>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</si>
  <si>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</si>
  <si>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</si>
  <si>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</si>
  <si>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</si>
  <si>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</si>
  <si>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</si>
  <si>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</si>
  <si>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</si>
  <si>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</si>
  <si>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</si>
  <si>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</si>
  <si>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</si>
  <si>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</si>
  <si>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</si>
  <si>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</si>
  <si>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</si>
  <si>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</si>
  <si>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</si>
  <si>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</si>
  <si>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</si>
  <si>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</si>
  <si>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</si>
  <si>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</si>
  <si>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</si>
  <si>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</si>
  <si>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</si>
  <si>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</si>
  <si>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</si>
  <si>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</si>
  <si>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</si>
  <si>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</si>
  <si>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</si>
  <si>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</si>
  <si>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</si>
  <si>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</si>
  <si>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</si>
  <si>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</si>
  <si>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</si>
  <si>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</si>
  <si>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</si>
  <si>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</si>
  <si>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</si>
  <si>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</si>
  <si>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</si>
  <si>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</si>
  <si>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</si>
  <si>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</si>
  <si>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</si>
  <si>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</si>
  <si>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</si>
  <si>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</si>
  <si>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</si>
  <si>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</si>
  <si>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</si>
  <si>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</si>
  <si>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</si>
  <si>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</si>
  <si>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</si>
  <si>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</si>
  <si>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</si>
  <si>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</si>
  <si>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</si>
  <si>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</si>
  <si>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</si>
  <si>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</si>
  <si>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</si>
  <si>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</si>
  <si>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</si>
  <si>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</si>
  <si>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</si>
  <si>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</si>
  <si>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</si>
  <si>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</si>
  <si>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</si>
  <si>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</si>
  <si>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</si>
  <si>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</si>
  <si>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</si>
  <si>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</si>
  <si>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</si>
  <si>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</si>
  <si>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</si>
  <si>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</si>
  <si>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</si>
  <si>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</si>
  <si>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</si>
  <si>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</si>
  <si>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</si>
  <si>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</si>
  <si>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</si>
  <si>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</si>
  <si>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</si>
  <si>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</si>
  <si>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</si>
  <si>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</si>
  <si>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</si>
  <si>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</si>
  <si>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</si>
  <si>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</si>
  <si>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</si>
  <si>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</si>
  <si>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</si>
  <si>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</si>
  <si>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</si>
  <si>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</si>
  <si>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</si>
  <si>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</si>
  <si>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</si>
  <si>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</si>
  <si>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</si>
  <si>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</si>
  <si>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</si>
  <si>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</si>
  <si>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</si>
  <si>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</si>
  <si>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</si>
  <si>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</si>
  <si>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</si>
  <si>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</si>
  <si>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</si>
  <si>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</si>
  <si>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</si>
  <si>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</si>
  <si>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</si>
  <si>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</si>
  <si>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</si>
  <si>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</si>
  <si>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</si>
  <si>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</si>
  <si>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</si>
  <si>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</si>
  <si>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</si>
  <si>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</si>
  <si>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</si>
  <si>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</si>
  <si>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</si>
  <si>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</si>
  <si>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</si>
  <si>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</si>
  <si>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</si>
  <si>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</si>
  <si>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</si>
  <si>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</si>
  <si>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</si>
  <si>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</si>
  <si>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</si>
  <si>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</si>
  <si>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</si>
  <si>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</si>
  <si>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</si>
  <si>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</si>
  <si>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</si>
  <si>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</si>
  <si>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</si>
  <si>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</si>
  <si>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</si>
  <si>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</si>
  <si>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</si>
  <si>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</si>
  <si>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</si>
  <si>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</si>
  <si>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</si>
  <si>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</si>
  <si>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</si>
  <si>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</si>
  <si>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</si>
  <si>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</si>
  <si>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</si>
  <si>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</si>
  <si>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</si>
  <si>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</si>
  <si>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</si>
  <si>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</si>
  <si>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</si>
  <si>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</si>
  <si>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</si>
  <si>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</si>
  <si>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</si>
  <si>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</si>
  <si>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</si>
  <si>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</si>
  <si>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</si>
  <si>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</si>
  <si>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</si>
  <si>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</si>
  <si>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</si>
  <si>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</si>
  <si>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</si>
  <si>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</si>
  <si>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</si>
  <si>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</si>
  <si>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</si>
  <si>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</si>
  <si>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</si>
  <si>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</si>
  <si>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</si>
  <si>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</si>
  <si>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</si>
  <si>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</si>
  <si>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</si>
  <si>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</si>
  <si>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</si>
  <si>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</si>
  <si>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</si>
  <si>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</si>
  <si>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</si>
  <si>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</si>
  <si>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</si>
  <si>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</si>
  <si>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</si>
  <si>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</si>
  <si>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</si>
  <si>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</si>
  <si>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</si>
  <si>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</si>
  <si>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</si>
  <si>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</si>
  <si>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</si>
  <si>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</si>
  <si>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</si>
  <si>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</si>
  <si>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</si>
  <si>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</si>
  <si>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</si>
  <si>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</si>
  <si>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</si>
  <si>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</si>
  <si>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</si>
  <si>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</si>
  <si>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</si>
  <si>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</si>
  <si>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</si>
  <si>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</si>
  <si>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</si>
  <si>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</si>
  <si>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</si>
  <si>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</si>
  <si>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</si>
  <si>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</si>
  <si>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</si>
  <si>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</si>
  <si>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</si>
  <si>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</si>
  <si>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</si>
  <si>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</si>
  <si>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</si>
  <si>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</si>
  <si>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</si>
  <si>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</si>
  <si>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</si>
  <si>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</si>
  <si>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</si>
  <si>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</si>
  <si>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</si>
  <si>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</si>
  <si>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</si>
  <si>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</si>
  <si>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</si>
  <si>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</si>
  <si>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</si>
  <si>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</si>
  <si>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</si>
  <si>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</si>
  <si>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</si>
  <si>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</si>
  <si>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</si>
  <si>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</si>
  <si>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</si>
  <si>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</si>
  <si>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</si>
  <si>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</si>
  <si>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</si>
  <si>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</si>
  <si>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</si>
  <si>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</si>
  <si>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</si>
  <si>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</si>
  <si>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</si>
  <si>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</si>
  <si>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</si>
  <si>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</si>
  <si>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</si>
  <si>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</si>
  <si>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</si>
  <si>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</si>
  <si>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</si>
  <si>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</si>
  <si>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</si>
  <si>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</si>
  <si>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</si>
  <si>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</si>
  <si>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</si>
  <si>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</si>
  <si>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</si>
  <si>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</si>
  <si>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</si>
  <si>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</si>
  <si>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</si>
  <si>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</si>
  <si>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</si>
  <si>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</si>
  <si>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</si>
  <si>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</si>
  <si>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</si>
  <si>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</si>
  <si>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</si>
  <si>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</si>
  <si>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</si>
  <si>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</si>
  <si>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</si>
  <si>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</si>
  <si>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</si>
  <si>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</si>
  <si>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</si>
  <si>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</si>
  <si>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</si>
  <si>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</si>
  <si>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</si>
  <si>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</si>
  <si>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</si>
  <si>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</si>
  <si>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</si>
  <si>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</si>
  <si>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</si>
  <si>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</si>
  <si>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</si>
  <si>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</si>
  <si>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</si>
  <si>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</si>
  <si>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</si>
  <si>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</si>
  <si>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</si>
  <si>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</si>
  <si>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</si>
  <si>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</si>
  <si>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</si>
  <si>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</si>
  <si>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</si>
  <si>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</si>
  <si>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</si>
  <si>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</si>
  <si>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</si>
  <si>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</si>
  <si>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</si>
  <si>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</si>
  <si>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</si>
  <si>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</si>
  <si>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</si>
  <si>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</si>
  <si>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</si>
  <si>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</si>
  <si>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</si>
  <si>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</si>
  <si>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</si>
  <si>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</si>
  <si>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</si>
  <si>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</si>
  <si>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</si>
  <si>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</si>
  <si>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</si>
  <si>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</si>
  <si>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</si>
  <si>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</si>
  <si>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</si>
  <si>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</si>
  <si>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</si>
  <si>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</si>
  <si>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</si>
  <si>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</si>
  <si>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</si>
  <si>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</si>
  <si>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</si>
  <si>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</si>
  <si>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</si>
  <si>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</si>
  <si>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</si>
  <si>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</si>
  <si>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</si>
  <si>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</si>
  <si>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</si>
  <si>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</si>
  <si>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</si>
  <si>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</si>
  <si>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</si>
  <si>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</si>
  <si>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</si>
  <si>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</si>
  <si>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</si>
  <si>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</si>
  <si>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</si>
  <si>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</si>
  <si>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</si>
  <si>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</si>
  <si>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</si>
  <si>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</si>
  <si>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</si>
  <si>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</si>
  <si>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</si>
  <si>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</si>
  <si>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</si>
  <si>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</si>
  <si>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</si>
  <si>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</si>
  <si>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</si>
  <si>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</si>
  <si>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</si>
  <si>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</si>
  <si>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</si>
  <si>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</si>
  <si>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</si>
  <si>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</si>
  <si>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</si>
  <si>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</si>
  <si>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</si>
  <si>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</si>
  <si>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</si>
  <si>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</si>
  <si>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</si>
  <si>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</si>
  <si>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</si>
  <si>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</si>
  <si>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</si>
  <si>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</si>
  <si>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</si>
  <si>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</si>
  <si>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</si>
  <si>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</si>
  <si>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</si>
  <si>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</si>
  <si>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</si>
  <si>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</si>
  <si>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</si>
  <si>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</si>
  <si>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</si>
  <si>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</si>
  <si>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</si>
  <si>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</si>
  <si>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</si>
  <si>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</si>
  <si>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</si>
  <si>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</si>
  <si>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</si>
  <si>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</si>
  <si>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</si>
  <si>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</si>
  <si>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</si>
  <si>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</si>
  <si>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</si>
  <si>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</si>
  <si>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</si>
  <si>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</si>
  <si>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</si>
  <si>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</si>
  <si>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</si>
  <si>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</si>
  <si>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</si>
  <si>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</si>
  <si>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</si>
  <si>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</si>
  <si>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</si>
  <si>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</si>
  <si>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</si>
  <si>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</si>
  <si>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</si>
  <si>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</si>
  <si>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</si>
  <si>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</si>
  <si>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</si>
  <si>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</si>
  <si>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</si>
  <si>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</si>
  <si>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</si>
  <si>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</si>
  <si>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</si>
  <si>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</si>
  <si>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</si>
  <si>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</si>
  <si>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</si>
  <si>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</si>
  <si>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</si>
  <si>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</si>
  <si>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</si>
  <si>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</si>
  <si>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</si>
  <si>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</si>
  <si>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</si>
  <si>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</si>
  <si>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</si>
  <si>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</si>
  <si>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</si>
  <si>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</si>
  <si>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</si>
  <si>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</si>
  <si>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</si>
  <si>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</si>
  <si>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</si>
  <si>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</si>
  <si>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</si>
  <si>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</si>
  <si>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</si>
  <si>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</t>
  </si>
  <si>
    <t>无尽暴雪</t>
  </si>
  <si>
    <t>暴风雪持续时间增加3s，且伤害增加25%</t>
  </si>
  <si>
    <t>暴风雪途径地区留下一片持续一段时间的极寒领域对敌人造成伤害</t>
  </si>
  <si>
    <t>5001501:2500_920072:1</t>
  </si>
  <si>
    <t>暴风雪有25%概率冰冻敌人3s，然后产生一次冰爆</t>
  </si>
  <si>
    <t>14920061:1</t>
  </si>
  <si>
    <t>多重风暴</t>
  </si>
  <si>
    <t>暴风雪数量+1</t>
  </si>
  <si>
    <t>4920061:3850</t>
  </si>
  <si>
    <t>暴雪范围</t>
  </si>
  <si>
    <t>暴风雪的范围增加110%</t>
  </si>
  <si>
    <t>7920071:10800_9920071:10800</t>
  </si>
  <si>
    <t>冰爆的伤害提高80%</t>
  </si>
  <si>
    <t>19920061:4500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</si>
  <si>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</si>
  <si>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</si>
  <si>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</si>
  <si>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</si>
  <si>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</si>
  <si>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</si>
  <si>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</si>
  <si>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</si>
  <si>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</si>
  <si>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</si>
  <si>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</si>
  <si>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</si>
  <si>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</si>
  <si>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</t>
  </si>
  <si>
    <t>冰刃强化+</t>
  </si>
  <si>
    <t>碎冰效果距离加强</t>
  </si>
  <si>
    <t>5001716:2000</t>
  </si>
  <si>
    <t>迟缓</t>
  </si>
  <si>
    <t>冰刃造成减速的概率提高20%</t>
  </si>
  <si>
    <t>7920084:4800_9920084:4800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</si>
  <si>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</si>
  <si>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</si>
  <si>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</si>
  <si>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</si>
  <si>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</si>
  <si>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</si>
  <si>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920086:1</t>
  </si>
  <si>
    <t>冰雪领域</t>
  </si>
  <si>
    <t>减速敌人后产生一冰雪领域，冻敌3s并造成巨量单体伤害</t>
  </si>
  <si>
    <t>bingxuelingyu</t>
  </si>
  <si>
    <t>14920081:2_13920081:1</t>
  </si>
  <si>
    <t>冰球数量</t>
  </si>
  <si>
    <t>召唤冰球的数量+2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</si>
  <si>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</si>
  <si>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</si>
  <si>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</si>
  <si>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</si>
  <si>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</si>
  <si>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</si>
  <si>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</si>
  <si>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</si>
  <si>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</si>
  <si>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</si>
  <si>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</si>
  <si>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</si>
  <si>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</si>
  <si>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</si>
  <si>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</si>
  <si>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</si>
  <si>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</si>
  <si>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</si>
  <si>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</si>
  <si>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</si>
  <si>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</si>
  <si>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</si>
  <si>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</si>
  <si>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</si>
  <si>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</si>
  <si>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</si>
  <si>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</si>
  <si>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</si>
  <si>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</si>
  <si>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</si>
  <si>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</si>
  <si>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</si>
  <si>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</si>
  <si>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</si>
  <si>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</si>
  <si>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</si>
  <si>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</si>
  <si>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</si>
  <si>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</si>
  <si>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</si>
  <si>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</si>
  <si>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</si>
  <si>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</si>
  <si>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</si>
  <si>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</si>
  <si>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</si>
  <si>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</si>
  <si>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</si>
  <si>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</si>
  <si>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</si>
  <si>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</si>
  <si>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</si>
  <si>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</si>
  <si>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</si>
  <si>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</si>
  <si>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</si>
  <si>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</si>
  <si>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</si>
  <si>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</si>
  <si>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</si>
  <si>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</si>
  <si>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</si>
  <si>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</si>
  <si>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</si>
  <si>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</si>
  <si>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</si>
  <si>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</si>
  <si>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</si>
  <si>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</si>
  <si>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</si>
  <si>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</si>
  <si>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</si>
  <si>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</si>
  <si>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</si>
  <si>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</si>
  <si>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</si>
  <si>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</si>
  <si>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</si>
  <si>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</si>
  <si>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</si>
  <si>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</si>
  <si>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</si>
  <si>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</si>
  <si>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</si>
  <si>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</si>
  <si>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</si>
  <si>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</si>
  <si>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</si>
  <si>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</si>
  <si>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</si>
  <si>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</si>
  <si>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</si>
  <si>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</si>
  <si>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冰系</t>
  </si>
  <si>
    <r>
      <rPr>
        <sz val="9"/>
        <color theme="1"/>
        <rFont val="宋体"/>
        <family val="3"/>
        <charset val="134"/>
      </rP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</si>
  <si>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</si>
  <si>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family val="3"/>
        <charset val="134"/>
      </rP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</si>
  <si>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</si>
  <si>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</si>
  <si>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family val="3"/>
        <charset val="134"/>
      </rP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</si>
  <si>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</si>
  <si>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</si>
  <si>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family val="3"/>
        <charset val="134"/>
      </rP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</si>
  <si>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</si>
  <si>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</si>
  <si>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family val="3"/>
        <charset val="134"/>
      </rP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</si>
  <si>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</si>
  <si>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</si>
  <si>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</si>
  <si>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</si>
  <si>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</si>
  <si>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family val="3"/>
        <charset val="134"/>
      </rP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</si>
  <si>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</si>
  <si>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</si>
  <si>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</si>
  <si>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</si>
  <si>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</si>
  <si>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</si>
  <si>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family val="3"/>
        <charset val="134"/>
      </rP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</si>
  <si>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</si>
  <si>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</si>
  <si>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</si>
  <si>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</si>
  <si>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</si>
  <si>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family val="3"/>
        <charset val="134"/>
      </rP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</si>
  <si>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</si>
  <si>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</si>
  <si>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</si>
  <si>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family val="3"/>
        <charset val="134"/>
      </rP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</si>
  <si>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</si>
  <si>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</si>
  <si>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</si>
  <si>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</si>
  <si>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</si>
  <si>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</si>
  <si>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</si>
  <si>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</si>
  <si>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</si>
  <si>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</si>
  <si>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</si>
  <si>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</si>
  <si>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</si>
  <si>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</si>
  <si>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</si>
  <si>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</si>
  <si>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</si>
  <si>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</si>
  <si>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</si>
  <si>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</si>
  <si>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</si>
  <si>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</si>
  <si>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</si>
  <si>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</si>
  <si>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</si>
  <si>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</si>
  <si>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</si>
  <si>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</si>
  <si>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</si>
  <si>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</si>
  <si>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</si>
  <si>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</si>
  <si>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</si>
  <si>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</si>
  <si>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</si>
  <si>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</si>
  <si>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</si>
  <si>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</si>
  <si>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</si>
  <si>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</si>
  <si>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</si>
  <si>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</si>
  <si>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</si>
  <si>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</si>
  <si>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</si>
  <si>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</si>
  <si>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</si>
  <si>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</si>
  <si>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</si>
  <si>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</si>
  <si>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</si>
  <si>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</si>
  <si>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</si>
  <si>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</si>
  <si>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</si>
  <si>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</si>
  <si>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</si>
  <si>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</si>
  <si>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</si>
  <si>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</si>
  <si>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</si>
  <si>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</si>
  <si>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</si>
  <si>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</si>
  <si>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</si>
  <si>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</si>
  <si>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</si>
  <si>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</si>
  <si>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</si>
  <si>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</si>
  <si>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</si>
  <si>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</si>
  <si>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</si>
  <si>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</si>
  <si>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</si>
  <si>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</si>
  <si>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</si>
  <si>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</si>
  <si>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</si>
  <si>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</si>
  <si>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</si>
  <si>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</si>
  <si>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</si>
  <si>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</si>
  <si>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</si>
  <si>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</si>
  <si>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</si>
  <si>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</si>
  <si>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</si>
  <si>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</si>
  <si>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</si>
  <si>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</si>
  <si>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</si>
  <si>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</si>
  <si>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</si>
  <si>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</si>
  <si>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</si>
  <si>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</si>
  <si>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</si>
  <si>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</si>
  <si>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</si>
  <si>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</si>
  <si>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</si>
  <si>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</si>
  <si>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</si>
  <si>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</si>
  <si>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</si>
  <si>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</si>
  <si>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</si>
  <si>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</si>
  <si>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</si>
  <si>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</si>
  <si>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</si>
  <si>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</si>
  <si>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</si>
  <si>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</si>
  <si>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</si>
  <si>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</si>
  <si>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</si>
  <si>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</si>
  <si>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</si>
  <si>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</si>
  <si>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</si>
  <si>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</si>
  <si>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</si>
  <si>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</si>
  <si>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</si>
  <si>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</si>
  <si>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</si>
  <si>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</si>
  <si>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</si>
  <si>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</si>
  <si>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</si>
  <si>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</si>
  <si>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</si>
  <si>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</si>
  <si>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</si>
  <si>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</si>
  <si>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</si>
  <si>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</si>
  <si>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</si>
  <si>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</si>
  <si>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</si>
  <si>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</si>
  <si>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</si>
  <si>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</si>
  <si>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</si>
  <si>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</si>
  <si>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</si>
  <si>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</si>
  <si>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</si>
  <si>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</si>
  <si>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</si>
  <si>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</si>
  <si>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</si>
  <si>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</si>
  <si>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</si>
  <si>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</si>
  <si>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</si>
  <si>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</si>
  <si>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</si>
  <si>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</si>
  <si>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</si>
  <si>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</si>
  <si>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</si>
  <si>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</si>
  <si>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</si>
  <si>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</si>
  <si>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</si>
  <si>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</si>
  <si>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</si>
  <si>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</si>
  <si>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</si>
  <si>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</si>
  <si>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</si>
  <si>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</si>
  <si>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</si>
  <si>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</si>
  <si>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</si>
  <si>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</si>
  <si>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</si>
  <si>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</si>
  <si>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</si>
  <si>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</si>
  <si>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</si>
  <si>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</si>
  <si>
    <t>血瓶掉率</t>
    <phoneticPr fontId="9" type="noConversion"/>
  </si>
  <si>
    <t>血瓶效果</t>
    <phoneticPr fontId="9" type="noConversion"/>
  </si>
  <si>
    <t>血瓶掉落概率提高30%</t>
    <phoneticPr fontId="9" type="noConversion"/>
  </si>
  <si>
    <t>血瓶回复效果提高30%</t>
    <phoneticPr fontId="9" type="noConversion"/>
  </si>
  <si>
    <t>890011:90000</t>
    <phoneticPr fontId="9" type="noConversion"/>
  </si>
  <si>
    <t>890021:80000_890022:3000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</si>
</sst>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0691854609822"/>
      <name val="微软雅黑"/>
      <family val="2"/>
      <charset val="134"/>
    </font>
    <font>
      <sz val="11"/>
      <color rgb="FF3F3F76"/>
      <name val="宋体"/>
      <family val="3"/>
      <charset val="134"/>
    </font>
    <font>
      <sz val="9"/>
      <color rgb="FF7030A0"/>
      <name val="宋体"/>
      <family val="3"/>
      <charset val="134"/>
    </font>
    <font>
      <sz val="9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890133365886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7" fillId="13" borderId="4" applyNumberFormat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" applyFont="1" applyFill="1" applyBorder="1">
      <alignment vertical="center"/>
    </xf>
    <xf numFmtId="0" fontId="3" fillId="5" borderId="1" xfId="1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quotePrefix="1" applyFont="1" applyAlignment="1">
      <alignment horizontal="center" vertical="center"/>
    </xf>
    <xf numFmtId="0" fontId="4" fillId="7" borderId="0" xfId="0" quotePrefix="1" applyFont="1" applyFill="1" applyAlignment="1">
      <alignment horizontal="center"/>
    </xf>
    <xf numFmtId="0" fontId="6" fillId="8" borderId="0" xfId="0" quotePrefix="1" applyFont="1" applyFill="1" applyAlignment="1">
      <alignment horizontal="center"/>
    </xf>
    <xf numFmtId="0" fontId="4" fillId="9" borderId="0" xfId="0" quotePrefix="1" applyFont="1" applyFill="1" applyAlignment="1">
      <alignment horizontal="center"/>
    </xf>
    <xf numFmtId="3" fontId="4" fillId="9" borderId="0" xfId="0" quotePrefix="1" applyNumberFormat="1" applyFont="1" applyFill="1" applyAlignment="1">
      <alignment horizontal="center"/>
    </xf>
    <xf numFmtId="0" fontId="4" fillId="10" borderId="0" xfId="0" quotePrefix="1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4" fillId="11" borderId="0" xfId="0" quotePrefix="1" applyFont="1" applyFill="1" applyAlignment="1">
      <alignment horizontal="center"/>
    </xf>
    <xf numFmtId="49" fontId="4" fillId="11" borderId="0" xfId="0" quotePrefix="1" applyNumberFormat="1" applyFont="1" applyFill="1" applyAlignment="1">
      <alignment horizontal="center"/>
    </xf>
    <xf numFmtId="0" fontId="4" fillId="6" borderId="0" xfId="0" quotePrefix="1" applyFont="1" applyFill="1" applyAlignment="1">
      <alignment horizontal="center"/>
    </xf>
    <xf numFmtId="20" fontId="4" fillId="0" borderId="0" xfId="0" quotePrefix="1" applyNumberFormat="1" applyFont="1" applyAlignment="1">
      <alignment horizontal="center"/>
    </xf>
    <xf numFmtId="0" fontId="4" fillId="0" borderId="0" xfId="0" quotePrefix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1/sharedlinks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72"/>
  <sheetViews>
    <sheetView tabSelected="1" workbookViewId="0">
      <pane ySplit="4" topLeftCell="A452" activePane="bottomLeft" state="frozen"/>
      <selection pane="bottomLeft" activeCell="J471" sqref="J471"/>
    </sheetView>
  </sheetViews>
  <sheetFormatPr defaultColWidth="9" defaultRowHeight="14.25" x14ac:dyDescent="0.3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 x14ac:dyDescent="0.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 x14ac:dyDescent="0.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 x14ac:dyDescent="0.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 x14ac:dyDescent="0.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spans="1:13" ht="15" x14ac:dyDescent="0.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spans="1:13" ht="15" x14ac:dyDescent="0.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spans="1:13" ht="15" x14ac:dyDescent="0.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spans="1:13" ht="15" x14ac:dyDescent="0.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spans="1:13" ht="15" x14ac:dyDescent="0.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spans="1:13" ht="15" x14ac:dyDescent="0.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spans="1:13" ht="15" x14ac:dyDescent="0.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spans="1:13" ht="15" x14ac:dyDescent="0.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spans="1:13" ht="15" x14ac:dyDescent="0.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spans="1:13" ht="15" x14ac:dyDescent="0.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spans="1:13" ht="15" x14ac:dyDescent="0.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spans="1:13" ht="15" x14ac:dyDescent="0.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spans="1:13" ht="15" x14ac:dyDescent="0.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spans="1:13" ht="15" x14ac:dyDescent="0.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spans="1:13" ht="15" x14ac:dyDescent="0.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spans="1:13" ht="15" x14ac:dyDescent="0.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spans="1:13" ht="15" x14ac:dyDescent="0.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spans="1:13" ht="15" x14ac:dyDescent="0.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spans="1:13" ht="15" x14ac:dyDescent="0.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spans="1:13" ht="15" x14ac:dyDescent="0.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spans="1:13" ht="15" x14ac:dyDescent="0.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spans="1:13" ht="15" x14ac:dyDescent="0.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spans="1:13" ht="15" x14ac:dyDescent="0.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spans="1:13" ht="15" x14ac:dyDescent="0.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spans="1:13" ht="15" x14ac:dyDescent="0.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spans="1:13" ht="15" x14ac:dyDescent="0.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spans="1:13" ht="15" x14ac:dyDescent="0.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spans="1:13" ht="15" x14ac:dyDescent="0.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spans="1:13" ht="15" x14ac:dyDescent="0.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spans="1:13" ht="15" x14ac:dyDescent="0.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spans="1:13" ht="15" x14ac:dyDescent="0.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spans="1:13" ht="15" x14ac:dyDescent="0.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spans="1:13" ht="15" x14ac:dyDescent="0.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spans="1:13" ht="15" x14ac:dyDescent="0.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spans="1:13" ht="15" x14ac:dyDescent="0.3">
      <c r="A39" s="17">
        <v>1011002</v>
      </c>
      <c r="B39" s="17">
        <v>101</v>
      </c>
      <c r="C39" s="17">
        <v>9</v>
      </c>
      <c r="D39" s="17">
        <v>2</v>
      </c>
      <c r="E39" s="40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spans="1:13" ht="15" x14ac:dyDescent="0.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spans="1:13" ht="15" x14ac:dyDescent="0.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spans="1:13" ht="15" x14ac:dyDescent="0.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spans="1:13" ht="15" x14ac:dyDescent="0.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spans="1:13" ht="15" x14ac:dyDescent="0.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spans="1:13" ht="15" x14ac:dyDescent="0.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spans="1:13" ht="15" x14ac:dyDescent="0.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spans="1:13" ht="15" x14ac:dyDescent="0.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spans="1:13" ht="15" x14ac:dyDescent="0.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spans="1:13" ht="15" x14ac:dyDescent="0.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spans="1:13" ht="15" x14ac:dyDescent="0.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spans="1:13" ht="15" x14ac:dyDescent="0.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spans="1:13" ht="15" x14ac:dyDescent="0.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spans="1:13" ht="15" x14ac:dyDescent="0.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spans="1:13" ht="15" x14ac:dyDescent="0.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spans="1:13" ht="15" x14ac:dyDescent="0.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spans="1:13" ht="15" x14ac:dyDescent="0.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spans="1:13" ht="15" x14ac:dyDescent="0.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spans="1:13" ht="15" x14ac:dyDescent="0.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spans="1:13" ht="15" x14ac:dyDescent="0.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spans="1:13" ht="15" x14ac:dyDescent="0.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spans="1:13" ht="15" x14ac:dyDescent="0.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spans="1:13" ht="15" x14ac:dyDescent="0.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spans="1:13" ht="15" x14ac:dyDescent="0.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spans="1:13" ht="15" x14ac:dyDescent="0.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spans="1:13" ht="15" x14ac:dyDescent="0.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spans="1:13" ht="15" x14ac:dyDescent="0.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spans="1:13" ht="15" x14ac:dyDescent="0.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spans="1:13" ht="15" x14ac:dyDescent="0.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spans="1:13" ht="15" x14ac:dyDescent="0.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spans="1:13" ht="15" x14ac:dyDescent="0.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spans="1:13" ht="15" x14ac:dyDescent="0.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spans="1:13" ht="15" x14ac:dyDescent="0.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spans="1:13" ht="15" x14ac:dyDescent="0.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spans="1:13" ht="15" x14ac:dyDescent="0.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spans="1:13" ht="15" x14ac:dyDescent="0.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spans="1:13" ht="15" x14ac:dyDescent="0.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spans="1:13" ht="15" x14ac:dyDescent="0.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spans="1:13" ht="15" x14ac:dyDescent="0.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spans="1:13" ht="15" x14ac:dyDescent="0.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spans="1:13" ht="15" x14ac:dyDescent="0.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spans="1:13" ht="15" x14ac:dyDescent="0.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spans="1:13" ht="15" x14ac:dyDescent="0.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spans="1:13" ht="15" x14ac:dyDescent="0.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spans="1:13" ht="15" x14ac:dyDescent="0.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spans="1:13" ht="15" x14ac:dyDescent="0.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spans="1:13" ht="15" x14ac:dyDescent="0.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spans="1:13" ht="15" x14ac:dyDescent="0.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spans="1:13" ht="15" x14ac:dyDescent="0.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spans="1:13" ht="15" x14ac:dyDescent="0.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spans="1:13" ht="15" x14ac:dyDescent="0.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spans="1:13" ht="15" x14ac:dyDescent="0.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spans="1:13" ht="15" x14ac:dyDescent="0.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spans="1:13" ht="15" x14ac:dyDescent="0.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spans="1:13" ht="15" x14ac:dyDescent="0.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spans="1:13" ht="15" x14ac:dyDescent="0.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spans="1:13" ht="15" x14ac:dyDescent="0.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spans="1:13" ht="15" x14ac:dyDescent="0.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spans="1:13" ht="15" x14ac:dyDescent="0.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spans="1:13" ht="15" x14ac:dyDescent="0.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spans="1:13" ht="15" x14ac:dyDescent="0.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spans="1:13" ht="15" x14ac:dyDescent="0.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spans="1:13" ht="15" x14ac:dyDescent="0.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spans="1:13" ht="15" x14ac:dyDescent="0.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spans="1:13" ht="15" x14ac:dyDescent="0.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spans="1:13" ht="15" x14ac:dyDescent="0.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spans="1:13" ht="15" x14ac:dyDescent="0.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spans="1:13" ht="15" x14ac:dyDescent="0.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spans="1:13" ht="15" x14ac:dyDescent="0.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spans="1:13" ht="15" x14ac:dyDescent="0.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spans="1:13" ht="15" x14ac:dyDescent="0.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spans="1:13" ht="15" x14ac:dyDescent="0.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spans="1:13" ht="15" x14ac:dyDescent="0.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1" t="s">
        <v>276</v>
      </c>
      <c r="L124" s="22" t="s">
        <v>37</v>
      </c>
      <c r="M124" s="22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 x14ac:dyDescent="0.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 x14ac:dyDescent="0.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2" t="s">
        <v>294</v>
      </c>
      <c r="L130" s="25" t="s">
        <v>37</v>
      </c>
      <c r="M130" s="25">
        <v>3570002</v>
      </c>
    </row>
    <row r="131" spans="1:13" x14ac:dyDescent="0.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 x14ac:dyDescent="0.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2" t="s">
        <v>294</v>
      </c>
      <c r="L132" s="25" t="s">
        <v>37</v>
      </c>
      <c r="M132" s="25">
        <v>3570002</v>
      </c>
    </row>
    <row r="133" spans="1:13" x14ac:dyDescent="0.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 x14ac:dyDescent="0.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 x14ac:dyDescent="0.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 x14ac:dyDescent="0.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 x14ac:dyDescent="0.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 x14ac:dyDescent="0.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3" t="s">
        <v>318</v>
      </c>
      <c r="L138" s="27" t="s">
        <v>37</v>
      </c>
      <c r="M138" s="27">
        <v>3580002</v>
      </c>
    </row>
    <row r="139" spans="1:13" x14ac:dyDescent="0.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 x14ac:dyDescent="0.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 x14ac:dyDescent="0.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 x14ac:dyDescent="0.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 x14ac:dyDescent="0.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 x14ac:dyDescent="0.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4" t="s">
        <v>337</v>
      </c>
      <c r="L144" s="27" t="s">
        <v>37</v>
      </c>
      <c r="M144" s="27">
        <v>3580001</v>
      </c>
    </row>
    <row r="145" spans="1:13" x14ac:dyDescent="0.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5" t="s">
        <v>338</v>
      </c>
      <c r="I145" s="29" t="s">
        <v>339</v>
      </c>
      <c r="J145" s="29" t="s">
        <v>340</v>
      </c>
      <c r="K145" s="45" t="s">
        <v>341</v>
      </c>
      <c r="L145" s="29" t="s">
        <v>37</v>
      </c>
      <c r="M145" s="29">
        <v>3590001</v>
      </c>
    </row>
    <row r="146" spans="1:13" x14ac:dyDescent="0.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5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 x14ac:dyDescent="0.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5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 x14ac:dyDescent="0.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5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 x14ac:dyDescent="0.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5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 x14ac:dyDescent="0.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5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 x14ac:dyDescent="0.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6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 x14ac:dyDescent="0.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6" t="s">
        <v>359</v>
      </c>
      <c r="I152" s="31" t="s">
        <v>360</v>
      </c>
      <c r="J152" s="31" t="s">
        <v>361</v>
      </c>
      <c r="K152" s="46" t="s">
        <v>362</v>
      </c>
      <c r="L152" s="31" t="s">
        <v>37</v>
      </c>
      <c r="M152" s="31">
        <v>3600001</v>
      </c>
    </row>
    <row r="153" spans="1:13" x14ac:dyDescent="0.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6" t="s">
        <v>363</v>
      </c>
      <c r="I153" s="31" t="s">
        <v>364</v>
      </c>
      <c r="J153" s="31" t="s">
        <v>365</v>
      </c>
      <c r="K153" s="46" t="s">
        <v>366</v>
      </c>
      <c r="L153" s="31" t="s">
        <v>37</v>
      </c>
      <c r="M153" s="31">
        <v>3600002</v>
      </c>
    </row>
    <row r="154" spans="1:13" x14ac:dyDescent="0.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6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 x14ac:dyDescent="0.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6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 x14ac:dyDescent="0.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6" t="s">
        <v>373</v>
      </c>
      <c r="I156" s="31" t="s">
        <v>374</v>
      </c>
      <c r="J156" s="31" t="s">
        <v>361</v>
      </c>
      <c r="K156" s="46" t="s">
        <v>362</v>
      </c>
      <c r="L156" s="31" t="s">
        <v>37</v>
      </c>
      <c r="M156" s="31">
        <v>3600002</v>
      </c>
    </row>
    <row r="157" spans="1:13" x14ac:dyDescent="0.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6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 x14ac:dyDescent="0.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6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 x14ac:dyDescent="0.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7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 x14ac:dyDescent="0.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7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 x14ac:dyDescent="0.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7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 x14ac:dyDescent="0.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7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 x14ac:dyDescent="0.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7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 x14ac:dyDescent="0.3">
      <c r="A164" s="33">
        <v>906010604</v>
      </c>
      <c r="B164" s="33">
        <v>90601</v>
      </c>
      <c r="C164" s="33">
        <v>6</v>
      </c>
      <c r="D164" s="33">
        <v>4</v>
      </c>
      <c r="E164" s="48" t="s">
        <v>397</v>
      </c>
      <c r="F164" s="33">
        <v>1</v>
      </c>
      <c r="G164" s="33">
        <v>500</v>
      </c>
      <c r="H164" s="47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 x14ac:dyDescent="0.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7" t="s">
        <v>401</v>
      </c>
      <c r="I165" s="33" t="s">
        <v>402</v>
      </c>
      <c r="J165" s="33" t="s">
        <v>403</v>
      </c>
      <c r="K165" s="47" t="s">
        <v>404</v>
      </c>
      <c r="L165" s="33" t="s">
        <v>37</v>
      </c>
      <c r="M165" s="33">
        <v>3610004</v>
      </c>
    </row>
    <row r="166" spans="1:13" x14ac:dyDescent="0.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7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 x14ac:dyDescent="0.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 x14ac:dyDescent="0.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 x14ac:dyDescent="0.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 x14ac:dyDescent="0.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 x14ac:dyDescent="0.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 x14ac:dyDescent="0.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 x14ac:dyDescent="0.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 x14ac:dyDescent="0.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 x14ac:dyDescent="0.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 x14ac:dyDescent="0.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 x14ac:dyDescent="0.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 x14ac:dyDescent="0.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8" t="s">
        <v>446</v>
      </c>
      <c r="K179" s="20">
        <v>3050001</v>
      </c>
      <c r="L179" s="20" t="s">
        <v>37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8" t="s">
        <v>449</v>
      </c>
      <c r="K180" s="20">
        <v>3050301</v>
      </c>
      <c r="L180" s="20" t="s">
        <v>37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8" t="s">
        <v>452</v>
      </c>
      <c r="K181" s="20"/>
      <c r="L181" s="20" t="s">
        <v>37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8" t="s">
        <v>455</v>
      </c>
      <c r="K182" s="20">
        <v>3050301</v>
      </c>
      <c r="L182" s="20" t="s">
        <v>37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8" t="s">
        <v>458</v>
      </c>
      <c r="K183" s="20">
        <v>3550501</v>
      </c>
      <c r="L183" s="20" t="s">
        <v>37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8" t="s">
        <v>461</v>
      </c>
      <c r="K184" s="20">
        <v>3550206</v>
      </c>
      <c r="L184" s="20" t="s">
        <v>37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8" t="s">
        <v>464</v>
      </c>
      <c r="K185" s="20">
        <v>3050301</v>
      </c>
      <c r="L185" s="20" t="s">
        <v>37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8" t="s">
        <v>467</v>
      </c>
      <c r="K186" s="49" t="s">
        <v>468</v>
      </c>
      <c r="L186" s="20" t="s">
        <v>37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8" t="s">
        <v>151</v>
      </c>
      <c r="K187" s="20">
        <v>3050301</v>
      </c>
      <c r="L187" s="20" t="s">
        <v>37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1" t="s">
        <v>276</v>
      </c>
      <c r="L191" s="22" t="s">
        <v>37</v>
      </c>
      <c r="M191" s="22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 x14ac:dyDescent="0.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 x14ac:dyDescent="0.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2" t="s">
        <v>294</v>
      </c>
      <c r="L197" s="25" t="s">
        <v>37</v>
      </c>
      <c r="M197" s="25">
        <v>3570002</v>
      </c>
    </row>
    <row r="198" spans="1:13" x14ac:dyDescent="0.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 x14ac:dyDescent="0.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2" t="s">
        <v>294</v>
      </c>
      <c r="L199" s="25" t="s">
        <v>37</v>
      </c>
      <c r="M199" s="25">
        <v>3570002</v>
      </c>
    </row>
    <row r="200" spans="1:13" x14ac:dyDescent="0.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 x14ac:dyDescent="0.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 x14ac:dyDescent="0.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 x14ac:dyDescent="0.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 x14ac:dyDescent="0.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 x14ac:dyDescent="0.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3" t="s">
        <v>318</v>
      </c>
      <c r="L205" s="27" t="s">
        <v>37</v>
      </c>
      <c r="M205" s="27">
        <v>3580002</v>
      </c>
    </row>
    <row r="206" spans="1:13" x14ac:dyDescent="0.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 x14ac:dyDescent="0.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 x14ac:dyDescent="0.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 x14ac:dyDescent="0.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 x14ac:dyDescent="0.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 x14ac:dyDescent="0.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4" t="s">
        <v>337</v>
      </c>
      <c r="L211" s="27" t="s">
        <v>37</v>
      </c>
      <c r="M211" s="27">
        <v>3580001</v>
      </c>
    </row>
    <row r="212" spans="1:13" ht="15" x14ac:dyDescent="0.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spans="1:13" ht="15" x14ac:dyDescent="0.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spans="1:13" ht="15" x14ac:dyDescent="0.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 x14ac:dyDescent="0.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 x14ac:dyDescent="0.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 x14ac:dyDescent="0.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 x14ac:dyDescent="0.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 x14ac:dyDescent="0.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 x14ac:dyDescent="0.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 x14ac:dyDescent="0.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 x14ac:dyDescent="0.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 x14ac:dyDescent="0.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 x14ac:dyDescent="0.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 x14ac:dyDescent="0.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 x14ac:dyDescent="0.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 x14ac:dyDescent="0.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 x14ac:dyDescent="0.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 x14ac:dyDescent="0.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 x14ac:dyDescent="0.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 x14ac:dyDescent="0.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 x14ac:dyDescent="0.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 x14ac:dyDescent="0.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 x14ac:dyDescent="0.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 x14ac:dyDescent="0.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 x14ac:dyDescent="0.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 x14ac:dyDescent="0.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 x14ac:dyDescent="0.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 x14ac:dyDescent="0.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 x14ac:dyDescent="0.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 x14ac:dyDescent="0.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 x14ac:dyDescent="0.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 x14ac:dyDescent="0.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 x14ac:dyDescent="0.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 x14ac:dyDescent="0.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 x14ac:dyDescent="0.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 x14ac:dyDescent="0.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 x14ac:dyDescent="0.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 x14ac:dyDescent="0.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 x14ac:dyDescent="0.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 x14ac:dyDescent="0.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 x14ac:dyDescent="0.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 x14ac:dyDescent="0.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 x14ac:dyDescent="0.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 x14ac:dyDescent="0.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 x14ac:dyDescent="0.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 x14ac:dyDescent="0.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 x14ac:dyDescent="0.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 x14ac:dyDescent="0.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0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 x14ac:dyDescent="0.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 x14ac:dyDescent="0.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0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 x14ac:dyDescent="0.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 x14ac:dyDescent="0.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0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 x14ac:dyDescent="0.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0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 x14ac:dyDescent="0.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 x14ac:dyDescent="0.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0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 x14ac:dyDescent="0.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 x14ac:dyDescent="0.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 x14ac:dyDescent="0.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 x14ac:dyDescent="0.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 x14ac:dyDescent="0.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 x14ac:dyDescent="0.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 x14ac:dyDescent="0.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 x14ac:dyDescent="0.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 x14ac:dyDescent="0.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 x14ac:dyDescent="0.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 x14ac:dyDescent="0.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 x14ac:dyDescent="0.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 x14ac:dyDescent="0.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 x14ac:dyDescent="0.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 x14ac:dyDescent="0.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 x14ac:dyDescent="0.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 x14ac:dyDescent="0.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 x14ac:dyDescent="0.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 x14ac:dyDescent="0.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 x14ac:dyDescent="0.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 x14ac:dyDescent="0.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 x14ac:dyDescent="0.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 x14ac:dyDescent="0.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 x14ac:dyDescent="0.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 x14ac:dyDescent="0.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 x14ac:dyDescent="0.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 x14ac:dyDescent="0.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 x14ac:dyDescent="0.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 x14ac:dyDescent="0.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 x14ac:dyDescent="0.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 x14ac:dyDescent="0.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 x14ac:dyDescent="0.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 x14ac:dyDescent="0.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 x14ac:dyDescent="0.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 x14ac:dyDescent="0.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 x14ac:dyDescent="0.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 x14ac:dyDescent="0.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 x14ac:dyDescent="0.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 x14ac:dyDescent="0.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 x14ac:dyDescent="0.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 x14ac:dyDescent="0.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 x14ac:dyDescent="0.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 x14ac:dyDescent="0.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 x14ac:dyDescent="0.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 x14ac:dyDescent="0.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 x14ac:dyDescent="0.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 x14ac:dyDescent="0.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 x14ac:dyDescent="0.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 x14ac:dyDescent="0.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 x14ac:dyDescent="0.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 x14ac:dyDescent="0.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 x14ac:dyDescent="0.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 x14ac:dyDescent="0.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 x14ac:dyDescent="0.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 x14ac:dyDescent="0.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 x14ac:dyDescent="0.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 x14ac:dyDescent="0.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 x14ac:dyDescent="0.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 x14ac:dyDescent="0.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 x14ac:dyDescent="0.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 x14ac:dyDescent="0.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 x14ac:dyDescent="0.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 x14ac:dyDescent="0.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 x14ac:dyDescent="0.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 x14ac:dyDescent="0.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 x14ac:dyDescent="0.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 x14ac:dyDescent="0.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 x14ac:dyDescent="0.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 x14ac:dyDescent="0.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 x14ac:dyDescent="0.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 x14ac:dyDescent="0.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 x14ac:dyDescent="0.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 x14ac:dyDescent="0.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 x14ac:dyDescent="0.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 x14ac:dyDescent="0.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 x14ac:dyDescent="0.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 x14ac:dyDescent="0.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 x14ac:dyDescent="0.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 x14ac:dyDescent="0.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 x14ac:dyDescent="0.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 x14ac:dyDescent="0.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 x14ac:dyDescent="0.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 x14ac:dyDescent="0.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 x14ac:dyDescent="0.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 x14ac:dyDescent="0.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 x14ac:dyDescent="0.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 x14ac:dyDescent="0.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 x14ac:dyDescent="0.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 x14ac:dyDescent="0.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 x14ac:dyDescent="0.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 x14ac:dyDescent="0.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 x14ac:dyDescent="0.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 x14ac:dyDescent="0.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 x14ac:dyDescent="0.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 x14ac:dyDescent="0.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 x14ac:dyDescent="0.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 x14ac:dyDescent="0.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 x14ac:dyDescent="0.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 x14ac:dyDescent="0.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 x14ac:dyDescent="0.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 x14ac:dyDescent="0.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 x14ac:dyDescent="0.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 x14ac:dyDescent="0.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 x14ac:dyDescent="0.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 x14ac:dyDescent="0.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 x14ac:dyDescent="0.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 x14ac:dyDescent="0.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 x14ac:dyDescent="0.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 x14ac:dyDescent="0.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 x14ac:dyDescent="0.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 x14ac:dyDescent="0.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 x14ac:dyDescent="0.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 x14ac:dyDescent="0.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 x14ac:dyDescent="0.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 x14ac:dyDescent="0.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 x14ac:dyDescent="0.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 x14ac:dyDescent="0.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 x14ac:dyDescent="0.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0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 x14ac:dyDescent="0.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0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 x14ac:dyDescent="0.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 x14ac:dyDescent="0.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0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 x14ac:dyDescent="0.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 x14ac:dyDescent="0.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0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 x14ac:dyDescent="0.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0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 x14ac:dyDescent="0.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 x14ac:dyDescent="0.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39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 x14ac:dyDescent="0.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 x14ac:dyDescent="0.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 x14ac:dyDescent="0.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 x14ac:dyDescent="0.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1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 x14ac:dyDescent="0.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1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 x14ac:dyDescent="0.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1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 x14ac:dyDescent="0.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1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 x14ac:dyDescent="0.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1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 x14ac:dyDescent="0.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1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 x14ac:dyDescent="0.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1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 x14ac:dyDescent="0.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1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 x14ac:dyDescent="0.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1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 x14ac:dyDescent="0.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1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 x14ac:dyDescent="0.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1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 x14ac:dyDescent="0.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1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 x14ac:dyDescent="0.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1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 x14ac:dyDescent="0.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0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 x14ac:dyDescent="0.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0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 x14ac:dyDescent="0.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1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 x14ac:dyDescent="0.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1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 x14ac:dyDescent="0.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1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 x14ac:dyDescent="0.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1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 x14ac:dyDescent="0.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1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 x14ac:dyDescent="0.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1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 x14ac:dyDescent="0.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1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 x14ac:dyDescent="0.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1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 x14ac:dyDescent="0.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1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 x14ac:dyDescent="0.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spans="1:13" ht="15" customHeight="1" x14ac:dyDescent="0.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 x14ac:dyDescent="0.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 x14ac:dyDescent="0.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 x14ac:dyDescent="0.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 x14ac:dyDescent="0.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 x14ac:dyDescent="0.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 x14ac:dyDescent="0.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 x14ac:dyDescent="0.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 x14ac:dyDescent="0.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 x14ac:dyDescent="0.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 x14ac:dyDescent="0.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 x14ac:dyDescent="0.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 x14ac:dyDescent="0.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 x14ac:dyDescent="0.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 x14ac:dyDescent="0.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 x14ac:dyDescent="0.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 x14ac:dyDescent="0.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 x14ac:dyDescent="0.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 x14ac:dyDescent="0.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 x14ac:dyDescent="0.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 x14ac:dyDescent="0.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 x14ac:dyDescent="0.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 x14ac:dyDescent="0.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 x14ac:dyDescent="0.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 x14ac:dyDescent="0.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 x14ac:dyDescent="0.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 x14ac:dyDescent="0.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 x14ac:dyDescent="0.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 x14ac:dyDescent="0.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 x14ac:dyDescent="0.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 x14ac:dyDescent="0.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 x14ac:dyDescent="0.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 x14ac:dyDescent="0.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 x14ac:dyDescent="0.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 x14ac:dyDescent="0.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 x14ac:dyDescent="0.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 x14ac:dyDescent="0.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 x14ac:dyDescent="0.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 x14ac:dyDescent="0.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 x14ac:dyDescent="0.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 x14ac:dyDescent="0.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 x14ac:dyDescent="0.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 x14ac:dyDescent="0.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 x14ac:dyDescent="0.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 x14ac:dyDescent="0.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 x14ac:dyDescent="0.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 x14ac:dyDescent="0.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 x14ac:dyDescent="0.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 x14ac:dyDescent="0.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 x14ac:dyDescent="0.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1299</v>
      </c>
      <c r="I470" s="13" t="s">
        <v>1294</v>
      </c>
      <c r="J470" s="13" t="s">
        <v>1296</v>
      </c>
      <c r="L470" s="17" t="s">
        <v>37</v>
      </c>
      <c r="M470" s="13" t="s">
        <v>1071</v>
      </c>
    </row>
    <row r="471" spans="1:13" x14ac:dyDescent="0.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1299</v>
      </c>
      <c r="I471" s="13" t="s">
        <v>1294</v>
      </c>
      <c r="J471" s="13" t="s">
        <v>1296</v>
      </c>
      <c r="L471" s="17" t="s">
        <v>37</v>
      </c>
      <c r="M471" s="13" t="s">
        <v>1071</v>
      </c>
    </row>
    <row r="472" spans="1:13" x14ac:dyDescent="0.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1298</v>
      </c>
      <c r="I472" s="13" t="s">
        <v>1295</v>
      </c>
      <c r="J472" s="13" t="s">
        <v>1297</v>
      </c>
      <c r="L472" s="17" t="s">
        <v>37</v>
      </c>
      <c r="M472" s="13" t="s">
        <v>1071</v>
      </c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W175"/>
  <sheetViews>
    <sheetView zoomScale="130" zoomScaleNormal="130" workbookViewId="0">
      <pane ySplit="2" topLeftCell="A159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1:23" x14ac:dyDescent="0.15">
      <c r="B2" s="1" t="s">
        <v>1072</v>
      </c>
      <c r="E2" s="1">
        <f>SUM(E3:E7)</f>
        <v>1100</v>
      </c>
    </row>
    <row r="3" spans="1:23" ht="33.75" x14ac:dyDescent="0.15">
      <c r="A3" s="1">
        <v>1</v>
      </c>
      <c r="B3" s="3" t="s">
        <v>1073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1074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spans="1:23" ht="12" customHeight="1" x14ac:dyDescent="0.15">
      <c r="A4" s="1">
        <f>A3+1</f>
        <v>2</v>
      </c>
      <c r="B4" s="3" t="s">
        <v>1075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1076</v>
      </c>
      <c r="N4" s="9">
        <v>3040401</v>
      </c>
      <c r="O4" s="10" t="s">
        <v>1077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 x14ac:dyDescent="0.15">
      <c r="A5" s="1">
        <f t="shared" ref="A5:A11" si="0">A4+1</f>
        <v>3</v>
      </c>
      <c r="B5" s="5" t="s">
        <v>1078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1079</v>
      </c>
      <c r="N5" s="9">
        <v>3040501</v>
      </c>
      <c r="O5" s="10" t="s">
        <v>1080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 x14ac:dyDescent="0.15">
      <c r="A6" s="1">
        <f t="shared" si="0"/>
        <v>4</v>
      </c>
      <c r="B6" s="5" t="s">
        <v>1081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1082</v>
      </c>
      <c r="N6" s="9">
        <v>3040601</v>
      </c>
      <c r="O6" s="10" t="s">
        <v>1083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 x14ac:dyDescent="0.15">
      <c r="A7" s="1">
        <f t="shared" si="0"/>
        <v>5</v>
      </c>
      <c r="B7" s="5" t="s">
        <v>1084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1085</v>
      </c>
      <c r="N7" s="9">
        <v>3040701</v>
      </c>
      <c r="O7" s="10" t="s">
        <v>61</v>
      </c>
      <c r="P7" s="9">
        <v>3050401</v>
      </c>
      <c r="Q7" s="10" t="s">
        <v>1086</v>
      </c>
      <c r="R7" s="9">
        <v>3060401</v>
      </c>
      <c r="S7" s="10" t="s">
        <v>1087</v>
      </c>
      <c r="T7" s="9">
        <v>3070401</v>
      </c>
      <c r="U7" s="10" t="s">
        <v>1088</v>
      </c>
      <c r="V7" s="9">
        <v>3080401</v>
      </c>
      <c r="W7" s="10" t="s">
        <v>1089</v>
      </c>
    </row>
    <row r="8" spans="1:23" x14ac:dyDescent="0.15">
      <c r="A8" s="1">
        <f t="shared" si="0"/>
        <v>6</v>
      </c>
      <c r="B8" s="5" t="s">
        <v>1090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1091</v>
      </c>
      <c r="N8" s="9">
        <v>3040801</v>
      </c>
      <c r="O8" s="10" t="s">
        <v>1092</v>
      </c>
      <c r="P8" s="9">
        <v>3050501</v>
      </c>
      <c r="Q8" s="10" t="s">
        <v>1093</v>
      </c>
      <c r="R8" s="9">
        <v>3060501</v>
      </c>
      <c r="S8" s="10" t="s">
        <v>1094</v>
      </c>
      <c r="T8" s="9">
        <v>3070501</v>
      </c>
      <c r="U8" s="10" t="s">
        <v>1095</v>
      </c>
      <c r="V8" s="9">
        <v>3080501</v>
      </c>
      <c r="W8" s="10" t="s">
        <v>1096</v>
      </c>
    </row>
    <row r="9" spans="1:23" ht="45" x14ac:dyDescent="0.15">
      <c r="A9" s="1">
        <f t="shared" si="0"/>
        <v>7</v>
      </c>
      <c r="B9" s="3" t="s">
        <v>1097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1098</v>
      </c>
      <c r="N9" s="9">
        <v>3040901</v>
      </c>
      <c r="O9" s="10" t="s">
        <v>72</v>
      </c>
      <c r="P9" s="9">
        <v>3050601</v>
      </c>
      <c r="Q9" s="10" t="s">
        <v>1099</v>
      </c>
      <c r="R9" s="9">
        <v>3060601</v>
      </c>
      <c r="S9" s="10" t="s">
        <v>1100</v>
      </c>
      <c r="T9" s="9">
        <v>3070601</v>
      </c>
      <c r="U9" s="10" t="s">
        <v>1101</v>
      </c>
      <c r="V9" s="9">
        <v>3080601</v>
      </c>
      <c r="W9" s="10" t="s">
        <v>1102</v>
      </c>
    </row>
    <row r="10" spans="1:23" ht="13.5" customHeight="1" x14ac:dyDescent="0.15">
      <c r="A10" s="1">
        <f t="shared" si="0"/>
        <v>8</v>
      </c>
      <c r="B10" s="3" t="s">
        <v>1103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1104</v>
      </c>
      <c r="N10" s="9">
        <v>3041001</v>
      </c>
      <c r="O10" s="10" t="s">
        <v>97</v>
      </c>
      <c r="P10" s="1">
        <v>3050700</v>
      </c>
      <c r="Q10" s="1" t="s">
        <v>1105</v>
      </c>
      <c r="R10" s="1" t="s">
        <v>1106</v>
      </c>
    </row>
    <row r="11" spans="1:23" ht="33.75" x14ac:dyDescent="0.15">
      <c r="A11" s="1">
        <f t="shared" si="0"/>
        <v>9</v>
      </c>
      <c r="B11" s="3" t="s">
        <v>1107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1108</v>
      </c>
      <c r="N11" s="9">
        <v>3041101</v>
      </c>
      <c r="O11" s="10" t="s">
        <v>1109</v>
      </c>
      <c r="P11" s="1">
        <v>3050800</v>
      </c>
      <c r="Q11" s="1" t="s">
        <v>1110</v>
      </c>
      <c r="R11" s="1" t="s">
        <v>1111</v>
      </c>
    </row>
    <row r="12" spans="1:23" x14ac:dyDescent="0.15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1112</v>
      </c>
      <c r="N12" s="9">
        <v>3041201</v>
      </c>
      <c r="O12" s="10" t="s">
        <v>105</v>
      </c>
      <c r="P12" s="1">
        <v>3050801</v>
      </c>
      <c r="Q12" s="1" t="s">
        <v>1113</v>
      </c>
      <c r="R12" s="1" t="s">
        <v>1114</v>
      </c>
    </row>
    <row r="13" spans="1:23" x14ac:dyDescent="0.15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1115</v>
      </c>
      <c r="N13" s="9">
        <v>3041301</v>
      </c>
      <c r="O13" s="10" t="s">
        <v>116</v>
      </c>
      <c r="P13" s="1">
        <v>3050802</v>
      </c>
      <c r="Q13" s="1" t="s">
        <v>1116</v>
      </c>
      <c r="R13" s="1" t="s">
        <v>1117</v>
      </c>
    </row>
    <row r="14" spans="1:23" x14ac:dyDescent="0.15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1118</v>
      </c>
      <c r="N14" s="9">
        <v>3041401</v>
      </c>
      <c r="O14" s="10" t="s">
        <v>1119</v>
      </c>
      <c r="P14" s="1">
        <v>3050900</v>
      </c>
      <c r="Q14" s="1" t="s">
        <v>1120</v>
      </c>
      <c r="R14" s="1" t="s">
        <v>1106</v>
      </c>
    </row>
    <row r="15" spans="1:23" x14ac:dyDescent="0.15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1121</v>
      </c>
      <c r="N15" s="9">
        <v>3041501</v>
      </c>
      <c r="O15" s="10" t="s">
        <v>1122</v>
      </c>
      <c r="P15" s="1">
        <v>3051000</v>
      </c>
      <c r="Q15" s="1" t="s">
        <v>1123</v>
      </c>
      <c r="R15" s="1" t="s">
        <v>1111</v>
      </c>
    </row>
    <row r="16" spans="1:23" x14ac:dyDescent="0.15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1124</v>
      </c>
      <c r="P16" s="1">
        <f>P15+1</f>
        <v>3051001</v>
      </c>
      <c r="Q16" s="1" t="s">
        <v>1125</v>
      </c>
      <c r="R16" s="1" t="s">
        <v>1126</v>
      </c>
    </row>
    <row r="17" spans="3:18" x14ac:dyDescent="0.15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1127</v>
      </c>
      <c r="P17" s="1">
        <f>P16+1</f>
        <v>3051002</v>
      </c>
      <c r="Q17" s="1" t="s">
        <v>1128</v>
      </c>
      <c r="R17" s="1" t="s">
        <v>1129</v>
      </c>
    </row>
    <row r="18" spans="3:18" x14ac:dyDescent="0.15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1130</v>
      </c>
      <c r="P18" s="1">
        <v>3051000</v>
      </c>
      <c r="Q18" s="1" t="s">
        <v>1131</v>
      </c>
      <c r="R18" s="1" t="s">
        <v>1106</v>
      </c>
    </row>
    <row r="19" spans="3:18" x14ac:dyDescent="0.15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1132</v>
      </c>
      <c r="P19" s="1">
        <f>P18+1</f>
        <v>3051001</v>
      </c>
      <c r="Q19" s="1" t="s">
        <v>1133</v>
      </c>
      <c r="R19" s="1" t="s">
        <v>1134</v>
      </c>
    </row>
    <row r="20" spans="3:18" x14ac:dyDescent="0.15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1135</v>
      </c>
      <c r="P20" s="1">
        <f>P19+1</f>
        <v>3051002</v>
      </c>
      <c r="Q20" s="1" t="s">
        <v>1136</v>
      </c>
      <c r="R20" s="1" t="s">
        <v>1137</v>
      </c>
    </row>
    <row r="21" spans="3:18" x14ac:dyDescent="0.15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1138</v>
      </c>
      <c r="P21" s="1">
        <f>P20+1</f>
        <v>3051003</v>
      </c>
    </row>
    <row r="22" spans="3:18" x14ac:dyDescent="0.15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1139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1140</v>
      </c>
    </row>
    <row r="23" spans="3:18" x14ac:dyDescent="0.15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1141</v>
      </c>
      <c r="N23" s="11">
        <v>1010901</v>
      </c>
      <c r="O23" s="11" t="s">
        <v>83</v>
      </c>
      <c r="P23" s="1">
        <v>3051101</v>
      </c>
      <c r="Q23" s="1" t="s">
        <v>1142</v>
      </c>
    </row>
    <row r="24" spans="3:18" x14ac:dyDescent="0.15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1143</v>
      </c>
      <c r="N24" s="11">
        <v>1010902</v>
      </c>
      <c r="O24" s="11" t="s">
        <v>83</v>
      </c>
      <c r="P24" s="1">
        <f>P23+1</f>
        <v>3051102</v>
      </c>
      <c r="Q24" s="1" t="s">
        <v>1144</v>
      </c>
    </row>
    <row r="25" spans="3:18" x14ac:dyDescent="0.15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1145</v>
      </c>
      <c r="N25" s="11">
        <v>1010903</v>
      </c>
      <c r="O25" s="11" t="s">
        <v>83</v>
      </c>
      <c r="P25" s="1">
        <v>3051200</v>
      </c>
    </row>
    <row r="26" spans="3:18" x14ac:dyDescent="0.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1146</v>
      </c>
      <c r="N26" s="11">
        <v>1010904</v>
      </c>
      <c r="O26" s="11" t="s">
        <v>83</v>
      </c>
    </row>
    <row r="27" spans="3:18" x14ac:dyDescent="0.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1147</v>
      </c>
      <c r="N27" s="11">
        <v>1010905</v>
      </c>
      <c r="O27" s="11" t="s">
        <v>83</v>
      </c>
    </row>
    <row r="28" spans="3:18" x14ac:dyDescent="0.15">
      <c r="C28" s="8" t="s">
        <v>1080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1148</v>
      </c>
      <c r="N28" s="2">
        <v>905010101</v>
      </c>
      <c r="O28" s="2" t="s">
        <v>358</v>
      </c>
    </row>
    <row r="29" spans="3:18" x14ac:dyDescent="0.15">
      <c r="C29" s="8" t="s">
        <v>1080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1149</v>
      </c>
      <c r="N29" s="2">
        <v>905010202</v>
      </c>
      <c r="O29" s="2" t="s">
        <v>360</v>
      </c>
    </row>
    <row r="30" spans="3:18" x14ac:dyDescent="0.15">
      <c r="C30" s="8" t="s">
        <v>1080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1150</v>
      </c>
      <c r="N30" s="2">
        <v>905010302</v>
      </c>
      <c r="O30" s="2" t="s">
        <v>364</v>
      </c>
    </row>
    <row r="31" spans="3:18" x14ac:dyDescent="0.15">
      <c r="C31" s="8" t="s">
        <v>1080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1151</v>
      </c>
      <c r="N31" s="2">
        <v>905010403</v>
      </c>
      <c r="O31" s="2" t="s">
        <v>368</v>
      </c>
    </row>
    <row r="32" spans="3:18" x14ac:dyDescent="0.15">
      <c r="C32" s="8" t="s">
        <v>1080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1152</v>
      </c>
      <c r="N32" s="2">
        <v>905010503</v>
      </c>
      <c r="O32" s="2" t="s">
        <v>371</v>
      </c>
    </row>
    <row r="33" spans="3:15" x14ac:dyDescent="0.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1153</v>
      </c>
      <c r="N33" s="2">
        <v>905010604</v>
      </c>
      <c r="O33" s="2" t="s">
        <v>1154</v>
      </c>
    </row>
    <row r="34" spans="3:15" x14ac:dyDescent="0.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1155</v>
      </c>
      <c r="N34" s="2">
        <v>905010704</v>
      </c>
      <c r="O34" s="2" t="s">
        <v>376</v>
      </c>
    </row>
    <row r="35" spans="3:15" x14ac:dyDescent="0.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1156</v>
      </c>
      <c r="N35" s="2">
        <v>905010805</v>
      </c>
      <c r="O35" s="2" t="s">
        <v>379</v>
      </c>
    </row>
    <row r="36" spans="3:15" x14ac:dyDescent="0.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1157</v>
      </c>
      <c r="N36" s="12">
        <v>901010101</v>
      </c>
      <c r="O36" s="12" t="s">
        <v>266</v>
      </c>
    </row>
    <row r="37" spans="3:15" x14ac:dyDescent="0.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1158</v>
      </c>
      <c r="N37" s="12">
        <v>901010202</v>
      </c>
      <c r="O37" s="12" t="s">
        <v>269</v>
      </c>
    </row>
    <row r="38" spans="3:15" x14ac:dyDescent="0.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1159</v>
      </c>
      <c r="N38" s="12">
        <v>901010302</v>
      </c>
      <c r="O38" s="12" t="s">
        <v>271</v>
      </c>
    </row>
    <row r="39" spans="3:15" x14ac:dyDescent="0.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1160</v>
      </c>
      <c r="N39" s="12">
        <v>901010403</v>
      </c>
      <c r="O39" s="12" t="s">
        <v>274</v>
      </c>
    </row>
    <row r="40" spans="3:15" x14ac:dyDescent="0.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1161</v>
      </c>
      <c r="N40" s="12">
        <v>901010503</v>
      </c>
      <c r="O40" s="12" t="s">
        <v>278</v>
      </c>
    </row>
    <row r="41" spans="3:15" x14ac:dyDescent="0.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1162</v>
      </c>
      <c r="N41" s="12">
        <v>901010604</v>
      </c>
      <c r="O41" s="12" t="s">
        <v>281</v>
      </c>
    </row>
    <row r="42" spans="3:15" x14ac:dyDescent="0.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1163</v>
      </c>
      <c r="N42" s="12">
        <v>901010704</v>
      </c>
      <c r="O42" s="12" t="s">
        <v>284</v>
      </c>
    </row>
    <row r="43" spans="3:15" x14ac:dyDescent="0.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1164</v>
      </c>
      <c r="N43" s="12">
        <v>901010805</v>
      </c>
      <c r="O43" s="12" t="s">
        <v>287</v>
      </c>
    </row>
    <row r="44" spans="3:15" x14ac:dyDescent="0.15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1165</v>
      </c>
    </row>
    <row r="45" spans="3:15" x14ac:dyDescent="0.15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1166</v>
      </c>
    </row>
    <row r="46" spans="3:15" x14ac:dyDescent="0.15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1167</v>
      </c>
    </row>
    <row r="47" spans="3:15" x14ac:dyDescent="0.15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1168</v>
      </c>
    </row>
    <row r="48" spans="3:15" x14ac:dyDescent="0.15">
      <c r="C48" s="8" t="s">
        <v>1109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1169</v>
      </c>
    </row>
    <row r="49" spans="3:10" x14ac:dyDescent="0.15">
      <c r="C49" s="8" t="s">
        <v>1109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1170</v>
      </c>
    </row>
    <row r="50" spans="3:10" x14ac:dyDescent="0.15">
      <c r="C50" s="8" t="s">
        <v>1109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1171</v>
      </c>
    </row>
    <row r="51" spans="3:10" x14ac:dyDescent="0.15">
      <c r="C51" s="8" t="s">
        <v>1109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1172</v>
      </c>
    </row>
    <row r="52" spans="3:10" x14ac:dyDescent="0.15">
      <c r="C52" s="8" t="s">
        <v>1109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1173</v>
      </c>
    </row>
    <row r="53" spans="3:10" x14ac:dyDescent="0.15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1174</v>
      </c>
    </row>
    <row r="54" spans="3:10" x14ac:dyDescent="0.15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1175</v>
      </c>
    </row>
    <row r="55" spans="3:10" x14ac:dyDescent="0.15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1176</v>
      </c>
    </row>
    <row r="56" spans="3:10" x14ac:dyDescent="0.15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1177</v>
      </c>
    </row>
    <row r="57" spans="3:10" x14ac:dyDescent="0.15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1178</v>
      </c>
    </row>
    <row r="58" spans="3:10" x14ac:dyDescent="0.15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1179</v>
      </c>
    </row>
    <row r="59" spans="3:10" x14ac:dyDescent="0.15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1180</v>
      </c>
    </row>
    <row r="60" spans="3:10" x14ac:dyDescent="0.15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1181</v>
      </c>
    </row>
    <row r="61" spans="3:10" x14ac:dyDescent="0.15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1182</v>
      </c>
    </row>
    <row r="62" spans="3:10" x14ac:dyDescent="0.15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1183</v>
      </c>
    </row>
    <row r="63" spans="3:10" x14ac:dyDescent="0.15">
      <c r="C63" s="1" t="s">
        <v>1119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1184</v>
      </c>
    </row>
    <row r="64" spans="3:10" x14ac:dyDescent="0.15">
      <c r="C64" s="1" t="s">
        <v>1119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1185</v>
      </c>
    </row>
    <row r="65" spans="3:11" x14ac:dyDescent="0.15">
      <c r="C65" s="1" t="s">
        <v>1119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1186</v>
      </c>
    </row>
    <row r="66" spans="3:11" x14ac:dyDescent="0.15">
      <c r="C66" s="1" t="s">
        <v>1119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1187</v>
      </c>
    </row>
    <row r="67" spans="3:11" x14ac:dyDescent="0.15">
      <c r="C67" s="1" t="s">
        <v>1119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1188</v>
      </c>
    </row>
    <row r="68" spans="3:11" x14ac:dyDescent="0.15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1189</v>
      </c>
      <c r="H68" s="2" t="str">
        <f t="shared" ref="H68:H131" si="4">_xlfn.TEXTJOIN("_",TRUE,F68:G68)</f>
        <v>3050001:3000_3050000:1</v>
      </c>
      <c r="J68" s="1" t="s">
        <v>1190</v>
      </c>
      <c r="K68" s="1" t="s">
        <v>1189</v>
      </c>
    </row>
    <row r="69" spans="3:11" x14ac:dyDescent="0.15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1189</v>
      </c>
      <c r="H69" s="2" t="str">
        <f t="shared" si="4"/>
        <v>3050001:5000_3050000:1</v>
      </c>
      <c r="J69" s="1" t="s">
        <v>1191</v>
      </c>
      <c r="K69" s="1" t="s">
        <v>1189</v>
      </c>
    </row>
    <row r="70" spans="3:11" x14ac:dyDescent="0.15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1189</v>
      </c>
      <c r="H70" s="2" t="str">
        <f t="shared" si="4"/>
        <v>3050001:7000_3050000:1</v>
      </c>
      <c r="J70" s="1" t="s">
        <v>1192</v>
      </c>
      <c r="K70" s="1" t="s">
        <v>1189</v>
      </c>
    </row>
    <row r="71" spans="3:11" x14ac:dyDescent="0.15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1189</v>
      </c>
      <c r="H71" s="2" t="str">
        <f t="shared" si="4"/>
        <v>3050001:10000_3050000:1</v>
      </c>
      <c r="J71" s="1" t="s">
        <v>1193</v>
      </c>
      <c r="K71" s="1" t="s">
        <v>1189</v>
      </c>
    </row>
    <row r="72" spans="3:11" x14ac:dyDescent="0.15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1189</v>
      </c>
      <c r="H72" s="2" t="str">
        <f t="shared" si="4"/>
        <v>3050001:15000_3050000:1</v>
      </c>
      <c r="J72" s="1" t="s">
        <v>1194</v>
      </c>
      <c r="K72" s="1" t="s">
        <v>1189</v>
      </c>
    </row>
    <row r="73" spans="3:11" x14ac:dyDescent="0.15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1189</v>
      </c>
      <c r="H73" s="2" t="str">
        <f t="shared" si="4"/>
        <v>3050101:80_3050000:1</v>
      </c>
      <c r="J73" s="1" t="s">
        <v>1195</v>
      </c>
      <c r="K73" s="1" t="s">
        <v>1189</v>
      </c>
    </row>
    <row r="74" spans="3:11" x14ac:dyDescent="0.15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1189</v>
      </c>
      <c r="H74" s="2" t="str">
        <f t="shared" si="4"/>
        <v>3050101:140_3050000:1</v>
      </c>
      <c r="J74" s="1" t="s">
        <v>1196</v>
      </c>
      <c r="K74" s="1" t="s">
        <v>1189</v>
      </c>
    </row>
    <row r="75" spans="3:11" x14ac:dyDescent="0.15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1189</v>
      </c>
      <c r="H75" s="2" t="str">
        <f t="shared" si="4"/>
        <v>3050101:190_3050000:1</v>
      </c>
      <c r="J75" s="1" t="s">
        <v>1197</v>
      </c>
      <c r="K75" s="1" t="s">
        <v>1189</v>
      </c>
    </row>
    <row r="76" spans="3:11" x14ac:dyDescent="0.15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1189</v>
      </c>
      <c r="H76" s="2" t="str">
        <f t="shared" si="4"/>
        <v>3050101:280_3050000:1</v>
      </c>
      <c r="J76" s="1" t="s">
        <v>1198</v>
      </c>
      <c r="K76" s="1" t="s">
        <v>1189</v>
      </c>
    </row>
    <row r="77" spans="3:11" x14ac:dyDescent="0.15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1189</v>
      </c>
      <c r="H77" s="2" t="str">
        <f t="shared" si="4"/>
        <v>3050101:410_3050000:1</v>
      </c>
      <c r="J77" s="1" t="s">
        <v>1199</v>
      </c>
      <c r="K77" s="1" t="s">
        <v>1189</v>
      </c>
    </row>
    <row r="78" spans="3:11" x14ac:dyDescent="0.15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1200</v>
      </c>
    </row>
    <row r="79" spans="3:11" x14ac:dyDescent="0.15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1201</v>
      </c>
    </row>
    <row r="80" spans="3:11" x14ac:dyDescent="0.15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1202</v>
      </c>
    </row>
    <row r="81" spans="3:11" x14ac:dyDescent="0.15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1203</v>
      </c>
    </row>
    <row r="82" spans="3:11" x14ac:dyDescent="0.15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1204</v>
      </c>
    </row>
    <row r="83" spans="3:11" x14ac:dyDescent="0.15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1205</v>
      </c>
    </row>
    <row r="84" spans="3:11" x14ac:dyDescent="0.15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1206</v>
      </c>
    </row>
    <row r="85" spans="3:11" x14ac:dyDescent="0.15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1207</v>
      </c>
    </row>
    <row r="86" spans="3:11" x14ac:dyDescent="0.15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1208</v>
      </c>
    </row>
    <row r="87" spans="3:11" x14ac:dyDescent="0.15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1209</v>
      </c>
    </row>
    <row r="88" spans="3:11" x14ac:dyDescent="0.15">
      <c r="C88" s="8" t="s">
        <v>1093</v>
      </c>
      <c r="D88" s="1">
        <v>3050501</v>
      </c>
      <c r="E88" s="1">
        <v>80</v>
      </c>
      <c r="F88" s="1" t="str">
        <f t="shared" si="3"/>
        <v>3050501:80</v>
      </c>
      <c r="G88" s="1" t="s">
        <v>1189</v>
      </c>
      <c r="H88" s="2" t="str">
        <f t="shared" si="4"/>
        <v>3050501:80_3050000:1</v>
      </c>
      <c r="J88" s="1" t="s">
        <v>1210</v>
      </c>
      <c r="K88" s="1" t="s">
        <v>1189</v>
      </c>
    </row>
    <row r="89" spans="3:11" x14ac:dyDescent="0.15">
      <c r="C89" s="8" t="s">
        <v>1093</v>
      </c>
      <c r="D89" s="1">
        <v>3050501</v>
      </c>
      <c r="E89" s="1">
        <v>140</v>
      </c>
      <c r="F89" s="1" t="str">
        <f t="shared" si="3"/>
        <v>3050501:140</v>
      </c>
      <c r="G89" s="1" t="s">
        <v>1189</v>
      </c>
      <c r="H89" s="2" t="str">
        <f t="shared" si="4"/>
        <v>3050501:140_3050000:1</v>
      </c>
      <c r="J89" s="1" t="s">
        <v>1211</v>
      </c>
      <c r="K89" s="1" t="s">
        <v>1189</v>
      </c>
    </row>
    <row r="90" spans="3:11" x14ac:dyDescent="0.15">
      <c r="C90" s="8" t="s">
        <v>1093</v>
      </c>
      <c r="D90" s="1">
        <v>3050501</v>
      </c>
      <c r="E90" s="1">
        <v>190</v>
      </c>
      <c r="F90" s="1" t="str">
        <f t="shared" si="3"/>
        <v>3050501:190</v>
      </c>
      <c r="G90" s="1" t="s">
        <v>1189</v>
      </c>
      <c r="H90" s="2" t="str">
        <f t="shared" si="4"/>
        <v>3050501:190_3050000:1</v>
      </c>
      <c r="J90" s="1" t="s">
        <v>1212</v>
      </c>
      <c r="K90" s="1" t="s">
        <v>1189</v>
      </c>
    </row>
    <row r="91" spans="3:11" x14ac:dyDescent="0.15">
      <c r="C91" s="8" t="s">
        <v>1093</v>
      </c>
      <c r="D91" s="1">
        <v>3050501</v>
      </c>
      <c r="E91" s="1">
        <v>280</v>
      </c>
      <c r="F91" s="1" t="str">
        <f t="shared" si="3"/>
        <v>3050501:280</v>
      </c>
      <c r="G91" s="1" t="s">
        <v>1189</v>
      </c>
      <c r="H91" s="2" t="str">
        <f t="shared" si="4"/>
        <v>3050501:280_3050000:1</v>
      </c>
      <c r="J91" s="1" t="s">
        <v>1213</v>
      </c>
      <c r="K91" s="1" t="s">
        <v>1189</v>
      </c>
    </row>
    <row r="92" spans="3:11" x14ac:dyDescent="0.15">
      <c r="C92" s="8" t="s">
        <v>1093</v>
      </c>
      <c r="D92" s="1">
        <v>3050501</v>
      </c>
      <c r="E92" s="1">
        <v>410</v>
      </c>
      <c r="F92" s="1" t="str">
        <f t="shared" si="3"/>
        <v>3050501:410</v>
      </c>
      <c r="G92" s="1" t="s">
        <v>1189</v>
      </c>
      <c r="H92" s="2" t="str">
        <f t="shared" si="4"/>
        <v>3050501:410_3050000:1</v>
      </c>
      <c r="J92" s="1" t="s">
        <v>1214</v>
      </c>
      <c r="K92" s="1" t="s">
        <v>1189</v>
      </c>
    </row>
    <row r="93" spans="3:11" x14ac:dyDescent="0.15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1215</v>
      </c>
      <c r="H93" s="2" t="str">
        <f t="shared" si="4"/>
        <v>3060001:3000_3060000:1</v>
      </c>
      <c r="J93" s="1" t="s">
        <v>1216</v>
      </c>
      <c r="K93" s="1" t="s">
        <v>1215</v>
      </c>
    </row>
    <row r="94" spans="3:11" x14ac:dyDescent="0.15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1215</v>
      </c>
      <c r="H94" s="2" t="str">
        <f t="shared" si="4"/>
        <v>3060001:5000_3060000:1</v>
      </c>
      <c r="J94" s="1" t="s">
        <v>1217</v>
      </c>
      <c r="K94" s="1" t="s">
        <v>1215</v>
      </c>
    </row>
    <row r="95" spans="3:11" x14ac:dyDescent="0.15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1215</v>
      </c>
      <c r="H95" s="2" t="str">
        <f t="shared" si="4"/>
        <v>3060001:7000_3060000:1</v>
      </c>
      <c r="J95" s="1" t="s">
        <v>1218</v>
      </c>
      <c r="K95" s="1" t="s">
        <v>1215</v>
      </c>
    </row>
    <row r="96" spans="3:11" x14ac:dyDescent="0.15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1215</v>
      </c>
      <c r="H96" s="2" t="str">
        <f t="shared" si="4"/>
        <v>3060001:10000_3060000:1</v>
      </c>
      <c r="J96" s="1" t="s">
        <v>1219</v>
      </c>
      <c r="K96" s="1" t="s">
        <v>1215</v>
      </c>
    </row>
    <row r="97" spans="3:11" x14ac:dyDescent="0.15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1215</v>
      </c>
      <c r="H97" s="2" t="str">
        <f t="shared" si="4"/>
        <v>3060001:15000_3060000:1</v>
      </c>
      <c r="J97" s="1" t="s">
        <v>1220</v>
      </c>
      <c r="K97" s="1" t="s">
        <v>1215</v>
      </c>
    </row>
    <row r="98" spans="3:11" x14ac:dyDescent="0.15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1215</v>
      </c>
      <c r="H98" s="2" t="str">
        <f t="shared" si="4"/>
        <v>3060101:80_3060000:1</v>
      </c>
      <c r="J98" s="1" t="s">
        <v>1221</v>
      </c>
      <c r="K98" s="1" t="s">
        <v>1215</v>
      </c>
    </row>
    <row r="99" spans="3:11" x14ac:dyDescent="0.15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1215</v>
      </c>
      <c r="H99" s="2" t="str">
        <f t="shared" si="4"/>
        <v>3060101:140_3060000:1</v>
      </c>
      <c r="J99" s="1" t="s">
        <v>1222</v>
      </c>
      <c r="K99" s="1" t="s">
        <v>1215</v>
      </c>
    </row>
    <row r="100" spans="3:11" x14ac:dyDescent="0.15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1215</v>
      </c>
      <c r="H100" s="2" t="str">
        <f t="shared" si="4"/>
        <v>3060101:190_3060000:1</v>
      </c>
      <c r="J100" s="1" t="s">
        <v>1223</v>
      </c>
      <c r="K100" s="1" t="s">
        <v>1215</v>
      </c>
    </row>
    <row r="101" spans="3:11" x14ac:dyDescent="0.15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1215</v>
      </c>
      <c r="H101" s="2" t="str">
        <f t="shared" si="4"/>
        <v>3060101:280_3060000:1</v>
      </c>
      <c r="J101" s="1" t="s">
        <v>1224</v>
      </c>
      <c r="K101" s="1" t="s">
        <v>1215</v>
      </c>
    </row>
    <row r="102" spans="3:11" x14ac:dyDescent="0.15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1215</v>
      </c>
      <c r="H102" s="2" t="str">
        <f t="shared" si="4"/>
        <v>3060101:410_3060000:1</v>
      </c>
      <c r="J102" s="1" t="s">
        <v>1225</v>
      </c>
      <c r="K102" s="1" t="s">
        <v>1215</v>
      </c>
    </row>
    <row r="103" spans="3:11" x14ac:dyDescent="0.15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1226</v>
      </c>
    </row>
    <row r="104" spans="3:11" x14ac:dyDescent="0.15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1227</v>
      </c>
    </row>
    <row r="105" spans="3:11" x14ac:dyDescent="0.15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1228</v>
      </c>
    </row>
    <row r="106" spans="3:11" x14ac:dyDescent="0.15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1229</v>
      </c>
    </row>
    <row r="107" spans="3:11" x14ac:dyDescent="0.15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1230</v>
      </c>
    </row>
    <row r="108" spans="3:11" x14ac:dyDescent="0.15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1231</v>
      </c>
    </row>
    <row r="109" spans="3:11" x14ac:dyDescent="0.15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1232</v>
      </c>
    </row>
    <row r="110" spans="3:11" x14ac:dyDescent="0.15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1233</v>
      </c>
    </row>
    <row r="111" spans="3:11" x14ac:dyDescent="0.15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1234</v>
      </c>
    </row>
    <row r="112" spans="3:11" x14ac:dyDescent="0.15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1235</v>
      </c>
    </row>
    <row r="113" spans="3:11" x14ac:dyDescent="0.15">
      <c r="C113" s="8" t="s">
        <v>1094</v>
      </c>
      <c r="D113" s="1">
        <v>3060501</v>
      </c>
      <c r="E113" s="1">
        <v>80</v>
      </c>
      <c r="F113" s="1" t="str">
        <f t="shared" si="3"/>
        <v>3060501:80</v>
      </c>
      <c r="G113" s="1" t="s">
        <v>1215</v>
      </c>
      <c r="H113" s="2" t="str">
        <f t="shared" si="4"/>
        <v>3060501:80_3060000:1</v>
      </c>
      <c r="J113" s="1" t="s">
        <v>1236</v>
      </c>
      <c r="K113" s="1" t="s">
        <v>1215</v>
      </c>
    </row>
    <row r="114" spans="3:11" x14ac:dyDescent="0.15">
      <c r="C114" s="8" t="s">
        <v>1094</v>
      </c>
      <c r="D114" s="1">
        <v>3060501</v>
      </c>
      <c r="E114" s="1">
        <v>140</v>
      </c>
      <c r="F114" s="1" t="str">
        <f t="shared" si="3"/>
        <v>3060501:140</v>
      </c>
      <c r="G114" s="1" t="s">
        <v>1215</v>
      </c>
      <c r="H114" s="2" t="str">
        <f t="shared" si="4"/>
        <v>3060501:140_3060000:1</v>
      </c>
      <c r="J114" s="1" t="s">
        <v>1237</v>
      </c>
      <c r="K114" s="1" t="s">
        <v>1215</v>
      </c>
    </row>
    <row r="115" spans="3:11" x14ac:dyDescent="0.15">
      <c r="C115" s="8" t="s">
        <v>1094</v>
      </c>
      <c r="D115" s="1">
        <v>3060501</v>
      </c>
      <c r="E115" s="1">
        <v>190</v>
      </c>
      <c r="F115" s="1" t="str">
        <f t="shared" si="3"/>
        <v>3060501:190</v>
      </c>
      <c r="G115" s="1" t="s">
        <v>1215</v>
      </c>
      <c r="H115" s="2" t="str">
        <f t="shared" si="4"/>
        <v>3060501:190_3060000:1</v>
      </c>
      <c r="J115" s="1" t="s">
        <v>1238</v>
      </c>
      <c r="K115" s="1" t="s">
        <v>1215</v>
      </c>
    </row>
    <row r="116" spans="3:11" x14ac:dyDescent="0.15">
      <c r="C116" s="8" t="s">
        <v>1094</v>
      </c>
      <c r="D116" s="1">
        <v>3060501</v>
      </c>
      <c r="E116" s="1">
        <v>280</v>
      </c>
      <c r="F116" s="1" t="str">
        <f t="shared" si="3"/>
        <v>3060501:280</v>
      </c>
      <c r="G116" s="1" t="s">
        <v>1215</v>
      </c>
      <c r="H116" s="2" t="str">
        <f t="shared" si="4"/>
        <v>3060501:280_3060000:1</v>
      </c>
      <c r="J116" s="1" t="s">
        <v>1239</v>
      </c>
      <c r="K116" s="1" t="s">
        <v>1215</v>
      </c>
    </row>
    <row r="117" spans="3:11" x14ac:dyDescent="0.15">
      <c r="C117" s="8" t="s">
        <v>1094</v>
      </c>
      <c r="D117" s="1">
        <v>3060501</v>
      </c>
      <c r="E117" s="1">
        <v>410</v>
      </c>
      <c r="F117" s="1" t="str">
        <f t="shared" si="3"/>
        <v>3060501:410</v>
      </c>
      <c r="G117" s="1" t="s">
        <v>1215</v>
      </c>
      <c r="H117" s="2" t="str">
        <f t="shared" si="4"/>
        <v>3060501:410_3060000:1</v>
      </c>
      <c r="J117" s="1" t="s">
        <v>1240</v>
      </c>
      <c r="K117" s="1" t="s">
        <v>1215</v>
      </c>
    </row>
    <row r="118" spans="3:11" x14ac:dyDescent="0.15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1241</v>
      </c>
      <c r="H118" s="2" t="str">
        <f t="shared" si="4"/>
        <v>3070001:3000_3070000:1</v>
      </c>
      <c r="J118" s="1" t="s">
        <v>1242</v>
      </c>
      <c r="K118" s="1" t="s">
        <v>1241</v>
      </c>
    </row>
    <row r="119" spans="3:11" x14ac:dyDescent="0.15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1241</v>
      </c>
      <c r="H119" s="2" t="str">
        <f t="shared" si="4"/>
        <v>3070001:5000_3070000:1</v>
      </c>
      <c r="J119" s="1" t="s">
        <v>1243</v>
      </c>
      <c r="K119" s="1" t="s">
        <v>1241</v>
      </c>
    </row>
    <row r="120" spans="3:11" x14ac:dyDescent="0.15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1241</v>
      </c>
      <c r="H120" s="2" t="str">
        <f t="shared" si="4"/>
        <v>3070001:7000_3070000:1</v>
      </c>
      <c r="J120" s="1" t="s">
        <v>1244</v>
      </c>
      <c r="K120" s="1" t="s">
        <v>1241</v>
      </c>
    </row>
    <row r="121" spans="3:11" x14ac:dyDescent="0.15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1241</v>
      </c>
      <c r="H121" s="2" t="str">
        <f t="shared" si="4"/>
        <v>3070001:10000_3070000:1</v>
      </c>
      <c r="J121" s="1" t="s">
        <v>1245</v>
      </c>
      <c r="K121" s="1" t="s">
        <v>1241</v>
      </c>
    </row>
    <row r="122" spans="3:11" x14ac:dyDescent="0.15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1241</v>
      </c>
      <c r="H122" s="2" t="str">
        <f t="shared" si="4"/>
        <v>3070001:15000_3070000:1</v>
      </c>
      <c r="J122" s="1" t="s">
        <v>1246</v>
      </c>
      <c r="K122" s="1" t="s">
        <v>1241</v>
      </c>
    </row>
    <row r="123" spans="3:11" x14ac:dyDescent="0.15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1241</v>
      </c>
      <c r="H123" s="2" t="str">
        <f t="shared" si="4"/>
        <v>3070101:80_3070000:1</v>
      </c>
      <c r="J123" s="1" t="s">
        <v>1247</v>
      </c>
      <c r="K123" s="1" t="s">
        <v>1241</v>
      </c>
    </row>
    <row r="124" spans="3:11" x14ac:dyDescent="0.15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1241</v>
      </c>
      <c r="H124" s="2" t="str">
        <f t="shared" si="4"/>
        <v>3070101:140_3070000:1</v>
      </c>
      <c r="J124" s="1" t="s">
        <v>1248</v>
      </c>
      <c r="K124" s="1" t="s">
        <v>1241</v>
      </c>
    </row>
    <row r="125" spans="3:11" x14ac:dyDescent="0.15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1241</v>
      </c>
      <c r="H125" s="2" t="str">
        <f t="shared" si="4"/>
        <v>3070101:190_3070000:1</v>
      </c>
      <c r="J125" s="1" t="s">
        <v>1249</v>
      </c>
      <c r="K125" s="1" t="s">
        <v>1241</v>
      </c>
    </row>
    <row r="126" spans="3:11" x14ac:dyDescent="0.15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1241</v>
      </c>
      <c r="H126" s="2" t="str">
        <f t="shared" si="4"/>
        <v>3070101:280_3070000:1</v>
      </c>
      <c r="J126" s="1" t="s">
        <v>1250</v>
      </c>
      <c r="K126" s="1" t="s">
        <v>1241</v>
      </c>
    </row>
    <row r="127" spans="3:11" x14ac:dyDescent="0.15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1241</v>
      </c>
      <c r="H127" s="2" t="str">
        <f t="shared" si="4"/>
        <v>3070101:410_3070000:1</v>
      </c>
      <c r="J127" s="1" t="s">
        <v>1251</v>
      </c>
      <c r="K127" s="1" t="s">
        <v>1241</v>
      </c>
    </row>
    <row r="128" spans="3:11" x14ac:dyDescent="0.15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1252</v>
      </c>
    </row>
    <row r="129" spans="3:11" x14ac:dyDescent="0.15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1253</v>
      </c>
    </row>
    <row r="130" spans="3:11" x14ac:dyDescent="0.15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1254</v>
      </c>
    </row>
    <row r="131" spans="3:11" x14ac:dyDescent="0.15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1255</v>
      </c>
    </row>
    <row r="132" spans="3:11" x14ac:dyDescent="0.15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1256</v>
      </c>
    </row>
    <row r="133" spans="3:11" x14ac:dyDescent="0.15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1257</v>
      </c>
    </row>
    <row r="134" spans="3:11" x14ac:dyDescent="0.15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1258</v>
      </c>
    </row>
    <row r="135" spans="3:11" x14ac:dyDescent="0.15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1259</v>
      </c>
    </row>
    <row r="136" spans="3:11" x14ac:dyDescent="0.15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1260</v>
      </c>
    </row>
    <row r="137" spans="3:11" x14ac:dyDescent="0.15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1261</v>
      </c>
    </row>
    <row r="138" spans="3:11" x14ac:dyDescent="0.15">
      <c r="C138" s="8" t="s">
        <v>1095</v>
      </c>
      <c r="D138" s="1">
        <v>3070501</v>
      </c>
      <c r="E138" s="1">
        <v>80</v>
      </c>
      <c r="F138" s="1" t="str">
        <f t="shared" si="5"/>
        <v>3070501:80</v>
      </c>
      <c r="G138" s="1" t="s">
        <v>1241</v>
      </c>
      <c r="H138" s="2" t="str">
        <f t="shared" si="6"/>
        <v>3070501:80_3070000:1</v>
      </c>
      <c r="J138" s="1" t="s">
        <v>1262</v>
      </c>
      <c r="K138" s="1" t="s">
        <v>1241</v>
      </c>
    </row>
    <row r="139" spans="3:11" x14ac:dyDescent="0.15">
      <c r="C139" s="8" t="s">
        <v>1095</v>
      </c>
      <c r="D139" s="1">
        <v>3070501</v>
      </c>
      <c r="E139" s="1">
        <v>140</v>
      </c>
      <c r="F139" s="1" t="str">
        <f t="shared" si="5"/>
        <v>3070501:140</v>
      </c>
      <c r="G139" s="1" t="s">
        <v>1241</v>
      </c>
      <c r="H139" s="2" t="str">
        <f t="shared" si="6"/>
        <v>3070501:140_3070000:1</v>
      </c>
      <c r="J139" s="1" t="s">
        <v>1263</v>
      </c>
      <c r="K139" s="1" t="s">
        <v>1241</v>
      </c>
    </row>
    <row r="140" spans="3:11" x14ac:dyDescent="0.15">
      <c r="C140" s="8" t="s">
        <v>1095</v>
      </c>
      <c r="D140" s="1">
        <v>3070501</v>
      </c>
      <c r="E140" s="1">
        <v>190</v>
      </c>
      <c r="F140" s="1" t="str">
        <f t="shared" si="5"/>
        <v>3070501:190</v>
      </c>
      <c r="G140" s="1" t="s">
        <v>1241</v>
      </c>
      <c r="H140" s="2" t="str">
        <f t="shared" si="6"/>
        <v>3070501:190_3070000:1</v>
      </c>
      <c r="J140" s="1" t="s">
        <v>1264</v>
      </c>
      <c r="K140" s="1" t="s">
        <v>1241</v>
      </c>
    </row>
    <row r="141" spans="3:11" x14ac:dyDescent="0.15">
      <c r="C141" s="8" t="s">
        <v>1095</v>
      </c>
      <c r="D141" s="1">
        <v>3070501</v>
      </c>
      <c r="E141" s="1">
        <v>280</v>
      </c>
      <c r="F141" s="1" t="str">
        <f t="shared" si="5"/>
        <v>3070501:280</v>
      </c>
      <c r="G141" s="1" t="s">
        <v>1241</v>
      </c>
      <c r="H141" s="2" t="str">
        <f t="shared" si="6"/>
        <v>3070501:280_3070000:1</v>
      </c>
      <c r="J141" s="1" t="s">
        <v>1265</v>
      </c>
      <c r="K141" s="1" t="s">
        <v>1241</v>
      </c>
    </row>
    <row r="142" spans="3:11" x14ac:dyDescent="0.15">
      <c r="C142" s="8" t="s">
        <v>1095</v>
      </c>
      <c r="D142" s="1">
        <v>3070501</v>
      </c>
      <c r="E142" s="1">
        <v>410</v>
      </c>
      <c r="F142" s="1" t="str">
        <f t="shared" si="5"/>
        <v>3070501:410</v>
      </c>
      <c r="G142" s="1" t="s">
        <v>1241</v>
      </c>
      <c r="H142" s="2" t="str">
        <f t="shared" si="6"/>
        <v>3070501:410_3070000:1</v>
      </c>
      <c r="J142" s="1" t="s">
        <v>1266</v>
      </c>
      <c r="K142" s="1" t="s">
        <v>1241</v>
      </c>
    </row>
    <row r="143" spans="3:11" x14ac:dyDescent="0.15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1267</v>
      </c>
      <c r="H143" s="2" t="str">
        <f t="shared" si="6"/>
        <v>3080001:3000_3080000:1</v>
      </c>
      <c r="J143" s="1" t="s">
        <v>1268</v>
      </c>
      <c r="K143" s="1" t="s">
        <v>1267</v>
      </c>
    </row>
    <row r="144" spans="3:11" x14ac:dyDescent="0.15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1267</v>
      </c>
      <c r="H144" s="2" t="str">
        <f t="shared" si="6"/>
        <v>3080001:5000_3080000:1</v>
      </c>
      <c r="J144" s="1" t="s">
        <v>1269</v>
      </c>
      <c r="K144" s="1" t="s">
        <v>1267</v>
      </c>
    </row>
    <row r="145" spans="3:11" x14ac:dyDescent="0.15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1267</v>
      </c>
      <c r="H145" s="2" t="str">
        <f t="shared" si="6"/>
        <v>3080001:7000_3080000:1</v>
      </c>
      <c r="J145" s="1" t="s">
        <v>1270</v>
      </c>
      <c r="K145" s="1" t="s">
        <v>1267</v>
      </c>
    </row>
    <row r="146" spans="3:11" x14ac:dyDescent="0.15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1267</v>
      </c>
      <c r="H146" s="2" t="str">
        <f t="shared" si="6"/>
        <v>3080001:10000_3080000:1</v>
      </c>
      <c r="J146" s="1" t="s">
        <v>1271</v>
      </c>
      <c r="K146" s="1" t="s">
        <v>1267</v>
      </c>
    </row>
    <row r="147" spans="3:11" x14ac:dyDescent="0.15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1267</v>
      </c>
      <c r="H147" s="2" t="str">
        <f t="shared" si="6"/>
        <v>3080001:15000_3080000:1</v>
      </c>
      <c r="J147" s="1" t="s">
        <v>1272</v>
      </c>
      <c r="K147" s="1" t="s">
        <v>1267</v>
      </c>
    </row>
    <row r="148" spans="3:11" x14ac:dyDescent="0.15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1267</v>
      </c>
      <c r="H148" s="2" t="str">
        <f t="shared" si="6"/>
        <v>3080101:80_3080000:1</v>
      </c>
      <c r="J148" s="1" t="s">
        <v>1273</v>
      </c>
      <c r="K148" s="1" t="s">
        <v>1267</v>
      </c>
    </row>
    <row r="149" spans="3:11" x14ac:dyDescent="0.15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1267</v>
      </c>
      <c r="H149" s="2" t="str">
        <f t="shared" si="6"/>
        <v>3080101:140_3080000:1</v>
      </c>
      <c r="J149" s="1" t="s">
        <v>1274</v>
      </c>
      <c r="K149" s="1" t="s">
        <v>1267</v>
      </c>
    </row>
    <row r="150" spans="3:11" x14ac:dyDescent="0.15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1267</v>
      </c>
      <c r="H150" s="2" t="str">
        <f t="shared" si="6"/>
        <v>3080101:190_3080000:1</v>
      </c>
      <c r="J150" s="1" t="s">
        <v>1275</v>
      </c>
      <c r="K150" s="1" t="s">
        <v>1267</v>
      </c>
    </row>
    <row r="151" spans="3:11" x14ac:dyDescent="0.15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1267</v>
      </c>
      <c r="H151" s="2" t="str">
        <f t="shared" si="6"/>
        <v>3080101:280_3080000:1</v>
      </c>
      <c r="J151" s="1" t="s">
        <v>1276</v>
      </c>
      <c r="K151" s="1" t="s">
        <v>1267</v>
      </c>
    </row>
    <row r="152" spans="3:11" x14ac:dyDescent="0.15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1267</v>
      </c>
      <c r="H152" s="2" t="str">
        <f t="shared" si="6"/>
        <v>3080101:410_3080000:1</v>
      </c>
      <c r="J152" s="1" t="s">
        <v>1277</v>
      </c>
      <c r="K152" s="1" t="s">
        <v>1267</v>
      </c>
    </row>
    <row r="153" spans="3:11" x14ac:dyDescent="0.15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1278</v>
      </c>
    </row>
    <row r="154" spans="3:11" x14ac:dyDescent="0.15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1279</v>
      </c>
    </row>
    <row r="155" spans="3:11" x14ac:dyDescent="0.15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1280</v>
      </c>
    </row>
    <row r="156" spans="3:11" x14ac:dyDescent="0.15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1281</v>
      </c>
    </row>
    <row r="157" spans="3:11" x14ac:dyDescent="0.15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1282</v>
      </c>
    </row>
    <row r="158" spans="3:11" x14ac:dyDescent="0.15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1283</v>
      </c>
    </row>
    <row r="159" spans="3:11" x14ac:dyDescent="0.15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1284</v>
      </c>
    </row>
    <row r="160" spans="3:11" x14ac:dyDescent="0.15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1285</v>
      </c>
    </row>
    <row r="161" spans="3:11" x14ac:dyDescent="0.15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1286</v>
      </c>
    </row>
    <row r="162" spans="3:11" x14ac:dyDescent="0.15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1287</v>
      </c>
    </row>
    <row r="163" spans="3:11" x14ac:dyDescent="0.15">
      <c r="C163" s="8" t="s">
        <v>1096</v>
      </c>
      <c r="D163" s="1">
        <v>3080501</v>
      </c>
      <c r="E163" s="1">
        <v>80</v>
      </c>
      <c r="F163" s="1" t="str">
        <f t="shared" si="5"/>
        <v>3080501:80</v>
      </c>
      <c r="G163" s="1" t="s">
        <v>1267</v>
      </c>
      <c r="H163" s="2" t="str">
        <f t="shared" si="6"/>
        <v>3080501:80_3080000:1</v>
      </c>
      <c r="J163" s="1" t="s">
        <v>1288</v>
      </c>
      <c r="K163" s="1" t="s">
        <v>1267</v>
      </c>
    </row>
    <row r="164" spans="3:11" x14ac:dyDescent="0.15">
      <c r="C164" s="8" t="s">
        <v>1096</v>
      </c>
      <c r="D164" s="1">
        <v>3080501</v>
      </c>
      <c r="E164" s="1">
        <v>140</v>
      </c>
      <c r="F164" s="1" t="str">
        <f t="shared" si="5"/>
        <v>3080501:140</v>
      </c>
      <c r="G164" s="1" t="s">
        <v>1267</v>
      </c>
      <c r="H164" s="2" t="str">
        <f t="shared" si="6"/>
        <v>3080501:140_3080000:1</v>
      </c>
      <c r="J164" s="1" t="s">
        <v>1289</v>
      </c>
      <c r="K164" s="1" t="s">
        <v>1267</v>
      </c>
    </row>
    <row r="165" spans="3:11" x14ac:dyDescent="0.15">
      <c r="C165" s="8" t="s">
        <v>1096</v>
      </c>
      <c r="D165" s="1">
        <v>3080501</v>
      </c>
      <c r="E165" s="1">
        <v>190</v>
      </c>
      <c r="F165" s="1" t="str">
        <f t="shared" si="5"/>
        <v>3080501:190</v>
      </c>
      <c r="G165" s="1" t="s">
        <v>1267</v>
      </c>
      <c r="H165" s="2" t="str">
        <f t="shared" si="6"/>
        <v>3080501:190_3080000:1</v>
      </c>
      <c r="J165" s="1" t="s">
        <v>1290</v>
      </c>
      <c r="K165" s="1" t="s">
        <v>1267</v>
      </c>
    </row>
    <row r="166" spans="3:11" x14ac:dyDescent="0.15">
      <c r="C166" s="8" t="s">
        <v>1096</v>
      </c>
      <c r="D166" s="1">
        <v>3080501</v>
      </c>
      <c r="E166" s="1">
        <v>280</v>
      </c>
      <c r="F166" s="1" t="str">
        <f t="shared" si="5"/>
        <v>3080501:280</v>
      </c>
      <c r="G166" s="1" t="s">
        <v>1267</v>
      </c>
      <c r="H166" s="2" t="str">
        <f t="shared" si="6"/>
        <v>3080501:280_3080000:1</v>
      </c>
      <c r="J166" s="1" t="s">
        <v>1291</v>
      </c>
      <c r="K166" s="1" t="s">
        <v>1267</v>
      </c>
    </row>
    <row r="167" spans="3:11" x14ac:dyDescent="0.15">
      <c r="C167" s="8" t="s">
        <v>1096</v>
      </c>
      <c r="D167" s="1">
        <v>3080501</v>
      </c>
      <c r="E167" s="1">
        <v>410</v>
      </c>
      <c r="F167" s="1" t="str">
        <f t="shared" si="5"/>
        <v>3080501:410</v>
      </c>
      <c r="G167" s="1" t="s">
        <v>1267</v>
      </c>
      <c r="H167" s="2" t="str">
        <f t="shared" si="6"/>
        <v>3080501:410_3080000:1</v>
      </c>
      <c r="J167" s="1" t="s">
        <v>1292</v>
      </c>
      <c r="K167" s="1" t="s">
        <v>1267</v>
      </c>
    </row>
    <row r="168" spans="3:11" x14ac:dyDescent="0.15">
      <c r="C168" s="1" t="s">
        <v>445</v>
      </c>
    </row>
    <row r="169" spans="3:11" x14ac:dyDescent="0.15">
      <c r="C169" s="1" t="s">
        <v>448</v>
      </c>
    </row>
    <row r="170" spans="3:11" x14ac:dyDescent="0.15">
      <c r="C170" s="1" t="s">
        <v>1293</v>
      </c>
    </row>
    <row r="171" spans="3:11" x14ac:dyDescent="0.15">
      <c r="C171" s="1" t="s">
        <v>454</v>
      </c>
    </row>
    <row r="172" spans="3:11" x14ac:dyDescent="0.15">
      <c r="C172" s="1" t="s">
        <v>457</v>
      </c>
    </row>
    <row r="173" spans="3:11" x14ac:dyDescent="0.15">
      <c r="C173" s="1" t="s">
        <v>460</v>
      </c>
    </row>
    <row r="174" spans="3:11" x14ac:dyDescent="0.15">
      <c r="C174" s="1" t="s">
        <v>463</v>
      </c>
    </row>
    <row r="175" spans="3:11" x14ac:dyDescent="0.15">
      <c r="C175" s="1" t="s">
        <v>466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2025-08-14T06:31:59Z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