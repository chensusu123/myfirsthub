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<sst xmlns="http://schemas.openxmlformats.org/spreadsheetml/2006/main" count="2318" uniqueCount="1135">
  <si>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</si>
  <si>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</si>
  <si>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</si>
  <si>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</si>
  <si>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</si>
  <si>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</si>
  <si>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</si>
  <si>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</si>
  <si>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</si>
  <si>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</si>
  <si>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</si>
  <si>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</si>
  <si>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</si>
  <si>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</si>
  <si>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</si>
  <si>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</si>
  <si>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</si>
  <si>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</si>
  <si>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</si>
  <si>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</si>
  <si>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</si>
  <si>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</si>
  <si>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</si>
  <si>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</si>
  <si>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</si>
  <si>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</si>
  <si>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</si>
  <si>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</si>
  <si>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</si>
  <si>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</si>
  <si>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</si>
  <si>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</si>
  <si>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</si>
  <si>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</si>
  <si>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</si>
  <si>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</si>
  <si>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</si>
  <si>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</si>
  <si>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</si>
  <si>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</si>
  <si>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</si>
  <si>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</si>
  <si>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</si>
  <si>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</si>
  <si>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</si>
  <si>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</si>
  <si>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</si>
  <si>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</si>
  <si>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</si>
  <si>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</si>
  <si>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</si>
  <si>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</si>
  <si>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</si>
  <si>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</si>
  <si>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</si>
  <si>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</si>
  <si>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</si>
  <si>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</si>
  <si>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</si>
  <si>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</si>
  <si>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</si>
  <si>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</si>
  <si>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</si>
  <si>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</si>
  <si>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</si>
  <si>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</si>
  <si>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</si>
  <si>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</si>
  <si>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</si>
  <si>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</si>
  <si>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</si>
  <si>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</si>
  <si>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</si>
  <si>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</si>
  <si>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</si>
  <si>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</si>
  <si>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</si>
  <si>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</si>
  <si>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</si>
  <si>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</si>
  <si>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</si>
  <si>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</si>
  <si>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</si>
  <si>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</si>
  <si>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</si>
  <si>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</si>
  <si>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</si>
  <si>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</si>
  <si>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</si>
  <si>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</si>
  <si>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</si>
  <si>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</si>
  <si>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</si>
  <si>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</si>
  <si>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</si>
  <si>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</si>
  <si>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</si>
  <si>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</si>
  <si>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</si>
  <si>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</si>
  <si>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</si>
  <si>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</si>
  <si>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</si>
  <si>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</si>
  <si>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</si>
  <si>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</si>
  <si>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</si>
  <si>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</si>
  <si>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</si>
  <si>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</si>
  <si>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</si>
  <si>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</si>
  <si>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</si>
  <si>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</si>
  <si>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</si>
  <si>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</si>
  <si>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</si>
  <si>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</si>
  <si>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</si>
  <si>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</si>
  <si>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</si>
  <si>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</si>
  <si>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</si>
  <si>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</si>
  <si>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</si>
  <si>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</si>
  <si>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</si>
  <si>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</si>
  <si>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</si>
  <si>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</si>
  <si>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</si>
  <si>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</si>
  <si>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</si>
  <si>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</si>
  <si>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</si>
  <si>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</si>
  <si>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</si>
  <si>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</si>
  <si>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</si>
  <si>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</si>
  <si>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</si>
  <si>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</si>
  <si>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</si>
  <si>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</si>
  <si>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</si>
  <si>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</si>
  <si>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</si>
  <si>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</si>
  <si>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</si>
  <si>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</si>
  <si>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</si>
  <si>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</si>
  <si>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</si>
  <si>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</si>
  <si>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</si>
  <si>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</si>
  <si>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</si>
  <si>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</si>
  <si>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</si>
  <si>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</si>
  <si>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</si>
  <si>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</si>
  <si>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</si>
  <si>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</si>
  <si>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</si>
  <si>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</si>
  <si>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</si>
  <si>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</si>
  <si>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</si>
  <si>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</si>
  <si>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</si>
  <si>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</si>
  <si>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</si>
  <si>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</si>
  <si>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</si>
  <si>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</si>
  <si>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</si>
  <si>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</si>
  <si>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</si>
  <si>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</si>
  <si>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</si>
  <si>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</si>
  <si>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</si>
  <si>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</si>
  <si>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</si>
  <si>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</si>
  <si>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</si>
  <si>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</si>
  <si>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</si>
  <si>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</si>
  <si>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</si>
  <si>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</si>
  <si>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</si>
  <si>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</si>
  <si>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</si>
  <si>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</si>
  <si>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</si>
  <si>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</si>
  <si>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</si>
  <si>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</si>
  <si>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</si>
  <si>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</si>
  <si>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</si>
  <si>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</si>
  <si>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</si>
  <si>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</si>
  <si>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</si>
  <si>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</si>
  <si>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</si>
  <si>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</si>
  <si>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</si>
  <si>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</si>
  <si>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</si>
  <si>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</si>
  <si>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</si>
  <si>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</si>
  <si>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</si>
  <si>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</si>
  <si>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</si>
  <si>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</si>
  <si>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</si>
  <si>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</si>
  <si>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</si>
  <si>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</si>
  <si>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</si>
  <si>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</si>
  <si>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</si>
  <si>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</si>
  <si>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</si>
  <si>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</si>
  <si>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</si>
  <si>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</si>
  <si>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</si>
  <si>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</si>
  <si>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</si>
  <si>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</si>
  <si>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</si>
  <si>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</si>
  <si>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</si>
  <si>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</si>
  <si>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</si>
  <si>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</si>
  <si>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</si>
  <si>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</si>
  <si>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</si>
  <si>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</si>
  <si>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</si>
  <si>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</si>
  <si>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</si>
  <si>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</si>
  <si>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</si>
  <si>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</si>
  <si>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</si>
  <si>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</si>
  <si>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</si>
  <si>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</si>
  <si>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</si>
  <si>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</si>
  <si>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</si>
  <si>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</si>
  <si>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</si>
  <si>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</si>
  <si>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</si>
  <si>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</si>
  <si>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</si>
  <si>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</si>
  <si>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</si>
  <si>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</si>
  <si>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</si>
  <si>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</si>
  <si>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</si>
  <si>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</si>
  <si>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</si>
  <si>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</si>
  <si>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</si>
  <si>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</si>
  <si>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</si>
  <si>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</si>
  <si>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</si>
  <si>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</si>
  <si>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</si>
  <si>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</si>
  <si>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</si>
  <si>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</si>
  <si>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</si>
  <si>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</si>
  <si>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</si>
  <si>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</si>
  <si>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</si>
  <si>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</si>
  <si>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</si>
  <si>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</si>
  <si>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</si>
  <si>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</si>
  <si>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</si>
  <si>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</si>
  <si>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</si>
  <si>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</si>
  <si>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</si>
  <si>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</si>
  <si>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</si>
  <si>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</si>
  <si>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</si>
  <si>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</si>
  <si>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</si>
  <si>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</si>
  <si>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</si>
  <si>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</si>
  <si>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</si>
  <si>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</si>
  <si>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</si>
  <si>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</si>
  <si>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</si>
  <si>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</si>
  <si>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</si>
  <si>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</si>
  <si>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</si>
  <si>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</si>
  <si>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</si>
  <si>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</si>
  <si>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</si>
  <si>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</si>
  <si>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</si>
  <si>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</si>
  <si>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</si>
  <si>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</si>
  <si>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</si>
  <si>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</si>
  <si>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</si>
  <si>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</si>
  <si>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</si>
  <si>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</si>
  <si>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</si>
  <si>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</si>
  <si>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</si>
  <si>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</si>
  <si>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</si>
  <si>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</si>
  <si>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</si>
  <si>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</si>
  <si>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</si>
  <si>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</si>
  <si>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</si>
  <si>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</si>
  <si>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</si>
  <si>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</si>
  <si>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</si>
  <si>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</si>
  <si>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</si>
  <si>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</si>
  <si>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</si>
  <si>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</si>
  <si>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</si>
  <si>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</si>
  <si>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</si>
  <si>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</si>
  <si>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</si>
  <si>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</si>
  <si>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</si>
  <si>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</si>
  <si>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</si>
  <si>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</si>
  <si>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</si>
  <si>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</si>
  <si>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</si>
  <si>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</si>
  <si>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</si>
  <si>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</si>
  <si>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</si>
  <si>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</si>
  <si>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</si>
  <si>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</si>
  <si>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</si>
  <si>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</si>
  <si>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</si>
  <si>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</si>
  <si>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</si>
  <si>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</si>
  <si>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</si>
  <si>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</si>
  <si>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</si>
  <si>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</si>
  <si>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</si>
  <si>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</si>
  <si>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</si>
  <si>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</si>
  <si>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</si>
  <si>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</si>
  <si>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</si>
  <si>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</si>
  <si>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</si>
  <si>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</si>
  <si>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</si>
  <si>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</si>
  <si>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</si>
  <si>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</si>
  <si>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</si>
  <si>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</si>
  <si>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</si>
  <si>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</si>
  <si>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</si>
  <si>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</si>
  <si>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</si>
  <si>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</si>
  <si>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</si>
  <si>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</si>
  <si>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</si>
  <si>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</si>
  <si>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</si>
  <si>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</si>
  <si>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</si>
  <si>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</si>
  <si>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</si>
  <si>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</si>
  <si>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</si>
  <si>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</si>
  <si>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</si>
  <si>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</si>
  <si>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</si>
  <si>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</si>
  <si>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</si>
  <si>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</si>
  <si>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</si>
  <si>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</si>
  <si>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</si>
  <si>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</si>
  <si>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</si>
  <si>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</si>
  <si>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</si>
  <si>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</si>
  <si>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</si>
  <si>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</si>
  <si>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</si>
  <si>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</si>
  <si>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</si>
  <si>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</si>
  <si>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</si>
  <si>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</si>
  <si>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</si>
  <si>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</si>
  <si>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</si>
  <si>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</si>
  <si>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</si>
  <si>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</si>
  <si>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</si>
  <si>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</si>
  <si>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</si>
  <si>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</si>
  <si>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</si>
  <si>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</si>
  <si>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</si>
  <si>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</si>
  <si>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</si>
  <si>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</si>
  <si>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</si>
  <si>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</si>
  <si>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</si>
  <si>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</si>
  <si>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</si>
  <si>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</si>
  <si>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</si>
  <si>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</si>
  <si>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</si>
  <si>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</si>
  <si>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</si>
  <si>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</si>
  <si>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</si>
  <si>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</si>
  <si>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</si>
  <si>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</si>
  <si>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</si>
  <si>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</si>
  <si>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</si>
  <si>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</si>
  <si>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</si>
  <si>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</si>
  <si>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</si>
  <si>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</si>
  <si>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</si>
  <si>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</si>
  <si>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</si>
  <si>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</si>
  <si>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</si>
  <si>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</si>
  <si>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</si>
  <si>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</si>
  <si>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</si>
  <si>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</si>
  <si>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</si>
  <si>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</si>
  <si>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</si>
  <si>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</si>
  <si>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</si>
  <si>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</si>
  <si>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</si>
  <si>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</si>
  <si>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</si>
  <si>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</si>
  <si>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</si>
  <si>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</si>
  <si>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</si>
  <si>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</si>
  <si>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</si>
  <si>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</si>
  <si>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</si>
  <si>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</si>
  <si>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</si>
  <si>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</si>
  <si>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</si>
  <si>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</si>
  <si>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</si>
  <si>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</si>
  <si>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</si>
  <si>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</si>
  <si>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</si>
  <si>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</si>
  <si>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</si>
  <si>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</si>
  <si>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</si>
  <si>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</si>
  <si>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</si>
  <si>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</si>
  <si>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</si>
  <si>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</si>
  <si>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</si>
  <si>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</si>
  <si>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</si>
  <si>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</si>
  <si>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</si>
  <si>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</si>
  <si>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</si>
  <si>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</si>
  <si>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</si>
  <si>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</si>
  <si>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</si>
  <si>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</si>
  <si>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</si>
  <si>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</si>
  <si>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</si>
  <si>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</si>
  <si>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</si>
  <si>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</si>
  <si>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</si>
  <si>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</si>
  <si>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</si>
  <si>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</si>
  <si>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</si>
  <si>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</si>
  <si>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</si>
  <si>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</si>
  <si>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</si>
  <si>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</si>
  <si>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</si>
  <si>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</si>
  <si>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</si>
  <si>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</si>
  <si>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</si>
  <si>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</si>
  <si>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</si>
  <si>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</si>
  <si>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</si>
  <si>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</si>
  <si>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</si>
  <si>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</si>
  <si>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</si>
  <si>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</si>
  <si>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</si>
  <si>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</si>
  <si>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</si>
  <si>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</si>
  <si>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</si>
  <si>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</si>
  <si>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</si>
  <si>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</si>
  <si>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</si>
  <si>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</si>
  <si>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</si>
  <si>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</si>
  <si>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</si>
  <si>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</si>
  <si>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</si>
  <si>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</si>
  <si>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</si>
  <si>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</si>
  <si>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</si>
  <si>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</si>
  <si>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</si>
  <si>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</si>
  <si>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</si>
  <si>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</si>
  <si>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</si>
  <si>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</si>
  <si>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</si>
  <si>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</si>
  <si>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</si>
  <si>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</si>
  <si>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</si>
  <si>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</si>
  <si>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</si>
  <si>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</si>
  <si>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</si>
  <si>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</si>
  <si>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</si>
  <si>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</si>
  <si>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</si>
  <si>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</si>
  <si>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</si>
  <si>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</si>
  <si>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</si>
  <si>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</si>
  <si>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</si>
  <si>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</si>
  <si>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</si>
  <si>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</si>
  <si>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</si>
  <si>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</si>
  <si>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</si>
  <si>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</si>
  <si>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</si>
  <si>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</si>
  <si>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</si>
  <si>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</si>
  <si>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</si>
  <si>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</si>
  <si>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</si>
  <si>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</si>
  <si>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</si>
  <si>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</si>
  <si>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</si>
  <si>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</si>
  <si>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</si>
  <si>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</si>
  <si>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</si>
  <si>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</si>
  <si>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</si>
  <si>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</si>
  <si>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</si>
  <si>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</si>
  <si>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</si>
  <si>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</si>
  <si>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</si>
  <si>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</si>
  <si>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</si>
  <si>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</si>
  <si>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</si>
  <si>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</si>
  <si>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</si>
  <si>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</si>
  <si>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</si>
  <si>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</si>
  <si>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</si>
  <si>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</si>
  <si>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</si>
  <si>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</si>
  <si>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</si>
  <si>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</si>
  <si>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</si>
  <si>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</si>
  <si>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</si>
  <si>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</si>
  <si>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</si>
  <si>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</si>
  <si>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</si>
  <si>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</si>
  <si>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</si>
  <si>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</si>
  <si>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</si>
  <si>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</si>
  <si>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</si>
  <si>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</si>
  <si>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</si>
  <si>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</si>
  <si>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</si>
  <si>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</si>
  <si>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</si>
  <si>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</si>
  <si>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</si>
  <si>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</si>
  <si>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</si>
  <si>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</si>
  <si>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</si>
  <si>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</si>
  <si>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</si>
  <si>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</si>
  <si>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</si>
  <si>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</si>
  <si>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</si>
  <si>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</si>
  <si>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</si>
  <si>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</si>
  <si>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</si>
  <si>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</si>
  <si>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</si>
  <si>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</si>
  <si>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</si>
  <si>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</si>
  <si>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</si>
  <si>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</si>
  <si>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</si>
  <si>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</si>
  <si>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</si>
  <si>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</si>
  <si>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</si>
  <si>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</si>
  <si>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</si>
  <si>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</si>
  <si>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</si>
  <si>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</si>
  <si>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</si>
  <si>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</si>
  <si>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</si>
  <si>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</si>
  <si>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</si>
  <si>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</si>
  <si>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</si>
  <si>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</si>
  <si>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</si>
  <si>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</si>
  <si>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</si>
  <si>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</si>
  <si>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</si>
  <si>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</si>
  <si>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</si>
  <si>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</si>
  <si>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</si>
  <si>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</si>
  <si>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</si>
  <si>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</si>
  <si>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</si>
  <si>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</si>
  <si>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</si>
  <si>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</si>
  <si>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</si>
  <si>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</si>
  <si>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</si>
  <si>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</si>
  <si>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</si>
  <si>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</si>
  <si>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</si>
  <si>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</si>
  <si>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</si>
  <si>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</si>
  <si>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</si>
  <si>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</si>
  <si>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</si>
  <si>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</si>
  <si>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</si>
  <si>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</si>
  <si>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</si>
  <si>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</si>
  <si>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</si>
  <si>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</si>
  <si>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</si>
  <si>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</si>
  <si>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</si>
  <si>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</si>
  <si>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</si>
  <si>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</si>
  <si>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</si>
  <si>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</si>
  <si>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</si>
  <si>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</si>
  <si>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</si>
  <si>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</si>
  <si>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</si>
  <si>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</si>
  <si>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</si>
  <si>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</si>
  <si>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</si>
  <si>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</si>
  <si>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</si>
  <si>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</si>
  <si>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</si>
  <si>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</si>
  <si>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</si>
  <si>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</si>
  <si>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</si>
  <si>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</si>
  <si>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</si>
  <si>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</si>
  <si>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</si>
  <si>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</si>
  <si>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</si>
  <si>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</si>
  <si>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</si>
  <si>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</si>
  <si>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</si>
  <si>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</si>
  <si>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</si>
  <si>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</si>
  <si>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</si>
  <si>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</si>
  <si>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</si>
  <si>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</si>
  <si>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</si>
  <si>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</si>
  <si>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</si>
  <si>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</si>
  <si>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</si>
  <si>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</si>
  <si>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</si>
  <si>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</si>
  <si>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</si>
  <si>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</si>
  <si>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</si>
  <si>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</si>
  <si>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</si>
  <si>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</si>
  <si>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</si>
  <si>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</si>
  <si>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</si>
  <si>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</si>
  <si>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</si>
  <si>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</si>
  <si>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</si>
  <si>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</si>
  <si>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</si>
  <si>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</si>
  <si>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</si>
  <si>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</si>
  <si>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</si>
  <si>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</si>
  <si>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</si>
  <si>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</si>
  <si>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</si>
  <si>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</si>
  <si>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</si>
  <si>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</si>
  <si>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</si>
  <si>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</si>
  <si>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</si>
  <si>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</si>
  <si>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</si>
  <si>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</si>
  <si>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</si>
  <si>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</si>
  <si>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</si>
  <si>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</si>
  <si>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</si>
  <si>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</si>
  <si>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</si>
  <si>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</si>
  <si>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</si>
  <si>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</si>
  <si>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</si>
  <si>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</si>
  <si>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</si>
  <si>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</si>
  <si>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</si>
  <si>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</si>
  <si>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</si>
  <si>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</si>
  <si>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</si>
  <si>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</si>
  <si>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</si>
  <si>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</si>
  <si>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</si>
  <si>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</si>
  <si>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</si>
  <si>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</si>
  <si>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</si>
  <si>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</si>
  <si>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</si>
  <si>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</si>
  <si>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</si>
  <si>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</si>
  <si>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</si>
  <si>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</si>
  <si>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</si>
  <si>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</si>
  <si>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</si>
  <si>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</si>
  <si>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</si>
  <si>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</si>
  <si>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</si>
  <si>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</si>
  <si>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</si>
  <si>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</si>
  <si>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</si>
  <si>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</si>
  <si>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</si>
  <si>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920031:1_5200701:2000</t>
  </si>
  <si>
    <t>3070301:6000_3070701:6000</t>
  </si>
  <si>
    <t>1920031:-1600</t>
  </si>
  <si>
    <t>闪电链冷却-40%</t>
  </si>
  <si>
    <t>5920031:5</t>
  </si>
  <si>
    <t>闪电链弹射次数+5</t>
  </si>
  <si>
    <t>召唤持续6秒的雷暴云，每秒随机劈下闪电对敌人造成伤害</t>
  </si>
  <si>
    <t>7920032:7225_9920032:7225_13920032:1</t>
  </si>
  <si>
    <t>电环伤害+85%</t>
  </si>
  <si>
    <t>4920032:3500</t>
  </si>
  <si>
    <t>1920033:-3000_4920033:400</t>
  </si>
  <si>
    <t>雷暴云冷却-30%，作用范围+25%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</si>
  <si>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</si>
  <si>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</si>
  <si>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</si>
  <si>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</si>
  <si>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3070000:1_7000304:12000_5200711:2000</t>
  </si>
  <si>
    <t>普攻附加额外闪电伤害，且有20%概率使目标麻痹</t>
  </si>
  <si>
    <t>920051:1</t>
  </si>
  <si>
    <t>5200711:2000</t>
  </si>
  <si>
    <t>电刃造成麻痹概率+20%</t>
  </si>
  <si>
    <t>7920051:2550_9920051:2550</t>
  </si>
  <si>
    <t>电弧伤害+85%</t>
  </si>
  <si>
    <t>920052:1_72005201:3500</t>
  </si>
  <si>
    <t>14920053:1_7920053:-550_9920053:-550</t>
  </si>
  <si>
    <t>超强电刃数量+1,伤害-15%</t>
  </si>
  <si>
    <t>4920053:4500</t>
  </si>
  <si>
    <t>超强电刃攻击距离+75%</t>
  </si>
  <si>
    <t>72005201:3000_7920052:750_9920052:750_14920052:4_5920052:4</t>
  </si>
  <si>
    <t>雷神附体概率+30%，伤害+15%，弹幕数量+4</t>
  </si>
  <si>
    <t>7920053:4675_9920053:4675</t>
  </si>
  <si>
    <t>超强电刃伤害+85%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</si>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</sst>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workbookViewId="0">
      <pane ySplit="4" topLeftCell="A365" activePane="bottomLeft" state="frozen"/>
      <selection/>
      <selection pane="bottomLeft" activeCell="H392" sqref="H392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881</v>
      </c>
      <c r="I370" s="13" t="s">
        <v>296</v>
      </c>
      <c r="J370" s="13" t="s">
        <v>571</v>
      </c>
      <c r="L370" s="17" t="s">
        <v>37</v>
      </c>
      <c r="M370" s="13">
        <v>3570003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>
        <v>3570003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883</v>
      </c>
      <c r="I372" s="13" t="s">
        <v>580</v>
      </c>
      <c r="J372" s="13" t="s">
        <v>884</v>
      </c>
      <c r="L372" s="17" t="s">
        <v>37</v>
      </c>
      <c r="M372" s="13">
        <v>3570003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>
        <v>3570003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885</v>
      </c>
      <c r="I374" s="13" t="s">
        <v>586</v>
      </c>
      <c r="J374" s="13" t="s">
        <v>886</v>
      </c>
      <c r="L374" s="17" t="s">
        <v>37</v>
      </c>
      <c r="M374" s="13">
        <v>3570003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>
        <v>3570003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887</v>
      </c>
      <c r="L376" s="17" t="s">
        <v>37</v>
      </c>
      <c r="M376" s="13">
        <v>3570003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888</v>
      </c>
      <c r="I377" s="13" t="s">
        <v>595</v>
      </c>
      <c r="J377" s="13" t="s">
        <v>889</v>
      </c>
      <c r="L377" s="17" t="s">
        <v>37</v>
      </c>
      <c r="M377" s="13">
        <v>3570003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890</v>
      </c>
      <c r="I378" s="13" t="s">
        <v>598</v>
      </c>
      <c r="J378" s="13" t="s">
        <v>599</v>
      </c>
      <c r="L378" s="17" t="s">
        <v>37</v>
      </c>
      <c r="M378" s="13">
        <v>3570003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891</v>
      </c>
      <c r="I379" s="13" t="s">
        <v>601</v>
      </c>
      <c r="J379" s="13" t="s">
        <v>892</v>
      </c>
      <c r="L379" s="17" t="s">
        <v>37</v>
      </c>
      <c r="M379" s="13">
        <v>3570003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893</v>
      </c>
      <c r="I380" s="13" t="s">
        <v>604</v>
      </c>
      <c r="J380" s="13" t="s">
        <v>894</v>
      </c>
      <c r="L380" s="17" t="s">
        <v>37</v>
      </c>
      <c r="M380" s="13">
        <v>3570003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895</v>
      </c>
      <c r="I381" s="13" t="s">
        <v>607</v>
      </c>
      <c r="J381" s="13" t="s">
        <v>896</v>
      </c>
      <c r="L381" s="17" t="s">
        <v>37</v>
      </c>
      <c r="M381" s="13">
        <v>3570003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897</v>
      </c>
      <c r="I382" s="13" t="s">
        <v>610</v>
      </c>
      <c r="J382" s="13" t="s">
        <v>898</v>
      </c>
      <c r="L382" s="17" t="s">
        <v>37</v>
      </c>
      <c r="M382" s="13">
        <v>3570003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>
        <v>3570003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899</v>
      </c>
      <c r="I384" s="13" t="s">
        <v>613</v>
      </c>
      <c r="J384" s="13" t="s">
        <v>614</v>
      </c>
      <c r="L384" s="17" t="s">
        <v>37</v>
      </c>
      <c r="M384" s="13">
        <v>3570003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900</v>
      </c>
      <c r="I385" s="13" t="s">
        <v>583</v>
      </c>
      <c r="J385" s="13" t="s">
        <v>901</v>
      </c>
      <c r="L385" s="17" t="s">
        <v>37</v>
      </c>
      <c r="M385" s="13">
        <v>3570003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902</v>
      </c>
      <c r="I386" s="13" t="s">
        <v>618</v>
      </c>
      <c r="J386" s="13" t="s">
        <v>903</v>
      </c>
      <c r="L386" s="17" t="s">
        <v>37</v>
      </c>
      <c r="M386" s="13">
        <v>3570003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>
        <v>3570003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904</v>
      </c>
      <c r="I388" s="13" t="s">
        <v>624</v>
      </c>
      <c r="J388" s="13" t="s">
        <v>625</v>
      </c>
      <c r="L388" s="17" t="s">
        <v>37</v>
      </c>
      <c r="M388" s="13">
        <v>3570003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905</v>
      </c>
      <c r="I389" s="13" t="s">
        <v>627</v>
      </c>
      <c r="J389" s="13" t="s">
        <v>906</v>
      </c>
      <c r="L389" s="17" t="s">
        <v>37</v>
      </c>
      <c r="M389" s="13">
        <v>3570003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907</v>
      </c>
      <c r="I390" s="13" t="s">
        <v>630</v>
      </c>
      <c r="J390" s="13" t="s">
        <v>908</v>
      </c>
      <c r="L390" s="17" t="s">
        <v>37</v>
      </c>
      <c r="M390" s="13">
        <v>3570003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909</v>
      </c>
      <c r="I391" s="13" t="s">
        <v>633</v>
      </c>
      <c r="J391" s="13" t="s">
        <v>910</v>
      </c>
      <c r="L391" s="17" t="s">
        <v>37</v>
      </c>
      <c r="M391" s="13">
        <v>3570003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911</v>
      </c>
      <c r="I392" s="13" t="s">
        <v>636</v>
      </c>
      <c r="J392" s="13" t="s">
        <v>912</v>
      </c>
      <c r="L392" s="17" t="s">
        <v>37</v>
      </c>
      <c r="M392" s="13">
        <v>3570003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>
        <v>3570003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913</v>
      </c>
      <c r="E2" s="1">
        <f>SUM(E3:E7)</f>
        <v>1100</v>
      </c>
    </row>
    <row r="3" ht="33.75" spans="1:23">
      <c r="A3" s="1">
        <v>1</v>
      </c>
      <c r="B3" s="3" t="s">
        <v>914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916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917</v>
      </c>
      <c r="N4" s="9">
        <v>3040401</v>
      </c>
      <c r="O4" s="10" t="s">
        <v>918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919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920</v>
      </c>
      <c r="N5" s="9">
        <v>3040501</v>
      </c>
      <c r="O5" s="10" t="s">
        <v>921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923</v>
      </c>
      <c r="N6" s="9">
        <v>3040601</v>
      </c>
      <c r="O6" s="10" t="s">
        <v>924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926</v>
      </c>
      <c r="N7" s="9">
        <v>3040701</v>
      </c>
      <c r="O7" s="10" t="s">
        <v>61</v>
      </c>
      <c r="P7" s="9">
        <v>3050401</v>
      </c>
      <c r="Q7" s="10" t="s">
        <v>927</v>
      </c>
      <c r="R7" s="9">
        <v>3060401</v>
      </c>
      <c r="S7" s="10" t="s">
        <v>928</v>
      </c>
      <c r="T7" s="9">
        <v>3070401</v>
      </c>
      <c r="U7" s="10" t="s">
        <v>929</v>
      </c>
      <c r="V7" s="9">
        <v>3080401</v>
      </c>
      <c r="W7" s="10" t="s">
        <v>930</v>
      </c>
    </row>
    <row r="8" spans="1:23">
      <c r="A8" s="1">
        <f t="shared" si="0"/>
        <v>6</v>
      </c>
      <c r="B8" s="5" t="s">
        <v>931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932</v>
      </c>
      <c r="N8" s="9">
        <v>3040801</v>
      </c>
      <c r="O8" s="10" t="s">
        <v>933</v>
      </c>
      <c r="P8" s="9">
        <v>3050501</v>
      </c>
      <c r="Q8" s="10" t="s">
        <v>934</v>
      </c>
      <c r="R8" s="9">
        <v>3060501</v>
      </c>
      <c r="S8" s="10" t="s">
        <v>935</v>
      </c>
      <c r="T8" s="9">
        <v>3070501</v>
      </c>
      <c r="U8" s="10" t="s">
        <v>936</v>
      </c>
      <c r="V8" s="9">
        <v>3080501</v>
      </c>
      <c r="W8" s="10" t="s">
        <v>937</v>
      </c>
    </row>
    <row r="9" ht="45" spans="1:23">
      <c r="A9" s="1">
        <f t="shared" si="0"/>
        <v>7</v>
      </c>
      <c r="B9" s="3" t="s">
        <v>938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939</v>
      </c>
      <c r="N9" s="9">
        <v>3040901</v>
      </c>
      <c r="O9" s="10" t="s">
        <v>72</v>
      </c>
      <c r="P9" s="9">
        <v>3050601</v>
      </c>
      <c r="Q9" s="10" t="s">
        <v>940</v>
      </c>
      <c r="R9" s="9">
        <v>3060601</v>
      </c>
      <c r="S9" s="10" t="s">
        <v>941</v>
      </c>
      <c r="T9" s="9">
        <v>3070601</v>
      </c>
      <c r="U9" s="10" t="s">
        <v>942</v>
      </c>
      <c r="V9" s="9">
        <v>3080601</v>
      </c>
      <c r="W9" s="10" t="s">
        <v>943</v>
      </c>
    </row>
    <row r="10" ht="13.5" customHeight="1" spans="1:18">
      <c r="A10" s="1">
        <f t="shared" si="0"/>
        <v>8</v>
      </c>
      <c r="B10" s="3" t="s">
        <v>944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945</v>
      </c>
      <c r="N10" s="9">
        <v>3041001</v>
      </c>
      <c r="O10" s="10" t="s">
        <v>97</v>
      </c>
      <c r="P10" s="1">
        <v>3050700</v>
      </c>
      <c r="Q10" s="1" t="s">
        <v>946</v>
      </c>
      <c r="R10" s="1" t="s">
        <v>947</v>
      </c>
    </row>
    <row r="11" ht="33.75" spans="1:18">
      <c r="A11" s="1">
        <f t="shared" si="0"/>
        <v>9</v>
      </c>
      <c r="B11" s="3" t="s">
        <v>948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949</v>
      </c>
      <c r="N11" s="9">
        <v>3041101</v>
      </c>
      <c r="O11" s="10" t="s">
        <v>950</v>
      </c>
      <c r="P11" s="1">
        <v>3050800</v>
      </c>
      <c r="Q11" s="1" t="s">
        <v>951</v>
      </c>
      <c r="R11" s="1" t="s">
        <v>952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953</v>
      </c>
      <c r="N12" s="9">
        <v>3041201</v>
      </c>
      <c r="O12" s="10" t="s">
        <v>105</v>
      </c>
      <c r="P12" s="1">
        <v>3050801</v>
      </c>
      <c r="Q12" s="1" t="s">
        <v>954</v>
      </c>
      <c r="R12" s="1" t="s">
        <v>955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956</v>
      </c>
      <c r="N13" s="9">
        <v>3041301</v>
      </c>
      <c r="O13" s="10" t="s">
        <v>116</v>
      </c>
      <c r="P13" s="1">
        <v>3050802</v>
      </c>
      <c r="Q13" s="1" t="s">
        <v>957</v>
      </c>
      <c r="R13" s="1" t="s">
        <v>958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959</v>
      </c>
      <c r="N14" s="9">
        <v>3041401</v>
      </c>
      <c r="O14" s="10" t="s">
        <v>960</v>
      </c>
      <c r="P14" s="1">
        <v>3050900</v>
      </c>
      <c r="Q14" s="1" t="s">
        <v>961</v>
      </c>
      <c r="R14" s="1" t="s">
        <v>947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962</v>
      </c>
      <c r="N15" s="9">
        <v>3041501</v>
      </c>
      <c r="O15" s="10" t="s">
        <v>963</v>
      </c>
      <c r="P15" s="1">
        <v>3051000</v>
      </c>
      <c r="Q15" s="1" t="s">
        <v>964</v>
      </c>
      <c r="R15" s="1" t="s">
        <v>952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965</v>
      </c>
      <c r="P16" s="1">
        <f>P15+1</f>
        <v>3051001</v>
      </c>
      <c r="Q16" s="1" t="s">
        <v>966</v>
      </c>
      <c r="R16" s="1" t="s">
        <v>967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968</v>
      </c>
      <c r="P17" s="1">
        <f>P16+1</f>
        <v>3051002</v>
      </c>
      <c r="Q17" s="1" t="s">
        <v>969</v>
      </c>
      <c r="R17" s="1" t="s">
        <v>970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971</v>
      </c>
      <c r="P18" s="1">
        <v>3051000</v>
      </c>
      <c r="Q18" s="1" t="s">
        <v>972</v>
      </c>
      <c r="R18" s="1" t="s">
        <v>947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973</v>
      </c>
      <c r="P19" s="1">
        <f>P18+1</f>
        <v>3051001</v>
      </c>
      <c r="Q19" s="1" t="s">
        <v>974</v>
      </c>
      <c r="R19" s="1" t="s">
        <v>975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976</v>
      </c>
      <c r="P20" s="1">
        <f>P19+1</f>
        <v>3051002</v>
      </c>
      <c r="Q20" s="1" t="s">
        <v>977</v>
      </c>
      <c r="R20" s="1" t="s">
        <v>978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979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982</v>
      </c>
      <c r="N23" s="11">
        <v>1010901</v>
      </c>
      <c r="O23" s="11" t="s">
        <v>83</v>
      </c>
      <c r="P23" s="1">
        <v>3051101</v>
      </c>
      <c r="Q23" s="1" t="s">
        <v>983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984</v>
      </c>
      <c r="N24" s="11">
        <v>1010902</v>
      </c>
      <c r="O24" s="11" t="s">
        <v>83</v>
      </c>
      <c r="P24" s="1">
        <f>P23+1</f>
        <v>3051102</v>
      </c>
      <c r="Q24" s="1" t="s">
        <v>985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986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987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988</v>
      </c>
      <c r="N27" s="11">
        <v>1010905</v>
      </c>
      <c r="O27" s="11" t="s">
        <v>83</v>
      </c>
    </row>
    <row r="28" spans="3:15">
      <c r="C28" s="8" t="s">
        <v>921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989</v>
      </c>
      <c r="N28" s="2">
        <v>905010101</v>
      </c>
      <c r="O28" s="2" t="s">
        <v>358</v>
      </c>
    </row>
    <row r="29" spans="3:15">
      <c r="C29" s="8" t="s">
        <v>921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990</v>
      </c>
      <c r="N29" s="2">
        <v>905010202</v>
      </c>
      <c r="O29" s="2" t="s">
        <v>360</v>
      </c>
    </row>
    <row r="30" spans="3:15">
      <c r="C30" s="8" t="s">
        <v>921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991</v>
      </c>
      <c r="N30" s="2">
        <v>905010302</v>
      </c>
      <c r="O30" s="2" t="s">
        <v>364</v>
      </c>
    </row>
    <row r="31" spans="3:15">
      <c r="C31" s="8" t="s">
        <v>921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992</v>
      </c>
      <c r="N31" s="2">
        <v>905010403</v>
      </c>
      <c r="O31" s="2" t="s">
        <v>368</v>
      </c>
    </row>
    <row r="32" spans="3:15">
      <c r="C32" s="8" t="s">
        <v>921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994</v>
      </c>
      <c r="N33" s="2">
        <v>905010604</v>
      </c>
      <c r="O33" s="2" t="s">
        <v>995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996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997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998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999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1006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1007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1008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1009</v>
      </c>
    </row>
    <row r="48" spans="3:10">
      <c r="C48" s="8" t="s">
        <v>950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1010</v>
      </c>
    </row>
    <row r="49" spans="3:10">
      <c r="C49" s="8" t="s">
        <v>950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1011</v>
      </c>
    </row>
    <row r="50" spans="3:10">
      <c r="C50" s="8" t="s">
        <v>950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1012</v>
      </c>
    </row>
    <row r="51" spans="3:10">
      <c r="C51" s="8" t="s">
        <v>950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1013</v>
      </c>
    </row>
    <row r="52" spans="3:10">
      <c r="C52" s="8" t="s">
        <v>950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1016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1017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1018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1019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1024</v>
      </c>
    </row>
    <row r="63" spans="3:10">
      <c r="C63" s="1" t="s">
        <v>960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1025</v>
      </c>
    </row>
    <row r="64" spans="3:10">
      <c r="C64" s="1" t="s">
        <v>960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1026</v>
      </c>
    </row>
    <row r="65" spans="3:10">
      <c r="C65" s="1" t="s">
        <v>960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1027</v>
      </c>
    </row>
    <row r="66" spans="3:10">
      <c r="C66" s="1" t="s">
        <v>960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1028</v>
      </c>
    </row>
    <row r="67" spans="3:10">
      <c r="C67" s="1" t="s">
        <v>960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1029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1030</v>
      </c>
      <c r="H68" s="2" t="str">
        <f t="shared" ref="H68:H131" si="4">_xlfn.TEXTJOIN("_",TRUE,F68:G68)</f>
        <v>3050001:3000_3050000:1</v>
      </c>
      <c r="J68" s="1" t="s">
        <v>1031</v>
      </c>
      <c r="K68" s="1" t="s">
        <v>1030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1030</v>
      </c>
      <c r="H69" s="2" t="str">
        <f t="shared" si="4"/>
        <v>3050001:5000_3050000:1</v>
      </c>
      <c r="J69" s="1" t="s">
        <v>1032</v>
      </c>
      <c r="K69" s="1" t="s">
        <v>1030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1030</v>
      </c>
      <c r="H70" s="2" t="str">
        <f t="shared" si="4"/>
        <v>3050001:7000_3050000:1</v>
      </c>
      <c r="J70" s="1" t="s">
        <v>1033</v>
      </c>
      <c r="K70" s="1" t="s">
        <v>1030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1030</v>
      </c>
      <c r="H71" s="2" t="str">
        <f t="shared" si="4"/>
        <v>3050001:10000_3050000:1</v>
      </c>
      <c r="J71" s="1" t="s">
        <v>1034</v>
      </c>
      <c r="K71" s="1" t="s">
        <v>1030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1030</v>
      </c>
      <c r="H72" s="2" t="str">
        <f t="shared" si="4"/>
        <v>3050001:15000_3050000:1</v>
      </c>
      <c r="J72" s="1" t="s">
        <v>1035</v>
      </c>
      <c r="K72" s="1" t="s">
        <v>1030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1030</v>
      </c>
      <c r="H73" s="2" t="str">
        <f t="shared" si="4"/>
        <v>3050101:80_3050000:1</v>
      </c>
      <c r="J73" s="1" t="s">
        <v>1036</v>
      </c>
      <c r="K73" s="1" t="s">
        <v>1030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1030</v>
      </c>
      <c r="H74" s="2" t="str">
        <f t="shared" si="4"/>
        <v>3050101:140_3050000:1</v>
      </c>
      <c r="J74" s="1" t="s">
        <v>1037</v>
      </c>
      <c r="K74" s="1" t="s">
        <v>1030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1030</v>
      </c>
      <c r="H75" s="2" t="str">
        <f t="shared" si="4"/>
        <v>3050101:190_3050000:1</v>
      </c>
      <c r="J75" s="1" t="s">
        <v>1038</v>
      </c>
      <c r="K75" s="1" t="s">
        <v>1030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1030</v>
      </c>
      <c r="H76" s="2" t="str">
        <f t="shared" si="4"/>
        <v>3050101:280_3050000:1</v>
      </c>
      <c r="J76" s="1" t="s">
        <v>1039</v>
      </c>
      <c r="K76" s="1" t="s">
        <v>1030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1030</v>
      </c>
      <c r="H77" s="2" t="str">
        <f t="shared" si="4"/>
        <v>3050101:410_3050000:1</v>
      </c>
      <c r="J77" s="1" t="s">
        <v>1040</v>
      </c>
      <c r="K77" s="1" t="s">
        <v>1030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1046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1047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1048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1049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1050</v>
      </c>
    </row>
    <row r="88" spans="3:11">
      <c r="C88" s="8" t="s">
        <v>934</v>
      </c>
      <c r="D88" s="1">
        <v>3050501</v>
      </c>
      <c r="E88" s="1">
        <v>80</v>
      </c>
      <c r="F88" s="1" t="str">
        <f t="shared" si="3"/>
        <v>3050501:80</v>
      </c>
      <c r="G88" s="1" t="s">
        <v>1030</v>
      </c>
      <c r="H88" s="2" t="str">
        <f t="shared" si="4"/>
        <v>3050501:80_3050000:1</v>
      </c>
      <c r="J88" s="1" t="s">
        <v>1051</v>
      </c>
      <c r="K88" s="1" t="s">
        <v>1030</v>
      </c>
    </row>
    <row r="89" spans="3:11">
      <c r="C89" s="8" t="s">
        <v>934</v>
      </c>
      <c r="D89" s="1">
        <v>3050501</v>
      </c>
      <c r="E89" s="1">
        <v>140</v>
      </c>
      <c r="F89" s="1" t="str">
        <f t="shared" si="3"/>
        <v>3050501:140</v>
      </c>
      <c r="G89" s="1" t="s">
        <v>1030</v>
      </c>
      <c r="H89" s="2" t="str">
        <f t="shared" si="4"/>
        <v>3050501:140_3050000:1</v>
      </c>
      <c r="J89" s="1" t="s">
        <v>1052</v>
      </c>
      <c r="K89" s="1" t="s">
        <v>1030</v>
      </c>
    </row>
    <row r="90" spans="3:11">
      <c r="C90" s="8" t="s">
        <v>934</v>
      </c>
      <c r="D90" s="1">
        <v>3050501</v>
      </c>
      <c r="E90" s="1">
        <v>190</v>
      </c>
      <c r="F90" s="1" t="str">
        <f t="shared" si="3"/>
        <v>3050501:190</v>
      </c>
      <c r="G90" s="1" t="s">
        <v>1030</v>
      </c>
      <c r="H90" s="2" t="str">
        <f t="shared" si="4"/>
        <v>3050501:190_3050000:1</v>
      </c>
      <c r="J90" s="1" t="s">
        <v>1053</v>
      </c>
      <c r="K90" s="1" t="s">
        <v>1030</v>
      </c>
    </row>
    <row r="91" spans="3:11">
      <c r="C91" s="8" t="s">
        <v>934</v>
      </c>
      <c r="D91" s="1">
        <v>3050501</v>
      </c>
      <c r="E91" s="1">
        <v>280</v>
      </c>
      <c r="F91" s="1" t="str">
        <f t="shared" si="3"/>
        <v>3050501:280</v>
      </c>
      <c r="G91" s="1" t="s">
        <v>1030</v>
      </c>
      <c r="H91" s="2" t="str">
        <f t="shared" si="4"/>
        <v>3050501:280_3050000:1</v>
      </c>
      <c r="J91" s="1" t="s">
        <v>1054</v>
      </c>
      <c r="K91" s="1" t="s">
        <v>1030</v>
      </c>
    </row>
    <row r="92" spans="3:11">
      <c r="C92" s="8" t="s">
        <v>934</v>
      </c>
      <c r="D92" s="1">
        <v>3050501</v>
      </c>
      <c r="E92" s="1">
        <v>410</v>
      </c>
      <c r="F92" s="1" t="str">
        <f t="shared" si="3"/>
        <v>3050501:410</v>
      </c>
      <c r="G92" s="1" t="s">
        <v>1030</v>
      </c>
      <c r="H92" s="2" t="str">
        <f t="shared" si="4"/>
        <v>3050501:410_3050000:1</v>
      </c>
      <c r="J92" s="1" t="s">
        <v>1055</v>
      </c>
      <c r="K92" s="1" t="s">
        <v>1030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1056</v>
      </c>
      <c r="H93" s="2" t="str">
        <f t="shared" si="4"/>
        <v>3060001:3000_3060000:1</v>
      </c>
      <c r="J93" s="1" t="s">
        <v>1057</v>
      </c>
      <c r="K93" s="1" t="s">
        <v>1056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1056</v>
      </c>
      <c r="H94" s="2" t="str">
        <f t="shared" si="4"/>
        <v>3060001:5000_3060000:1</v>
      </c>
      <c r="J94" s="1" t="s">
        <v>1058</v>
      </c>
      <c r="K94" s="1" t="s">
        <v>1056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1056</v>
      </c>
      <c r="H95" s="2" t="str">
        <f t="shared" si="4"/>
        <v>3060001:7000_3060000:1</v>
      </c>
      <c r="J95" s="1" t="s">
        <v>1059</v>
      </c>
      <c r="K95" s="1" t="s">
        <v>1056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1056</v>
      </c>
      <c r="H96" s="2" t="str">
        <f t="shared" si="4"/>
        <v>3060001:10000_3060000:1</v>
      </c>
      <c r="J96" s="1" t="s">
        <v>1060</v>
      </c>
      <c r="K96" s="1" t="s">
        <v>1056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1056</v>
      </c>
      <c r="H97" s="2" t="str">
        <f t="shared" si="4"/>
        <v>3060001:15000_3060000:1</v>
      </c>
      <c r="J97" s="1" t="s">
        <v>1061</v>
      </c>
      <c r="K97" s="1" t="s">
        <v>1056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1056</v>
      </c>
      <c r="H98" s="2" t="str">
        <f t="shared" si="4"/>
        <v>3060101:80_3060000:1</v>
      </c>
      <c r="J98" s="1" t="s">
        <v>1062</v>
      </c>
      <c r="K98" s="1" t="s">
        <v>1056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1056</v>
      </c>
      <c r="H99" s="2" t="str">
        <f t="shared" si="4"/>
        <v>3060101:140_3060000:1</v>
      </c>
      <c r="J99" s="1" t="s">
        <v>1063</v>
      </c>
      <c r="K99" s="1" t="s">
        <v>1056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1056</v>
      </c>
      <c r="H100" s="2" t="str">
        <f t="shared" si="4"/>
        <v>3060101:190_3060000:1</v>
      </c>
      <c r="J100" s="1" t="s">
        <v>1064</v>
      </c>
      <c r="K100" s="1" t="s">
        <v>1056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1056</v>
      </c>
      <c r="H101" s="2" t="str">
        <f t="shared" si="4"/>
        <v>3060101:280_3060000:1</v>
      </c>
      <c r="J101" s="1" t="s">
        <v>1065</v>
      </c>
      <c r="K101" s="1" t="s">
        <v>1056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1056</v>
      </c>
      <c r="H102" s="2" t="str">
        <f t="shared" si="4"/>
        <v>3060101:410_3060000:1</v>
      </c>
      <c r="J102" s="1" t="s">
        <v>1066</v>
      </c>
      <c r="K102" s="1" t="s">
        <v>1056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1067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1068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1069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1076</v>
      </c>
    </row>
    <row r="113" spans="3:11">
      <c r="C113" s="8" t="s">
        <v>935</v>
      </c>
      <c r="D113" s="1">
        <v>3060501</v>
      </c>
      <c r="E113" s="1">
        <v>80</v>
      </c>
      <c r="F113" s="1" t="str">
        <f t="shared" si="3"/>
        <v>3060501:80</v>
      </c>
      <c r="G113" s="1" t="s">
        <v>1056</v>
      </c>
      <c r="H113" s="2" t="str">
        <f t="shared" si="4"/>
        <v>3060501:80_3060000:1</v>
      </c>
      <c r="J113" s="1" t="s">
        <v>1077</v>
      </c>
      <c r="K113" s="1" t="s">
        <v>1056</v>
      </c>
    </row>
    <row r="114" spans="3:11">
      <c r="C114" s="8" t="s">
        <v>935</v>
      </c>
      <c r="D114" s="1">
        <v>3060501</v>
      </c>
      <c r="E114" s="1">
        <v>140</v>
      </c>
      <c r="F114" s="1" t="str">
        <f t="shared" si="3"/>
        <v>3060501:140</v>
      </c>
      <c r="G114" s="1" t="s">
        <v>1056</v>
      </c>
      <c r="H114" s="2" t="str">
        <f t="shared" si="4"/>
        <v>3060501:140_3060000:1</v>
      </c>
      <c r="J114" s="1" t="s">
        <v>1078</v>
      </c>
      <c r="K114" s="1" t="s">
        <v>1056</v>
      </c>
    </row>
    <row r="115" spans="3:11">
      <c r="C115" s="8" t="s">
        <v>935</v>
      </c>
      <c r="D115" s="1">
        <v>3060501</v>
      </c>
      <c r="E115" s="1">
        <v>190</v>
      </c>
      <c r="F115" s="1" t="str">
        <f t="shared" si="3"/>
        <v>3060501:190</v>
      </c>
      <c r="G115" s="1" t="s">
        <v>1056</v>
      </c>
      <c r="H115" s="2" t="str">
        <f t="shared" si="4"/>
        <v>3060501:190_3060000:1</v>
      </c>
      <c r="J115" s="1" t="s">
        <v>1079</v>
      </c>
      <c r="K115" s="1" t="s">
        <v>1056</v>
      </c>
    </row>
    <row r="116" spans="3:11">
      <c r="C116" s="8" t="s">
        <v>935</v>
      </c>
      <c r="D116" s="1">
        <v>3060501</v>
      </c>
      <c r="E116" s="1">
        <v>280</v>
      </c>
      <c r="F116" s="1" t="str">
        <f t="shared" si="3"/>
        <v>3060501:280</v>
      </c>
      <c r="G116" s="1" t="s">
        <v>1056</v>
      </c>
      <c r="H116" s="2" t="str">
        <f t="shared" si="4"/>
        <v>3060501:280_3060000:1</v>
      </c>
      <c r="J116" s="1" t="s">
        <v>1080</v>
      </c>
      <c r="K116" s="1" t="s">
        <v>1056</v>
      </c>
    </row>
    <row r="117" spans="3:11">
      <c r="C117" s="8" t="s">
        <v>935</v>
      </c>
      <c r="D117" s="1">
        <v>3060501</v>
      </c>
      <c r="E117" s="1">
        <v>410</v>
      </c>
      <c r="F117" s="1" t="str">
        <f t="shared" si="3"/>
        <v>3060501:410</v>
      </c>
      <c r="G117" s="1" t="s">
        <v>1056</v>
      </c>
      <c r="H117" s="2" t="str">
        <f t="shared" si="4"/>
        <v>3060501:410_3060000:1</v>
      </c>
      <c r="J117" s="1" t="s">
        <v>1081</v>
      </c>
      <c r="K117" s="1" t="s">
        <v>1056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1082</v>
      </c>
      <c r="H118" s="2" t="str">
        <f t="shared" si="4"/>
        <v>3070001:3000_3070000:1</v>
      </c>
      <c r="J118" s="1" t="s">
        <v>1083</v>
      </c>
      <c r="K118" s="1" t="s">
        <v>1082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1082</v>
      </c>
      <c r="H119" s="2" t="str">
        <f t="shared" si="4"/>
        <v>3070001:5000_3070000:1</v>
      </c>
      <c r="J119" s="1" t="s">
        <v>1084</v>
      </c>
      <c r="K119" s="1" t="s">
        <v>1082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1082</v>
      </c>
      <c r="H120" s="2" t="str">
        <f t="shared" si="4"/>
        <v>3070001:7000_3070000:1</v>
      </c>
      <c r="J120" s="1" t="s">
        <v>1085</v>
      </c>
      <c r="K120" s="1" t="s">
        <v>1082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1082</v>
      </c>
      <c r="H121" s="2" t="str">
        <f t="shared" si="4"/>
        <v>3070001:10000_3070000:1</v>
      </c>
      <c r="J121" s="1" t="s">
        <v>1086</v>
      </c>
      <c r="K121" s="1" t="s">
        <v>1082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1082</v>
      </c>
      <c r="H122" s="2" t="str">
        <f t="shared" si="4"/>
        <v>3070001:15000_3070000:1</v>
      </c>
      <c r="J122" s="1" t="s">
        <v>1087</v>
      </c>
      <c r="K122" s="1" t="s">
        <v>1082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1082</v>
      </c>
      <c r="H123" s="2" t="str">
        <f t="shared" si="4"/>
        <v>3070101:80_3070000:1</v>
      </c>
      <c r="J123" s="1" t="s">
        <v>1088</v>
      </c>
      <c r="K123" s="1" t="s">
        <v>1082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1082</v>
      </c>
      <c r="H124" s="2" t="str">
        <f t="shared" si="4"/>
        <v>3070101:140_3070000:1</v>
      </c>
      <c r="J124" s="1" t="s">
        <v>1089</v>
      </c>
      <c r="K124" s="1" t="s">
        <v>1082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1082</v>
      </c>
      <c r="H125" s="2" t="str">
        <f t="shared" si="4"/>
        <v>3070101:190_3070000:1</v>
      </c>
      <c r="J125" s="1" t="s">
        <v>1090</v>
      </c>
      <c r="K125" s="1" t="s">
        <v>1082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1082</v>
      </c>
      <c r="H126" s="2" t="str">
        <f t="shared" si="4"/>
        <v>3070101:280_3070000:1</v>
      </c>
      <c r="J126" s="1" t="s">
        <v>1091</v>
      </c>
      <c r="K126" s="1" t="s">
        <v>1082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1082</v>
      </c>
      <c r="H127" s="2" t="str">
        <f t="shared" si="4"/>
        <v>3070101:410_3070000:1</v>
      </c>
      <c r="J127" s="1" t="s">
        <v>1092</v>
      </c>
      <c r="K127" s="1" t="s">
        <v>1082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1096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1097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1098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1099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1102</v>
      </c>
    </row>
    <row r="138" spans="3:11">
      <c r="C138" s="8" t="s">
        <v>936</v>
      </c>
      <c r="D138" s="1">
        <v>3070501</v>
      </c>
      <c r="E138" s="1">
        <v>80</v>
      </c>
      <c r="F138" s="1" t="str">
        <f t="shared" si="5"/>
        <v>3070501:80</v>
      </c>
      <c r="G138" s="1" t="s">
        <v>1082</v>
      </c>
      <c r="H138" s="2" t="str">
        <f t="shared" si="6"/>
        <v>3070501:80_3070000:1</v>
      </c>
      <c r="J138" s="1" t="s">
        <v>1103</v>
      </c>
      <c r="K138" s="1" t="s">
        <v>1082</v>
      </c>
    </row>
    <row r="139" spans="3:11">
      <c r="C139" s="8" t="s">
        <v>936</v>
      </c>
      <c r="D139" s="1">
        <v>3070501</v>
      </c>
      <c r="E139" s="1">
        <v>140</v>
      </c>
      <c r="F139" s="1" t="str">
        <f t="shared" si="5"/>
        <v>3070501:140</v>
      </c>
      <c r="G139" s="1" t="s">
        <v>1082</v>
      </c>
      <c r="H139" s="2" t="str">
        <f t="shared" si="6"/>
        <v>3070501:140_3070000:1</v>
      </c>
      <c r="J139" s="1" t="s">
        <v>1104</v>
      </c>
      <c r="K139" s="1" t="s">
        <v>1082</v>
      </c>
    </row>
    <row r="140" spans="3:11">
      <c r="C140" s="8" t="s">
        <v>936</v>
      </c>
      <c r="D140" s="1">
        <v>3070501</v>
      </c>
      <c r="E140" s="1">
        <v>190</v>
      </c>
      <c r="F140" s="1" t="str">
        <f t="shared" si="5"/>
        <v>3070501:190</v>
      </c>
      <c r="G140" s="1" t="s">
        <v>1082</v>
      </c>
      <c r="H140" s="2" t="str">
        <f t="shared" si="6"/>
        <v>3070501:190_3070000:1</v>
      </c>
      <c r="J140" s="1" t="s">
        <v>1105</v>
      </c>
      <c r="K140" s="1" t="s">
        <v>1082</v>
      </c>
    </row>
    <row r="141" spans="3:11">
      <c r="C141" s="8" t="s">
        <v>936</v>
      </c>
      <c r="D141" s="1">
        <v>3070501</v>
      </c>
      <c r="E141" s="1">
        <v>280</v>
      </c>
      <c r="F141" s="1" t="str">
        <f t="shared" si="5"/>
        <v>3070501:280</v>
      </c>
      <c r="G141" s="1" t="s">
        <v>1082</v>
      </c>
      <c r="H141" s="2" t="str">
        <f t="shared" si="6"/>
        <v>3070501:280_3070000:1</v>
      </c>
      <c r="J141" s="1" t="s">
        <v>1106</v>
      </c>
      <c r="K141" s="1" t="s">
        <v>1082</v>
      </c>
    </row>
    <row r="142" spans="3:11">
      <c r="C142" s="8" t="s">
        <v>936</v>
      </c>
      <c r="D142" s="1">
        <v>3070501</v>
      </c>
      <c r="E142" s="1">
        <v>410</v>
      </c>
      <c r="F142" s="1" t="str">
        <f t="shared" si="5"/>
        <v>3070501:410</v>
      </c>
      <c r="G142" s="1" t="s">
        <v>1082</v>
      </c>
      <c r="H142" s="2" t="str">
        <f t="shared" si="6"/>
        <v>3070501:410_3070000:1</v>
      </c>
      <c r="J142" s="1" t="s">
        <v>1107</v>
      </c>
      <c r="K142" s="1" t="s">
        <v>1082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1108</v>
      </c>
      <c r="H143" s="2" t="str">
        <f t="shared" si="6"/>
        <v>3080001:3000_3080000:1</v>
      </c>
      <c r="J143" s="1" t="s">
        <v>1109</v>
      </c>
      <c r="K143" s="1" t="s">
        <v>1108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1108</v>
      </c>
      <c r="H144" s="2" t="str">
        <f t="shared" si="6"/>
        <v>3080001:5000_3080000:1</v>
      </c>
      <c r="J144" s="1" t="s">
        <v>1110</v>
      </c>
      <c r="K144" s="1" t="s">
        <v>1108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1108</v>
      </c>
      <c r="H145" s="2" t="str">
        <f t="shared" si="6"/>
        <v>3080001:7000_3080000:1</v>
      </c>
      <c r="J145" s="1" t="s">
        <v>1111</v>
      </c>
      <c r="K145" s="1" t="s">
        <v>1108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1108</v>
      </c>
      <c r="H146" s="2" t="str">
        <f t="shared" si="6"/>
        <v>3080001:10000_3080000:1</v>
      </c>
      <c r="J146" s="1" t="s">
        <v>1112</v>
      </c>
      <c r="K146" s="1" t="s">
        <v>1108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1108</v>
      </c>
      <c r="H147" s="2" t="str">
        <f t="shared" si="6"/>
        <v>3080001:15000_3080000:1</v>
      </c>
      <c r="J147" s="1" t="s">
        <v>1113</v>
      </c>
      <c r="K147" s="1" t="s">
        <v>1108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1108</v>
      </c>
      <c r="H148" s="2" t="str">
        <f t="shared" si="6"/>
        <v>3080101:80_3080000:1</v>
      </c>
      <c r="J148" s="1" t="s">
        <v>1114</v>
      </c>
      <c r="K148" s="1" t="s">
        <v>1108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1108</v>
      </c>
      <c r="H149" s="2" t="str">
        <f t="shared" si="6"/>
        <v>3080101:140_3080000:1</v>
      </c>
      <c r="J149" s="1" t="s">
        <v>1115</v>
      </c>
      <c r="K149" s="1" t="s">
        <v>1108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1108</v>
      </c>
      <c r="H150" s="2" t="str">
        <f t="shared" si="6"/>
        <v>3080101:190_3080000:1</v>
      </c>
      <c r="J150" s="1" t="s">
        <v>1116</v>
      </c>
      <c r="K150" s="1" t="s">
        <v>1108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1108</v>
      </c>
      <c r="H151" s="2" t="str">
        <f t="shared" si="6"/>
        <v>3080101:280_3080000:1</v>
      </c>
      <c r="J151" s="1" t="s">
        <v>1117</v>
      </c>
      <c r="K151" s="1" t="s">
        <v>1108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1108</v>
      </c>
      <c r="H152" s="2" t="str">
        <f t="shared" si="6"/>
        <v>3080101:410_3080000:1</v>
      </c>
      <c r="J152" s="1" t="s">
        <v>1118</v>
      </c>
      <c r="K152" s="1" t="s">
        <v>1108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1119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1126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1127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1128</v>
      </c>
    </row>
    <row r="163" spans="3:11">
      <c r="C163" s="8" t="s">
        <v>937</v>
      </c>
      <c r="D163" s="1">
        <v>3080501</v>
      </c>
      <c r="E163" s="1">
        <v>80</v>
      </c>
      <c r="F163" s="1" t="str">
        <f t="shared" si="5"/>
        <v>3080501:80</v>
      </c>
      <c r="G163" s="1" t="s">
        <v>1108</v>
      </c>
      <c r="H163" s="2" t="str">
        <f t="shared" si="6"/>
        <v>3080501:80_3080000:1</v>
      </c>
      <c r="J163" s="1" t="s">
        <v>1129</v>
      </c>
      <c r="K163" s="1" t="s">
        <v>1108</v>
      </c>
    </row>
    <row r="164" spans="3:11">
      <c r="C164" s="8" t="s">
        <v>937</v>
      </c>
      <c r="D164" s="1">
        <v>3080501</v>
      </c>
      <c r="E164" s="1">
        <v>140</v>
      </c>
      <c r="F164" s="1" t="str">
        <f t="shared" si="5"/>
        <v>3080501:140</v>
      </c>
      <c r="G164" s="1" t="s">
        <v>1108</v>
      </c>
      <c r="H164" s="2" t="str">
        <f t="shared" si="6"/>
        <v>3080501:140_3080000:1</v>
      </c>
      <c r="J164" s="1" t="s">
        <v>1130</v>
      </c>
      <c r="K164" s="1" t="s">
        <v>1108</v>
      </c>
    </row>
    <row r="165" spans="3:11">
      <c r="C165" s="8" t="s">
        <v>937</v>
      </c>
      <c r="D165" s="1">
        <v>3080501</v>
      </c>
      <c r="E165" s="1">
        <v>190</v>
      </c>
      <c r="F165" s="1" t="str">
        <f t="shared" si="5"/>
        <v>3080501:190</v>
      </c>
      <c r="G165" s="1" t="s">
        <v>1108</v>
      </c>
      <c r="H165" s="2" t="str">
        <f t="shared" si="6"/>
        <v>3080501:190_3080000:1</v>
      </c>
      <c r="J165" s="1" t="s">
        <v>1131</v>
      </c>
      <c r="K165" s="1" t="s">
        <v>1108</v>
      </c>
    </row>
    <row r="166" spans="3:11">
      <c r="C166" s="8" t="s">
        <v>937</v>
      </c>
      <c r="D166" s="1">
        <v>3080501</v>
      </c>
      <c r="E166" s="1">
        <v>280</v>
      </c>
      <c r="F166" s="1" t="str">
        <f t="shared" si="5"/>
        <v>3080501:280</v>
      </c>
      <c r="G166" s="1" t="s">
        <v>1108</v>
      </c>
      <c r="H166" s="2" t="str">
        <f t="shared" si="6"/>
        <v>3080501:280_3080000:1</v>
      </c>
      <c r="J166" s="1" t="s">
        <v>1132</v>
      </c>
      <c r="K166" s="1" t="s">
        <v>1108</v>
      </c>
    </row>
    <row r="167" spans="3:11">
      <c r="C167" s="8" t="s">
        <v>937</v>
      </c>
      <c r="D167" s="1">
        <v>3080501</v>
      </c>
      <c r="E167" s="1">
        <v>410</v>
      </c>
      <c r="F167" s="1" t="str">
        <f t="shared" si="5"/>
        <v>3080501:410</v>
      </c>
      <c r="G167" s="1" t="s">
        <v>1108</v>
      </c>
      <c r="H167" s="2" t="str">
        <f t="shared" si="6"/>
        <v>3080501:410_3080000:1</v>
      </c>
      <c r="J167" s="1" t="s">
        <v>1133</v>
      </c>
      <c r="K167" s="1" t="s">
        <v>1108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2025-08-08T06:14:41Z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