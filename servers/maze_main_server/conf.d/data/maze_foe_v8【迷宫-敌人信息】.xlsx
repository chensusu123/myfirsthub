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F2B72D1-26B8-4E8D-AEEE-79C0B8E4F73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<sst xmlns="http://schemas.openxmlformats.org/spreadsheetml/2006/main" count="1070" uniqueCount="214">
  <si>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</si>
  <si>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</si>
  <si>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</si>
  <si>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</si>
  <si>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</si>
  <si>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</si>
  <si>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</si>
  <si>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</si>
  <si>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</si>
  <si>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</si>
  <si>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</si>
  <si>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</si>
  <si>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</si>
  <si>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</si>
  <si>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</si>
  <si>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</si>
  <si>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</si>
  <si>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</si>
  <si>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</si>
  <si>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</si>
  <si>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</si>
  <si>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</si>
  <si>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</si>
  <si>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</si>
  <si>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</si>
  <si>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</si>
  <si>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</si>
  <si>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</si>
  <si>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</si>
  <si>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</si>
  <si>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</si>
  <si>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</si>
  <si>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</si>
  <si>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</si>
  <si>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</si>
  <si>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</si>
  <si>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</si>
  <si>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</si>
  <si>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</si>
  <si>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</si>
  <si>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</si>
  <si>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</si>
  <si>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</si>
  <si>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</si>
  <si>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</si>
  <si>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</si>
  <si>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</si>
  <si>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</si>
  <si>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</si>
  <si>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</si>
  <si>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</si>
  <si>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</si>
  <si>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</si>
  <si>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</si>
  <si>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</si>
  <si>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</si>
  <si>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</si>
  <si>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</si>
  <si>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</si>
  <si>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</si>
  <si>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</si>
  <si>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</si>
  <si>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</si>
  <si>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</si>
  <si>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</si>
  <si>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</si>
  <si>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</si>
  <si>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</si>
  <si>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</si>
  <si>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</si>
  <si>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</si>
  <si>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</si>
  <si>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</si>
  <si>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</si>
  <si>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</si>
  <si>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</si>
  <si>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</si>
  <si>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</si>
  <si>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</si>
  <si>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</si>
  <si>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</si>
  <si>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</si>
  <si>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</si>
  <si>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</si>
  <si>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</si>
  <si>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</si>
  <si>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</si>
  <si>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</si>
  <si>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</si>
  <si>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</si>
  <si>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</si>
  <si>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</si>
  <si>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</si>
  <si>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</si>
  <si>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</si>
  <si>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</si>
  <si>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</si>
  <si>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</si>
  <si>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</si>
  <si>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</si>
  <si>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</si>
  <si>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</si>
  <si>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</si>
  <si>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</si>
  <si>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</si>
  <si>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</si>
  <si>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</si>
  <si>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</si>
  <si>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</si>
  <si>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</si>
  <si>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</si>
  <si>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</si>
  <si>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</si>
  <si>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0:2500_35:5000_56:10000_88:15000_112:30000</t>
  </si>
  <si>
    <t>小怪2</t>
  </si>
  <si>
    <t>骷髅等级2</t>
  </si>
  <si>
    <t>0:2500_100:5000_160:10000_250:15000_320:30000</t>
  </si>
  <si>
    <t>小怪3</t>
  </si>
  <si>
    <t>骷髅等级3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</si>
  <si>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</si>
  <si>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</si>
  <si>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</si>
  <si>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</si>
  <si>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</si>
  <si>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</si>
  <si>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战甲斑狼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</si>
  <si>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</si>
  <si>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</si>
  <si>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甲壳狂徒</t>
  </si>
  <si>
    <t>小怪8</t>
  </si>
  <si>
    <t>小怪9</t>
  </si>
  <si>
    <t>小怪10</t>
  </si>
  <si>
    <t>长矛蛙兵</t>
  </si>
  <si>
    <t>小怪11</t>
  </si>
  <si>
    <t>小怪12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</si>
  <si>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</si>
  <si>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</si>
  <si>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</si>
  <si>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</si>
  <si>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</si>
  <si>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寄居炮蟹</t>
  </si>
  <si>
    <t>小怪15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</si>
  <si>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</si>
  <si>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</si>
  <si>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</si>
  <si>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</si>
  <si>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</si>
  <si>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</si>
  <si>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</si>
  <si>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</si>
  <si>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</si>
  <si>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</si>
  <si>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</si>
  <si>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狼等级1</t>
  </si>
  <si>
    <t>狼等级2</t>
  </si>
  <si>
    <t>沉沦魔等级1</t>
  </si>
  <si>
    <t>沉沦魔等级2</t>
  </si>
  <si>
    <t>僵尸等级1</t>
  </si>
  <si>
    <t>僵尸等级3</t>
  </si>
  <si>
    <t>石像鬼精英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</si>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</sst>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color theme="5" tint="0.79995117038483843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rgb="FF3F3F76"/>
      <name val="宋体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680593279824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13" fillId="7" borderId="1" applyNumberFormat="0" applyAlignment="0" applyProtection="0">
      <alignment vertical="center"/>
    </xf>
    <xf numFmtId="0" fontId="6" fillId="0" borderId="0">
      <alignment vertical="center"/>
    </xf>
    <xf numFmtId="0" fontId="1" fillId="0" borderId="0"/>
    <xf numFmtId="0" fontId="16" fillId="8" borderId="1" applyNumberFormat="0" applyAlignment="0" applyProtection="0">
      <alignment vertical="center"/>
    </xf>
    <xf numFmtId="0" fontId="14" fillId="0" borderId="0">
      <alignment vertical="center"/>
    </xf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1" xfId="1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6" fillId="0" borderId="0" xfId="2">
      <alignment vertical="center"/>
    </xf>
    <xf numFmtId="0" fontId="6" fillId="0" borderId="0" xfId="2" applyAlignment="1"/>
    <xf numFmtId="0" fontId="2" fillId="0" borderId="0" xfId="0" applyFont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1" applyFont="1" applyFill="1" applyAlignment="1">
      <alignment horizontal="center" vertical="center"/>
    </xf>
    <xf numFmtId="0" fontId="10" fillId="2" borderId="1" xfId="1" applyFont="1" applyFill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1" fillId="0" borderId="0" xfId="3"/>
    <xf numFmtId="0" fontId="2" fillId="0" borderId="0" xfId="3" applyFont="1" applyAlignment="1">
      <alignment horizontal="center" vertical="center"/>
    </xf>
    <xf numFmtId="0" fontId="3" fillId="0" borderId="0" xfId="3" applyFont="1" applyAlignment="1">
      <alignment horizontal="center" vertical="center"/>
    </xf>
    <xf numFmtId="0" fontId="10" fillId="0" borderId="1" xfId="4" applyFont="1" applyFill="1" applyAlignment="1">
      <alignment horizontal="center" vertical="center"/>
    </xf>
    <xf numFmtId="0" fontId="3" fillId="0" borderId="0" xfId="3" quotePrefix="1" applyFont="1" applyAlignment="1">
      <alignment horizontal="center" vertical="center"/>
    </xf>
    <xf numFmtId="0" fontId="8" fillId="0" borderId="0" xfId="3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5" xr:uid="{7D443560-E36C-4DC8-83DE-3D699464C87A}"/>
    <cellStyle name="常规 3" xfId="3" xr:uid="{763D98E0-5C7D-4AE2-8906-6D59461EC424}"/>
    <cellStyle name="输入" xfId="1" builtinId="20"/>
    <cellStyle name="输入 2" xfId="4" xr:uid="{03AB5DB4-8245-4025-B75C-A087E59607CF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32"/>
  <sheetViews>
    <sheetView tabSelected="1" topLeftCell="F1" zoomScale="85" zoomScaleNormal="85" workbookViewId="0">
      <pane ySplit="4" topLeftCell="A77" activePane="bottomLeft" state="frozen"/>
      <selection pane="bottomLeft" activeCell="P102" sqref="P102:R102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0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0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0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0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0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0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0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0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0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0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0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0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0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0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0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0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0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0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0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0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0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0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0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0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0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0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0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0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0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0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0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0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0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0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0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0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0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0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0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0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0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0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121101</v>
      </c>
      <c r="B47" s="3">
        <v>12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8</v>
      </c>
      <c r="Q47" s="3">
        <v>1</v>
      </c>
      <c r="R47" s="3">
        <v>36</v>
      </c>
      <c r="S47" s="3">
        <v>-6500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10000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121102</v>
      </c>
      <c r="B48" s="3">
        <v>12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28</v>
      </c>
      <c r="Q48" s="3">
        <v>4</v>
      </c>
      <c r="R48" s="3">
        <v>651</v>
      </c>
      <c r="S48" s="3">
        <v>-4750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10000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10</v>
      </c>
      <c r="AJ48" s="8">
        <v>0</v>
      </c>
    </row>
    <row r="49" spans="1:36" x14ac:dyDescent="0.2">
      <c r="A49" s="2">
        <v>121103</v>
      </c>
      <c r="B49" s="2">
        <v>12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 t="s">
        <v>118</v>
      </c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-5000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10000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 x14ac:dyDescent="0.2">
      <c r="A50" s="3">
        <v>121104</v>
      </c>
      <c r="B50" s="3">
        <v>12</v>
      </c>
      <c r="C50" s="3" t="s">
        <v>119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120</v>
      </c>
      <c r="L50" s="3">
        <v>800001041</v>
      </c>
      <c r="M50" s="3">
        <v>1</v>
      </c>
      <c r="N50" s="3">
        <v>70</v>
      </c>
      <c r="O50" s="3">
        <v>0</v>
      </c>
      <c r="P50" s="3">
        <v>6</v>
      </c>
      <c r="Q50" s="3">
        <v>1</v>
      </c>
      <c r="R50" s="3">
        <v>36</v>
      </c>
      <c r="S50" s="3">
        <v>-6500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10000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121105</v>
      </c>
      <c r="B51" s="3">
        <v>12</v>
      </c>
      <c r="C51" s="3" t="s">
        <v>121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122</v>
      </c>
      <c r="L51" s="3">
        <v>800014011</v>
      </c>
      <c r="M51" s="3">
        <v>1</v>
      </c>
      <c r="N51" s="3">
        <v>125</v>
      </c>
      <c r="O51" s="3">
        <v>0</v>
      </c>
      <c r="P51" s="3">
        <v>10</v>
      </c>
      <c r="Q51" s="3">
        <v>1</v>
      </c>
      <c r="R51" s="3">
        <v>36</v>
      </c>
      <c r="S51" s="3">
        <v>-6500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123</v>
      </c>
      <c r="AC51" s="3">
        <v>10000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2">
        <v>121106</v>
      </c>
      <c r="B52" s="2">
        <v>12</v>
      </c>
      <c r="C52" s="2" t="s">
        <v>124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 t="s">
        <v>125</v>
      </c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-5000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126</v>
      </c>
      <c r="Y52" s="17">
        <v>201001011</v>
      </c>
      <c r="Z52" s="17">
        <v>0</v>
      </c>
      <c r="AA52" s="2">
        <v>1</v>
      </c>
      <c r="AB52" s="12" t="s">
        <v>83</v>
      </c>
      <c r="AC52" s="2">
        <v>10000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 x14ac:dyDescent="0.2">
      <c r="A53" s="2">
        <v>121107</v>
      </c>
      <c r="B53" s="2">
        <v>12</v>
      </c>
      <c r="C53" s="2" t="s">
        <v>127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128</v>
      </c>
      <c r="L53" s="2">
        <v>1000006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-5000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126</v>
      </c>
      <c r="Y53" s="17">
        <v>201001011</v>
      </c>
      <c r="Z53" s="17">
        <v>0</v>
      </c>
      <c r="AA53" s="2">
        <v>1</v>
      </c>
      <c r="AB53" s="12" t="s">
        <v>83</v>
      </c>
      <c r="AC53" s="2">
        <v>10000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 x14ac:dyDescent="0.2">
      <c r="A54" s="2">
        <v>121108</v>
      </c>
      <c r="B54" s="2">
        <v>12</v>
      </c>
      <c r="C54" s="2" t="s">
        <v>129</v>
      </c>
      <c r="D54" s="2"/>
      <c r="E54" s="12"/>
      <c r="F54" s="2"/>
      <c r="G54" s="2">
        <v>12</v>
      </c>
      <c r="H54" s="2">
        <v>1</v>
      </c>
      <c r="I54" s="2" t="s">
        <v>81</v>
      </c>
      <c r="J54" s="2">
        <v>0</v>
      </c>
      <c r="K54" s="2" t="s">
        <v>128</v>
      </c>
      <c r="L54" s="2">
        <v>1000006</v>
      </c>
      <c r="M54" s="2">
        <v>1</v>
      </c>
      <c r="N54" s="2">
        <v>100</v>
      </c>
      <c r="O54" s="2">
        <v>0</v>
      </c>
      <c r="P54" s="2">
        <v>15</v>
      </c>
      <c r="Q54" s="2">
        <v>0</v>
      </c>
      <c r="R54" s="2">
        <v>36</v>
      </c>
      <c r="S54" s="2">
        <v>-5000</v>
      </c>
      <c r="T54" s="2">
        <v>1</v>
      </c>
      <c r="U54" s="2">
        <v>0</v>
      </c>
      <c r="V54" s="2" t="s">
        <v>110</v>
      </c>
      <c r="W54" s="2" t="s">
        <v>111</v>
      </c>
      <c r="X54" s="2" t="s">
        <v>126</v>
      </c>
      <c r="Y54" s="17">
        <v>201001011</v>
      </c>
      <c r="Z54" s="17">
        <v>0</v>
      </c>
      <c r="AA54" s="2">
        <v>1</v>
      </c>
      <c r="AB54" s="12" t="s">
        <v>83</v>
      </c>
      <c r="AC54" s="2">
        <v>10000</v>
      </c>
      <c r="AD54" s="2">
        <v>10000</v>
      </c>
      <c r="AE54" s="2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 x14ac:dyDescent="0.2">
      <c r="A55" s="2">
        <v>121109</v>
      </c>
      <c r="B55" s="2">
        <v>12</v>
      </c>
      <c r="C55" s="2" t="s">
        <v>130</v>
      </c>
      <c r="D55" s="2"/>
      <c r="E55" s="12"/>
      <c r="F55" s="2"/>
      <c r="G55" s="2">
        <v>12</v>
      </c>
      <c r="H55" s="2">
        <v>1</v>
      </c>
      <c r="I55" s="2" t="s">
        <v>81</v>
      </c>
      <c r="J55" s="2">
        <v>0</v>
      </c>
      <c r="K55" s="2" t="s">
        <v>128</v>
      </c>
      <c r="L55" s="2">
        <v>1000006</v>
      </c>
      <c r="M55" s="2">
        <v>1</v>
      </c>
      <c r="N55" s="2">
        <v>100</v>
      </c>
      <c r="O55" s="2">
        <v>0</v>
      </c>
      <c r="P55" s="2">
        <v>15</v>
      </c>
      <c r="Q55" s="2">
        <v>0</v>
      </c>
      <c r="R55" s="2">
        <v>36</v>
      </c>
      <c r="S55" s="2">
        <v>-5000</v>
      </c>
      <c r="T55" s="2">
        <v>1</v>
      </c>
      <c r="U55" s="2">
        <v>0</v>
      </c>
      <c r="V55" s="2" t="s">
        <v>110</v>
      </c>
      <c r="W55" s="2" t="s">
        <v>111</v>
      </c>
      <c r="X55" s="2" t="s">
        <v>126</v>
      </c>
      <c r="Y55" s="17">
        <v>201001011</v>
      </c>
      <c r="Z55" s="17">
        <v>0</v>
      </c>
      <c r="AA55" s="2">
        <v>1</v>
      </c>
      <c r="AB55" s="12" t="s">
        <v>83</v>
      </c>
      <c r="AC55" s="2">
        <v>10000</v>
      </c>
      <c r="AD55" s="2">
        <v>10000</v>
      </c>
      <c r="AE55" s="2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 x14ac:dyDescent="0.2">
      <c r="A56" s="2">
        <v>121110</v>
      </c>
      <c r="B56" s="2">
        <v>12</v>
      </c>
      <c r="C56" s="2" t="s">
        <v>131</v>
      </c>
      <c r="D56" s="2"/>
      <c r="E56" s="12"/>
      <c r="F56" s="2"/>
      <c r="G56" s="2">
        <v>12</v>
      </c>
      <c r="H56" s="2">
        <v>1</v>
      </c>
      <c r="I56" s="2" t="s">
        <v>81</v>
      </c>
      <c r="J56" s="2">
        <v>0</v>
      </c>
      <c r="K56" s="2" t="s">
        <v>132</v>
      </c>
      <c r="L56" s="2">
        <v>1000103</v>
      </c>
      <c r="M56" s="2">
        <v>1</v>
      </c>
      <c r="N56" s="2">
        <v>100</v>
      </c>
      <c r="O56" s="2">
        <v>0</v>
      </c>
      <c r="P56" s="2">
        <v>15</v>
      </c>
      <c r="Q56" s="2">
        <v>0</v>
      </c>
      <c r="R56" s="2">
        <v>36</v>
      </c>
      <c r="S56" s="2">
        <v>-5000</v>
      </c>
      <c r="T56" s="2">
        <v>1</v>
      </c>
      <c r="U56" s="2">
        <v>0</v>
      </c>
      <c r="V56" s="2" t="s">
        <v>110</v>
      </c>
      <c r="W56" s="2" t="s">
        <v>111</v>
      </c>
      <c r="X56" s="2" t="s">
        <v>126</v>
      </c>
      <c r="Y56" s="17">
        <v>201001011</v>
      </c>
      <c r="Z56" s="17">
        <v>0</v>
      </c>
      <c r="AA56" s="2">
        <v>1</v>
      </c>
      <c r="AB56" s="12" t="s">
        <v>83</v>
      </c>
      <c r="AC56" s="2">
        <v>10000</v>
      </c>
      <c r="AD56" s="2">
        <v>10000</v>
      </c>
      <c r="AE56" s="2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 x14ac:dyDescent="0.2">
      <c r="A57" s="2">
        <v>121111</v>
      </c>
      <c r="B57" s="2">
        <v>12</v>
      </c>
      <c r="C57" s="2" t="s">
        <v>133</v>
      </c>
      <c r="D57" s="2"/>
      <c r="E57" s="12"/>
      <c r="F57" s="2"/>
      <c r="G57" s="2">
        <v>12</v>
      </c>
      <c r="H57" s="2">
        <v>1</v>
      </c>
      <c r="I57" s="2" t="s">
        <v>81</v>
      </c>
      <c r="J57" s="2">
        <v>0</v>
      </c>
      <c r="K57" s="2" t="s">
        <v>132</v>
      </c>
      <c r="L57" s="2">
        <v>1000103</v>
      </c>
      <c r="M57" s="2">
        <v>1</v>
      </c>
      <c r="N57" s="2">
        <v>100</v>
      </c>
      <c r="O57" s="2">
        <v>0</v>
      </c>
      <c r="P57" s="2">
        <v>15</v>
      </c>
      <c r="Q57" s="2">
        <v>0</v>
      </c>
      <c r="R57" s="2">
        <v>36</v>
      </c>
      <c r="S57" s="2">
        <v>-5000</v>
      </c>
      <c r="T57" s="2">
        <v>1</v>
      </c>
      <c r="U57" s="2">
        <v>0</v>
      </c>
      <c r="V57" s="2" t="s">
        <v>110</v>
      </c>
      <c r="W57" s="2" t="s">
        <v>111</v>
      </c>
      <c r="X57" s="2" t="s">
        <v>126</v>
      </c>
      <c r="Y57" s="17">
        <v>201001011</v>
      </c>
      <c r="Z57" s="17">
        <v>0</v>
      </c>
      <c r="AA57" s="2">
        <v>1</v>
      </c>
      <c r="AB57" s="12" t="s">
        <v>83</v>
      </c>
      <c r="AC57" s="2">
        <v>10000</v>
      </c>
      <c r="AD57" s="2">
        <v>10000</v>
      </c>
      <c r="AE57" s="2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 x14ac:dyDescent="0.2">
      <c r="A58" s="2">
        <v>121112</v>
      </c>
      <c r="B58" s="2">
        <v>12</v>
      </c>
      <c r="C58" s="2" t="s">
        <v>134</v>
      </c>
      <c r="D58" s="2"/>
      <c r="E58" s="12"/>
      <c r="F58" s="2"/>
      <c r="G58" s="2">
        <v>12</v>
      </c>
      <c r="H58" s="2">
        <v>1</v>
      </c>
      <c r="I58" s="2" t="s">
        <v>81</v>
      </c>
      <c r="J58" s="2">
        <v>0</v>
      </c>
      <c r="K58" s="2" t="s">
        <v>132</v>
      </c>
      <c r="L58" s="2">
        <v>1000103</v>
      </c>
      <c r="M58" s="2">
        <v>1</v>
      </c>
      <c r="N58" s="2">
        <v>100</v>
      </c>
      <c r="O58" s="2">
        <v>0</v>
      </c>
      <c r="P58" s="2">
        <v>15</v>
      </c>
      <c r="Q58" s="2">
        <v>0</v>
      </c>
      <c r="R58" s="2">
        <v>36</v>
      </c>
      <c r="S58" s="2">
        <v>-5000</v>
      </c>
      <c r="T58" s="2">
        <v>1</v>
      </c>
      <c r="U58" s="2">
        <v>0</v>
      </c>
      <c r="V58" s="2" t="s">
        <v>110</v>
      </c>
      <c r="W58" s="2" t="s">
        <v>111</v>
      </c>
      <c r="X58" s="2" t="s">
        <v>126</v>
      </c>
      <c r="Y58" s="17">
        <v>201001011</v>
      </c>
      <c r="Z58" s="17">
        <v>0</v>
      </c>
      <c r="AA58" s="2">
        <v>1</v>
      </c>
      <c r="AB58" s="12" t="s">
        <v>83</v>
      </c>
      <c r="AC58" s="2">
        <v>10000</v>
      </c>
      <c r="AD58" s="2">
        <v>10000</v>
      </c>
      <c r="AE58" s="2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spans="1:36" ht="14.25" x14ac:dyDescent="0.2">
      <c r="A59" s="3">
        <v>121113</v>
      </c>
      <c r="B59" s="3">
        <v>12</v>
      </c>
      <c r="C59" s="3" t="s">
        <v>135</v>
      </c>
      <c r="D59" s="3"/>
      <c r="F59" s="3"/>
      <c r="G59" s="3">
        <v>12</v>
      </c>
      <c r="H59" s="3">
        <v>4</v>
      </c>
      <c r="I59" s="3" t="s">
        <v>81</v>
      </c>
      <c r="J59" s="3">
        <v>0</v>
      </c>
      <c r="K59" s="3" t="s">
        <v>136</v>
      </c>
      <c r="L59" s="3">
        <v>800003021</v>
      </c>
      <c r="M59" s="3">
        <v>1</v>
      </c>
      <c r="N59" s="3">
        <v>500</v>
      </c>
      <c r="O59" s="3">
        <v>0</v>
      </c>
      <c r="P59" s="3">
        <v>48</v>
      </c>
      <c r="Q59" s="3">
        <v>6</v>
      </c>
      <c r="R59" s="15">
        <v>4023</v>
      </c>
      <c r="S59" s="3">
        <v>-1600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137</v>
      </c>
      <c r="Y59" s="16">
        <v>203002011</v>
      </c>
      <c r="Z59" s="16">
        <v>0</v>
      </c>
      <c r="AA59" s="3">
        <v>1</v>
      </c>
      <c r="AB59" s="8" t="s">
        <v>138</v>
      </c>
      <c r="AC59" s="3">
        <v>10000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2</v>
      </c>
      <c r="AJ59" s="8">
        <v>0</v>
      </c>
    </row>
    <row r="60" spans="1:36" x14ac:dyDescent="0.2">
      <c r="A60" s="2">
        <v>121114</v>
      </c>
      <c r="B60" s="2">
        <v>12</v>
      </c>
      <c r="C60" s="2" t="s">
        <v>139</v>
      </c>
      <c r="D60" s="2"/>
      <c r="E60" s="12"/>
      <c r="F60" s="2"/>
      <c r="G60" s="2">
        <v>12</v>
      </c>
      <c r="H60" s="2">
        <v>1</v>
      </c>
      <c r="I60" s="2" t="s">
        <v>81</v>
      </c>
      <c r="J60" s="2">
        <v>0</v>
      </c>
      <c r="K60" s="2" t="s">
        <v>140</v>
      </c>
      <c r="L60" s="2">
        <v>1000011</v>
      </c>
      <c r="M60" s="2">
        <v>1</v>
      </c>
      <c r="N60" s="2">
        <v>100</v>
      </c>
      <c r="O60" s="2">
        <v>0</v>
      </c>
      <c r="P60" s="2">
        <v>15</v>
      </c>
      <c r="Q60" s="2">
        <v>0</v>
      </c>
      <c r="R60" s="2">
        <v>36</v>
      </c>
      <c r="S60" s="2">
        <v>-5000</v>
      </c>
      <c r="T60" s="2">
        <v>1</v>
      </c>
      <c r="U60" s="2">
        <v>0</v>
      </c>
      <c r="V60" s="2" t="s">
        <v>110</v>
      </c>
      <c r="W60" s="2" t="s">
        <v>111</v>
      </c>
      <c r="X60" s="2" t="s">
        <v>126</v>
      </c>
      <c r="Y60" s="17">
        <v>201001011</v>
      </c>
      <c r="Z60" s="17">
        <v>0</v>
      </c>
      <c r="AA60" s="2">
        <v>1</v>
      </c>
      <c r="AB60" s="12" t="s">
        <v>83</v>
      </c>
      <c r="AC60" s="2">
        <v>10000</v>
      </c>
      <c r="AD60" s="2">
        <v>10000</v>
      </c>
      <c r="AE60" s="2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 x14ac:dyDescent="0.2">
      <c r="A61" s="2">
        <v>121115</v>
      </c>
      <c r="B61" s="2">
        <v>12</v>
      </c>
      <c r="C61" s="2" t="s">
        <v>141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 t="s">
        <v>140</v>
      </c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-5000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126</v>
      </c>
      <c r="Y61" s="17">
        <v>201001011</v>
      </c>
      <c r="Z61" s="17">
        <v>0</v>
      </c>
      <c r="AA61" s="2">
        <v>1</v>
      </c>
      <c r="AB61" s="12" t="s">
        <v>83</v>
      </c>
      <c r="AC61" s="2">
        <v>10000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 x14ac:dyDescent="0.2">
      <c r="A62" s="3">
        <v>999001</v>
      </c>
      <c r="B62" s="3">
        <v>1</v>
      </c>
      <c r="C62" s="3" t="s">
        <v>142</v>
      </c>
      <c r="D62" s="3"/>
      <c r="F62" s="3"/>
      <c r="G62" s="3">
        <v>1</v>
      </c>
      <c r="H62" s="3">
        <v>1</v>
      </c>
      <c r="I62" s="3" t="s">
        <v>81</v>
      </c>
      <c r="J62" s="3">
        <v>0</v>
      </c>
      <c r="K62" s="3" t="s">
        <v>120</v>
      </c>
      <c r="L62" s="3">
        <v>800001041</v>
      </c>
      <c r="M62" s="3">
        <v>1</v>
      </c>
      <c r="N62" s="3">
        <v>100</v>
      </c>
      <c r="O62" s="3">
        <v>0</v>
      </c>
      <c r="P62" s="3">
        <v>5</v>
      </c>
      <c r="Q62" s="3">
        <v>0</v>
      </c>
      <c r="R62" s="3">
        <v>10000</v>
      </c>
      <c r="S62" s="3">
        <v>-5000</v>
      </c>
      <c r="T62" s="3">
        <v>1</v>
      </c>
      <c r="U62" s="3">
        <v>100</v>
      </c>
      <c r="V62" s="3" t="s">
        <v>110</v>
      </c>
      <c r="W62" s="3" t="s">
        <v>111</v>
      </c>
      <c r="X62" s="3" t="s">
        <v>143</v>
      </c>
      <c r="Y62" s="16">
        <v>201004011</v>
      </c>
      <c r="Z62" s="16">
        <v>0</v>
      </c>
      <c r="AA62" s="3">
        <v>1</v>
      </c>
      <c r="AB62" s="8" t="s">
        <v>83</v>
      </c>
      <c r="AC62" s="3">
        <v>10000</v>
      </c>
      <c r="AD62" s="3">
        <v>10000</v>
      </c>
      <c r="AE62" s="3">
        <v>0</v>
      </c>
      <c r="AF62" s="8">
        <v>40</v>
      </c>
      <c r="AG62" s="8">
        <v>3000</v>
      </c>
      <c r="AH62" s="8">
        <v>6000</v>
      </c>
      <c r="AI62" s="8">
        <v>0</v>
      </c>
      <c r="AJ62" s="8">
        <v>0</v>
      </c>
    </row>
    <row r="63" spans="1:36" x14ac:dyDescent="0.2">
      <c r="A63" s="3">
        <v>999002</v>
      </c>
      <c r="B63" s="3">
        <v>1</v>
      </c>
      <c r="C63" s="3" t="s">
        <v>144</v>
      </c>
      <c r="D63" s="3"/>
      <c r="F63" s="3"/>
      <c r="G63" s="3">
        <v>1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100</v>
      </c>
      <c r="O63" s="3">
        <v>0</v>
      </c>
      <c r="P63" s="3">
        <v>5</v>
      </c>
      <c r="Q63" s="3">
        <v>0</v>
      </c>
      <c r="R63" s="3">
        <v>10000</v>
      </c>
      <c r="S63" s="3">
        <v>-5000</v>
      </c>
      <c r="T63" s="3">
        <v>1</v>
      </c>
      <c r="U63" s="3">
        <v>100</v>
      </c>
      <c r="V63" s="3" t="s">
        <v>110</v>
      </c>
      <c r="W63" s="3" t="s">
        <v>111</v>
      </c>
      <c r="X63" s="3" t="s">
        <v>143</v>
      </c>
      <c r="Y63" s="16">
        <v>201002011</v>
      </c>
      <c r="Z63" s="16">
        <v>0</v>
      </c>
      <c r="AA63" s="3">
        <v>1</v>
      </c>
      <c r="AB63" s="8" t="s">
        <v>83</v>
      </c>
      <c r="AC63" s="3">
        <v>10000</v>
      </c>
      <c r="AD63" s="3">
        <v>10000</v>
      </c>
      <c r="AE63" s="3">
        <v>0</v>
      </c>
      <c r="AF63" s="8">
        <v>40</v>
      </c>
      <c r="AG63" s="8">
        <v>3000</v>
      </c>
      <c r="AH63" s="8">
        <v>6000</v>
      </c>
      <c r="AI63" s="8">
        <v>0</v>
      </c>
      <c r="AJ63" s="8">
        <v>0</v>
      </c>
    </row>
    <row r="64" spans="1:36" x14ac:dyDescent="0.2">
      <c r="A64" s="3">
        <v>999003</v>
      </c>
      <c r="B64" s="3">
        <v>1</v>
      </c>
      <c r="C64" s="3" t="s">
        <v>145</v>
      </c>
      <c r="D64" s="3"/>
      <c r="F64" s="3"/>
      <c r="G64" s="3">
        <v>1</v>
      </c>
      <c r="H64" s="3">
        <v>1</v>
      </c>
      <c r="I64" s="3" t="s">
        <v>81</v>
      </c>
      <c r="J64" s="3">
        <v>0</v>
      </c>
      <c r="K64" s="3" t="s">
        <v>120</v>
      </c>
      <c r="L64" s="3">
        <v>800001041</v>
      </c>
      <c r="M64" s="3">
        <v>1</v>
      </c>
      <c r="N64" s="3">
        <v>100</v>
      </c>
      <c r="O64" s="3">
        <v>0</v>
      </c>
      <c r="P64" s="3">
        <v>5</v>
      </c>
      <c r="Q64" s="3">
        <v>0</v>
      </c>
      <c r="R64" s="3">
        <v>10</v>
      </c>
      <c r="S64" s="3">
        <v>-5000</v>
      </c>
      <c r="T64" s="3">
        <v>1</v>
      </c>
      <c r="U64" s="3">
        <v>100</v>
      </c>
      <c r="V64" s="3" t="s">
        <v>110</v>
      </c>
      <c r="W64" s="3" t="s">
        <v>111</v>
      </c>
      <c r="X64" s="3" t="s">
        <v>143</v>
      </c>
      <c r="Y64" s="16">
        <v>201002011</v>
      </c>
      <c r="Z64" s="16">
        <v>0</v>
      </c>
      <c r="AA64" s="3">
        <v>1</v>
      </c>
      <c r="AB64" s="8" t="s">
        <v>83</v>
      </c>
      <c r="AC64" s="3">
        <v>10000</v>
      </c>
      <c r="AD64" s="3">
        <v>10000</v>
      </c>
      <c r="AE64" s="3">
        <v>0</v>
      </c>
      <c r="AF64" s="8">
        <v>40</v>
      </c>
      <c r="AG64" s="8">
        <v>3000</v>
      </c>
      <c r="AH64" s="8">
        <v>6000</v>
      </c>
      <c r="AI64" s="8">
        <v>0</v>
      </c>
      <c r="AJ64" s="8">
        <v>0</v>
      </c>
    </row>
    <row r="65" spans="1:36" x14ac:dyDescent="0.2">
      <c r="A65" s="3">
        <v>999004</v>
      </c>
      <c r="B65" s="3">
        <v>1</v>
      </c>
      <c r="C65" s="3" t="s">
        <v>146</v>
      </c>
      <c r="D65" s="3"/>
      <c r="F65" s="3"/>
      <c r="G65" s="3">
        <v>1</v>
      </c>
      <c r="H65" s="3">
        <v>1</v>
      </c>
      <c r="I65" s="3" t="s">
        <v>81</v>
      </c>
      <c r="J65" s="3">
        <v>0</v>
      </c>
      <c r="K65" s="3" t="s">
        <v>115</v>
      </c>
      <c r="L65" s="3">
        <v>800001021</v>
      </c>
      <c r="M65" s="3">
        <v>1</v>
      </c>
      <c r="N65" s="3">
        <v>100</v>
      </c>
      <c r="O65" s="3">
        <v>0</v>
      </c>
      <c r="P65" s="3">
        <v>5</v>
      </c>
      <c r="Q65" s="3">
        <v>0</v>
      </c>
      <c r="R65" s="3">
        <v>10</v>
      </c>
      <c r="S65" s="3">
        <v>-5000</v>
      </c>
      <c r="T65" s="3">
        <v>1</v>
      </c>
      <c r="U65" s="3">
        <v>100</v>
      </c>
      <c r="V65" s="3" t="s">
        <v>110</v>
      </c>
      <c r="W65" s="3" t="s">
        <v>111</v>
      </c>
      <c r="X65" s="3" t="s">
        <v>143</v>
      </c>
      <c r="Y65" s="16">
        <v>201002011</v>
      </c>
      <c r="Z65" s="16">
        <v>0</v>
      </c>
      <c r="AA65" s="3">
        <v>1</v>
      </c>
      <c r="AB65" s="8" t="s">
        <v>83</v>
      </c>
      <c r="AC65" s="3">
        <v>10000</v>
      </c>
      <c r="AD65" s="3">
        <v>10000</v>
      </c>
      <c r="AE65" s="3">
        <v>0</v>
      </c>
      <c r="AF65" s="8">
        <v>40</v>
      </c>
      <c r="AG65" s="8">
        <v>3000</v>
      </c>
      <c r="AH65" s="8">
        <v>6000</v>
      </c>
      <c r="AI65" s="8">
        <v>0</v>
      </c>
      <c r="AJ65" s="8">
        <v>0</v>
      </c>
    </row>
    <row r="66" spans="1:36" ht="14.25" x14ac:dyDescent="0.2">
      <c r="A66" s="18">
        <v>9999001</v>
      </c>
      <c r="B66" s="18">
        <v>21</v>
      </c>
      <c r="C66" s="18" t="s">
        <v>147</v>
      </c>
      <c r="D66" s="18"/>
      <c r="E66" s="18"/>
      <c r="F66" s="18"/>
      <c r="G66" s="18">
        <v>12</v>
      </c>
      <c r="H66" s="3">
        <v>1</v>
      </c>
      <c r="I66" s="3" t="s">
        <v>81</v>
      </c>
      <c r="J66" s="18">
        <v>0</v>
      </c>
      <c r="K66" s="18" t="s">
        <v>109</v>
      </c>
      <c r="L66" s="18">
        <v>800001011</v>
      </c>
      <c r="M66" s="18">
        <v>1</v>
      </c>
      <c r="N66" s="18">
        <v>70</v>
      </c>
      <c r="O66" s="18">
        <v>0</v>
      </c>
      <c r="P66" s="18">
        <v>7</v>
      </c>
      <c r="Q66" s="18">
        <v>0</v>
      </c>
      <c r="R66" s="18">
        <v>300</v>
      </c>
      <c r="S66" s="18">
        <v>-5000</v>
      </c>
      <c r="T66" s="18">
        <v>1</v>
      </c>
      <c r="U66" s="18">
        <v>0</v>
      </c>
      <c r="V66" s="18" t="s">
        <v>110</v>
      </c>
      <c r="W66" s="18" t="s">
        <v>111</v>
      </c>
      <c r="X66" s="18" t="s">
        <v>112</v>
      </c>
      <c r="Y66" s="19">
        <v>201001011</v>
      </c>
      <c r="Z66" s="19">
        <v>0</v>
      </c>
      <c r="AA66" s="18">
        <v>1</v>
      </c>
      <c r="AB66" s="18" t="s">
        <v>113</v>
      </c>
      <c r="AC66" s="18">
        <v>10000</v>
      </c>
      <c r="AD66" s="18">
        <v>10000</v>
      </c>
      <c r="AE66" s="18">
        <v>25010001</v>
      </c>
      <c r="AF66" s="18">
        <v>40</v>
      </c>
      <c r="AG66" s="18">
        <v>10000</v>
      </c>
      <c r="AH66" s="18">
        <v>10000</v>
      </c>
      <c r="AI66" s="18">
        <v>50</v>
      </c>
      <c r="AJ66" s="18">
        <v>0</v>
      </c>
    </row>
    <row r="67" spans="1:36" ht="14.25" x14ac:dyDescent="0.2">
      <c r="A67" s="18">
        <v>9999002</v>
      </c>
      <c r="B67" s="18">
        <v>21</v>
      </c>
      <c r="C67" s="18" t="s">
        <v>148</v>
      </c>
      <c r="D67" s="18"/>
      <c r="E67" s="18"/>
      <c r="F67" s="18"/>
      <c r="G67" s="18">
        <v>12</v>
      </c>
      <c r="H67" s="3">
        <v>1</v>
      </c>
      <c r="I67" s="3" t="s">
        <v>81</v>
      </c>
      <c r="J67" s="18">
        <v>0</v>
      </c>
      <c r="K67" s="18" t="s">
        <v>115</v>
      </c>
      <c r="L67" s="18">
        <v>800001021</v>
      </c>
      <c r="M67" s="18">
        <v>1</v>
      </c>
      <c r="N67" s="18">
        <v>200</v>
      </c>
      <c r="O67" s="18">
        <v>0</v>
      </c>
      <c r="P67" s="18">
        <v>15</v>
      </c>
      <c r="Q67" s="18">
        <v>2</v>
      </c>
      <c r="R67" s="18">
        <v>300</v>
      </c>
      <c r="S67" s="18">
        <v>-5000</v>
      </c>
      <c r="T67" s="18">
        <v>1</v>
      </c>
      <c r="U67" s="18">
        <v>250</v>
      </c>
      <c r="V67" s="18" t="s">
        <v>110</v>
      </c>
      <c r="W67" s="18" t="s">
        <v>111</v>
      </c>
      <c r="X67" s="18" t="s">
        <v>112</v>
      </c>
      <c r="Y67" s="19">
        <v>201002011</v>
      </c>
      <c r="Z67" s="19">
        <v>0</v>
      </c>
      <c r="AA67" s="18">
        <v>1</v>
      </c>
      <c r="AB67" s="18" t="s">
        <v>116</v>
      </c>
      <c r="AC67" s="18">
        <v>10000</v>
      </c>
      <c r="AD67" s="18">
        <v>10000</v>
      </c>
      <c r="AE67" s="18">
        <v>25010001</v>
      </c>
      <c r="AF67" s="18">
        <v>40</v>
      </c>
      <c r="AG67" s="18">
        <v>3000</v>
      </c>
      <c r="AH67" s="18">
        <v>10000</v>
      </c>
      <c r="AI67" s="18">
        <v>10</v>
      </c>
      <c r="AJ67" s="18">
        <v>0</v>
      </c>
    </row>
    <row r="68" spans="1:36" ht="14.25" x14ac:dyDescent="0.2">
      <c r="A68" s="18">
        <v>9999004</v>
      </c>
      <c r="B68" s="18">
        <v>21</v>
      </c>
      <c r="C68" s="18" t="s">
        <v>149</v>
      </c>
      <c r="D68" s="18"/>
      <c r="E68" s="18"/>
      <c r="F68" s="18"/>
      <c r="G68" s="18">
        <v>12</v>
      </c>
      <c r="H68" s="3">
        <v>1</v>
      </c>
      <c r="I68" s="3" t="s">
        <v>81</v>
      </c>
      <c r="J68" s="18">
        <v>0</v>
      </c>
      <c r="K68" s="18" t="s">
        <v>120</v>
      </c>
      <c r="L68" s="18">
        <v>800001041</v>
      </c>
      <c r="M68" s="18">
        <v>1</v>
      </c>
      <c r="N68" s="18">
        <v>70</v>
      </c>
      <c r="O68" s="18">
        <v>0</v>
      </c>
      <c r="P68" s="18">
        <v>9</v>
      </c>
      <c r="Q68" s="18">
        <v>0</v>
      </c>
      <c r="R68" s="18">
        <v>300</v>
      </c>
      <c r="S68" s="18">
        <v>-5000</v>
      </c>
      <c r="T68" s="18">
        <v>1</v>
      </c>
      <c r="U68" s="18">
        <v>0</v>
      </c>
      <c r="V68" s="18" t="s">
        <v>110</v>
      </c>
      <c r="W68" s="18" t="s">
        <v>111</v>
      </c>
      <c r="X68" s="18" t="s">
        <v>112</v>
      </c>
      <c r="Y68" s="19">
        <v>201004011</v>
      </c>
      <c r="Z68" s="19">
        <v>0</v>
      </c>
      <c r="AA68" s="18">
        <v>1</v>
      </c>
      <c r="AB68" s="18" t="s">
        <v>113</v>
      </c>
      <c r="AC68" s="18">
        <v>10000</v>
      </c>
      <c r="AD68" s="18">
        <v>10000</v>
      </c>
      <c r="AE68" s="18">
        <v>25010001</v>
      </c>
      <c r="AF68" s="18">
        <v>40</v>
      </c>
      <c r="AG68" s="18">
        <v>10000</v>
      </c>
      <c r="AH68" s="18">
        <v>10000</v>
      </c>
      <c r="AI68" s="18">
        <v>80</v>
      </c>
      <c r="AJ68" s="18">
        <v>10</v>
      </c>
    </row>
    <row r="69" spans="1:36" ht="14.25" x14ac:dyDescent="0.2">
      <c r="A69" s="18">
        <v>9999005</v>
      </c>
      <c r="B69" s="18">
        <v>21</v>
      </c>
      <c r="C69" s="18" t="s">
        <v>150</v>
      </c>
      <c r="D69" s="18"/>
      <c r="E69" s="18"/>
      <c r="F69" s="18"/>
      <c r="G69" s="18">
        <v>12</v>
      </c>
      <c r="H69" s="3">
        <v>1</v>
      </c>
      <c r="I69" s="3" t="s">
        <v>81</v>
      </c>
      <c r="J69" s="18">
        <v>0</v>
      </c>
      <c r="K69" s="18" t="s">
        <v>122</v>
      </c>
      <c r="L69" s="18">
        <v>800014011</v>
      </c>
      <c r="M69" s="18">
        <v>1</v>
      </c>
      <c r="N69" s="18">
        <v>125</v>
      </c>
      <c r="O69" s="18">
        <v>0</v>
      </c>
      <c r="P69" s="18">
        <v>8</v>
      </c>
      <c r="Q69" s="18">
        <v>1</v>
      </c>
      <c r="R69" s="18">
        <v>300</v>
      </c>
      <c r="S69" s="18">
        <v>-5000</v>
      </c>
      <c r="T69" s="18">
        <v>1</v>
      </c>
      <c r="U69" s="18">
        <v>0</v>
      </c>
      <c r="V69" s="18" t="s">
        <v>110</v>
      </c>
      <c r="W69" s="18" t="s">
        <v>111</v>
      </c>
      <c r="X69" s="18" t="s">
        <v>112</v>
      </c>
      <c r="Y69" s="19">
        <v>214001011</v>
      </c>
      <c r="Z69" s="19">
        <v>0</v>
      </c>
      <c r="AA69" s="18">
        <v>1</v>
      </c>
      <c r="AB69" s="18" t="s">
        <v>123</v>
      </c>
      <c r="AC69" s="18">
        <v>10000</v>
      </c>
      <c r="AD69" s="18">
        <v>10000</v>
      </c>
      <c r="AE69" s="18">
        <v>25010001</v>
      </c>
      <c r="AF69" s="18">
        <v>40</v>
      </c>
      <c r="AG69" s="18">
        <v>10000</v>
      </c>
      <c r="AH69" s="18">
        <v>10000</v>
      </c>
      <c r="AI69" s="18">
        <v>40</v>
      </c>
      <c r="AJ69" s="18">
        <v>0</v>
      </c>
    </row>
    <row r="70" spans="1:36" ht="14.25" x14ac:dyDescent="0.2">
      <c r="A70" s="18">
        <v>9999013</v>
      </c>
      <c r="B70" s="18">
        <v>21</v>
      </c>
      <c r="C70" s="18" t="s">
        <v>135</v>
      </c>
      <c r="D70" s="18"/>
      <c r="E70" s="18"/>
      <c r="F70" s="18"/>
      <c r="G70" s="18">
        <v>12</v>
      </c>
      <c r="H70" s="3">
        <v>1</v>
      </c>
      <c r="I70" s="3" t="s">
        <v>81</v>
      </c>
      <c r="J70" s="18">
        <v>0</v>
      </c>
      <c r="K70" s="18" t="s">
        <v>151</v>
      </c>
      <c r="L70" s="18">
        <v>800003021</v>
      </c>
      <c r="M70" s="18">
        <v>1</v>
      </c>
      <c r="N70" s="18">
        <v>500</v>
      </c>
      <c r="O70" s="18">
        <v>0</v>
      </c>
      <c r="P70" s="18">
        <v>30</v>
      </c>
      <c r="Q70" s="18">
        <v>4</v>
      </c>
      <c r="R70" s="18">
        <v>1760</v>
      </c>
      <c r="S70" s="18">
        <v>-5000</v>
      </c>
      <c r="T70" s="18">
        <v>1</v>
      </c>
      <c r="U70" s="18">
        <v>30000</v>
      </c>
      <c r="V70" s="18" t="s">
        <v>110</v>
      </c>
      <c r="W70" s="18" t="s">
        <v>111</v>
      </c>
      <c r="X70" s="18" t="s">
        <v>137</v>
      </c>
      <c r="Y70" s="19">
        <v>203002011</v>
      </c>
      <c r="Z70" s="19">
        <v>0</v>
      </c>
      <c r="AA70" s="18">
        <v>1</v>
      </c>
      <c r="AB70" s="18" t="s">
        <v>138</v>
      </c>
      <c r="AC70" s="18">
        <v>10000</v>
      </c>
      <c r="AD70" s="18">
        <v>10000</v>
      </c>
      <c r="AE70" s="18">
        <v>25010001</v>
      </c>
      <c r="AF70" s="18">
        <v>40</v>
      </c>
      <c r="AG70" s="18">
        <v>1000</v>
      </c>
      <c r="AH70" s="18">
        <v>5000</v>
      </c>
      <c r="AI70" s="18">
        <v>2</v>
      </c>
      <c r="AJ70" s="18">
        <v>0</v>
      </c>
    </row>
    <row r="71" spans="1:36" x14ac:dyDescent="0.2">
      <c r="A71" s="3">
        <v>301101</v>
      </c>
      <c r="B71" s="3">
        <v>30</v>
      </c>
      <c r="C71" s="3" t="s">
        <v>108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109</v>
      </c>
      <c r="L71" s="3">
        <v>800001011</v>
      </c>
      <c r="M71" s="3">
        <v>1</v>
      </c>
      <c r="N71" s="3">
        <v>70</v>
      </c>
      <c r="O71" s="3">
        <v>0</v>
      </c>
      <c r="P71" s="3">
        <v>16</v>
      </c>
      <c r="Q71" s="3">
        <v>0</v>
      </c>
      <c r="R71" s="3">
        <v>20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152</v>
      </c>
      <c r="Y71" s="16">
        <v>201001011</v>
      </c>
      <c r="Z71" s="16">
        <v>0</v>
      </c>
      <c r="AA71" s="3">
        <v>1</v>
      </c>
      <c r="AB71" s="8" t="s">
        <v>113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10000</v>
      </c>
      <c r="AH71" s="8">
        <v>10000</v>
      </c>
      <c r="AI71" s="8">
        <v>50</v>
      </c>
      <c r="AJ71" s="8">
        <v>0</v>
      </c>
    </row>
    <row r="72" spans="1:36" x14ac:dyDescent="0.2">
      <c r="A72" s="3">
        <v>301102</v>
      </c>
      <c r="B72" s="3">
        <v>30</v>
      </c>
      <c r="C72" s="3" t="s">
        <v>114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115</v>
      </c>
      <c r="L72" s="3">
        <v>800001021</v>
      </c>
      <c r="M72" s="3">
        <v>1</v>
      </c>
      <c r="N72" s="3">
        <v>200</v>
      </c>
      <c r="O72" s="3">
        <v>0</v>
      </c>
      <c r="P72" s="3">
        <v>32</v>
      </c>
      <c r="Q72" s="3">
        <v>2</v>
      </c>
      <c r="R72" s="3">
        <v>105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152</v>
      </c>
      <c r="Y72" s="16">
        <v>201002011</v>
      </c>
      <c r="Z72" s="16">
        <v>0</v>
      </c>
      <c r="AA72" s="3">
        <v>1</v>
      </c>
      <c r="AB72" s="8" t="s">
        <v>116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3000</v>
      </c>
      <c r="AH72" s="8">
        <v>10000</v>
      </c>
      <c r="AI72" s="8">
        <v>15</v>
      </c>
      <c r="AJ72" s="8">
        <v>0</v>
      </c>
    </row>
    <row r="73" spans="1:36" x14ac:dyDescent="0.2">
      <c r="A73" s="2">
        <v>301103</v>
      </c>
      <c r="B73" s="2">
        <v>30</v>
      </c>
      <c r="C73" s="2" t="s">
        <v>117</v>
      </c>
      <c r="D73" s="2"/>
      <c r="E73" s="12"/>
      <c r="F73" s="2"/>
      <c r="G73" s="2">
        <v>12</v>
      </c>
      <c r="H73" s="2">
        <v>1</v>
      </c>
      <c r="I73" s="2" t="s">
        <v>81</v>
      </c>
      <c r="J73" s="2">
        <v>0</v>
      </c>
      <c r="K73" s="2"/>
      <c r="L73" s="2">
        <v>800001021</v>
      </c>
      <c r="M73" s="2">
        <v>1</v>
      </c>
      <c r="N73" s="2">
        <v>70</v>
      </c>
      <c r="O73" s="2">
        <v>0</v>
      </c>
      <c r="P73" s="2">
        <v>15</v>
      </c>
      <c r="Q73" s="2">
        <v>1</v>
      </c>
      <c r="R73" s="2">
        <v>300</v>
      </c>
      <c r="S73" s="2">
        <v>-5500</v>
      </c>
      <c r="T73" s="2">
        <v>1</v>
      </c>
      <c r="U73" s="2">
        <v>250</v>
      </c>
      <c r="V73" s="2" t="s">
        <v>110</v>
      </c>
      <c r="W73" s="2" t="s">
        <v>111</v>
      </c>
      <c r="X73" s="2" t="s">
        <v>152</v>
      </c>
      <c r="Y73" s="17">
        <v>201001011</v>
      </c>
      <c r="Z73" s="17">
        <v>0</v>
      </c>
      <c r="AA73" s="2">
        <v>1</v>
      </c>
      <c r="AB73" s="12" t="s">
        <v>113</v>
      </c>
      <c r="AC73" s="2">
        <v>15000</v>
      </c>
      <c r="AD73" s="2">
        <v>10000</v>
      </c>
      <c r="AE73" s="2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spans="1:36" x14ac:dyDescent="0.2">
      <c r="A74" s="3">
        <v>301104</v>
      </c>
      <c r="B74" s="3">
        <v>30</v>
      </c>
      <c r="C74" s="3" t="s">
        <v>119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120</v>
      </c>
      <c r="L74" s="3">
        <v>800001041</v>
      </c>
      <c r="M74" s="3">
        <v>1</v>
      </c>
      <c r="N74" s="3">
        <v>70</v>
      </c>
      <c r="O74" s="3">
        <v>0</v>
      </c>
      <c r="P74" s="3">
        <v>25</v>
      </c>
      <c r="Q74" s="3">
        <v>0</v>
      </c>
      <c r="R74" s="3">
        <v>17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152</v>
      </c>
      <c r="Y74" s="16">
        <v>201004011</v>
      </c>
      <c r="Z74" s="16">
        <v>0</v>
      </c>
      <c r="AA74" s="3">
        <v>1</v>
      </c>
      <c r="AB74" s="8" t="s">
        <v>113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10000</v>
      </c>
      <c r="AH74" s="8">
        <v>10000</v>
      </c>
      <c r="AI74" s="8">
        <v>80</v>
      </c>
      <c r="AJ74" s="8">
        <v>10</v>
      </c>
    </row>
    <row r="75" spans="1:36" x14ac:dyDescent="0.2">
      <c r="A75" s="3">
        <v>301105</v>
      </c>
      <c r="B75" s="3">
        <v>30</v>
      </c>
      <c r="C75" s="3" t="s">
        <v>121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122</v>
      </c>
      <c r="L75" s="3">
        <v>800014011</v>
      </c>
      <c r="M75" s="3">
        <v>1</v>
      </c>
      <c r="N75" s="3">
        <v>125</v>
      </c>
      <c r="O75" s="3">
        <v>0</v>
      </c>
      <c r="P75" s="3">
        <v>20</v>
      </c>
      <c r="Q75" s="3">
        <v>1</v>
      </c>
      <c r="R75" s="3">
        <v>43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152</v>
      </c>
      <c r="Y75" s="16">
        <v>214001011</v>
      </c>
      <c r="Z75" s="16">
        <v>0</v>
      </c>
      <c r="AA75" s="3">
        <v>1</v>
      </c>
      <c r="AB75" s="8" t="s">
        <v>123</v>
      </c>
      <c r="AC75" s="3">
        <v>15000</v>
      </c>
      <c r="AD75" s="3">
        <v>10000</v>
      </c>
      <c r="AE75" s="3">
        <v>25010001</v>
      </c>
      <c r="AF75" s="8">
        <v>40</v>
      </c>
      <c r="AG75" s="8">
        <v>10000</v>
      </c>
      <c r="AH75" s="8">
        <v>10000</v>
      </c>
      <c r="AI75" s="8">
        <v>40</v>
      </c>
      <c r="AJ75" s="8">
        <v>0</v>
      </c>
    </row>
    <row r="76" spans="1:36" x14ac:dyDescent="0.2">
      <c r="A76" s="2">
        <v>301106</v>
      </c>
      <c r="B76" s="2">
        <v>30</v>
      </c>
      <c r="C76" s="2" t="s">
        <v>124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1000010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126</v>
      </c>
      <c r="Y76" s="2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25010001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 x14ac:dyDescent="0.2">
      <c r="A77" s="2">
        <v>301107</v>
      </c>
      <c r="B77" s="2">
        <v>30</v>
      </c>
      <c r="C77" s="2" t="s">
        <v>127</v>
      </c>
      <c r="D77" s="2"/>
      <c r="E77" s="12"/>
      <c r="F77" s="2"/>
      <c r="G77" s="2">
        <v>12</v>
      </c>
      <c r="H77" s="2">
        <v>1</v>
      </c>
      <c r="I77" s="2" t="s">
        <v>81</v>
      </c>
      <c r="J77" s="2">
        <v>0</v>
      </c>
      <c r="K77" s="2" t="s">
        <v>122</v>
      </c>
      <c r="L77" s="2">
        <v>800014011</v>
      </c>
      <c r="M77" s="2">
        <v>1</v>
      </c>
      <c r="N77" s="2">
        <v>100</v>
      </c>
      <c r="O77" s="2">
        <v>0</v>
      </c>
      <c r="P77" s="2">
        <v>15</v>
      </c>
      <c r="Q77" s="2">
        <v>0</v>
      </c>
      <c r="R77" s="2">
        <v>36</v>
      </c>
      <c r="S77" s="2">
        <v>-5500</v>
      </c>
      <c r="T77" s="2">
        <v>1</v>
      </c>
      <c r="U77" s="2">
        <v>0</v>
      </c>
      <c r="V77" s="2" t="s">
        <v>110</v>
      </c>
      <c r="W77" s="2" t="s">
        <v>111</v>
      </c>
      <c r="X77" s="2" t="s">
        <v>126</v>
      </c>
      <c r="Y77" s="2">
        <v>214001011</v>
      </c>
      <c r="Z77" s="17">
        <v>0</v>
      </c>
      <c r="AA77" s="2">
        <v>1</v>
      </c>
      <c r="AB77" s="12" t="s">
        <v>83</v>
      </c>
      <c r="AC77" s="2">
        <v>15000</v>
      </c>
      <c r="AD77" s="2">
        <v>10000</v>
      </c>
      <c r="AE77" s="2">
        <v>25010001</v>
      </c>
      <c r="AF77" s="8">
        <v>40</v>
      </c>
      <c r="AG77" s="8">
        <v>0</v>
      </c>
      <c r="AH77" s="8">
        <v>0</v>
      </c>
      <c r="AI77" s="8">
        <v>0</v>
      </c>
      <c r="AJ77" s="8">
        <v>0</v>
      </c>
    </row>
    <row r="78" spans="1:36" ht="14.25" x14ac:dyDescent="0.2">
      <c r="A78" s="3">
        <v>301108</v>
      </c>
      <c r="B78" s="3">
        <v>30</v>
      </c>
      <c r="C78" s="3" t="s">
        <v>129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153</v>
      </c>
      <c r="L78" s="3">
        <v>800004011</v>
      </c>
      <c r="M78" s="3">
        <v>1</v>
      </c>
      <c r="N78" s="3">
        <v>100</v>
      </c>
      <c r="O78" s="3">
        <v>0</v>
      </c>
      <c r="P78" s="3">
        <v>15</v>
      </c>
      <c r="Q78" s="3">
        <v>0</v>
      </c>
      <c r="R78" s="15">
        <v>36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126</v>
      </c>
      <c r="Y78" s="16">
        <v>204001001</v>
      </c>
      <c r="Z78" s="16">
        <v>0</v>
      </c>
      <c r="AA78" s="3">
        <v>1</v>
      </c>
      <c r="AB78" s="8" t="s">
        <v>83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0</v>
      </c>
      <c r="AH78" s="8">
        <v>0</v>
      </c>
      <c r="AI78" s="8">
        <v>0</v>
      </c>
      <c r="AJ78" s="8">
        <v>0</v>
      </c>
    </row>
    <row r="79" spans="1:36" ht="14.25" x14ac:dyDescent="0.2">
      <c r="A79" s="3">
        <v>301109</v>
      </c>
      <c r="B79" s="3">
        <v>30</v>
      </c>
      <c r="C79" s="3" t="s">
        <v>130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 t="s">
        <v>154</v>
      </c>
      <c r="L79" s="3">
        <v>800004021</v>
      </c>
      <c r="M79" s="3">
        <v>1</v>
      </c>
      <c r="N79" s="3">
        <v>100</v>
      </c>
      <c r="O79" s="3">
        <v>0</v>
      </c>
      <c r="P79" s="3">
        <v>15</v>
      </c>
      <c r="Q79" s="3">
        <v>0</v>
      </c>
      <c r="R79" s="15">
        <v>36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126</v>
      </c>
      <c r="Y79" s="16">
        <v>204002001</v>
      </c>
      <c r="Z79" s="16">
        <v>0</v>
      </c>
      <c r="AA79" s="3">
        <v>1</v>
      </c>
      <c r="AB79" s="8" t="s">
        <v>83</v>
      </c>
      <c r="AC79" s="3">
        <v>15000</v>
      </c>
      <c r="AD79" s="3">
        <v>10000</v>
      </c>
      <c r="AE79" s="3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 ht="14.25" x14ac:dyDescent="0.2">
      <c r="A80" s="3">
        <v>301110</v>
      </c>
      <c r="B80" s="3">
        <v>30</v>
      </c>
      <c r="C80" s="3" t="s">
        <v>131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155</v>
      </c>
      <c r="L80" s="3">
        <v>800011011</v>
      </c>
      <c r="M80" s="3">
        <v>1</v>
      </c>
      <c r="N80" s="3">
        <v>100</v>
      </c>
      <c r="O80" s="3">
        <v>0</v>
      </c>
      <c r="P80" s="3">
        <v>15</v>
      </c>
      <c r="Q80" s="3">
        <v>0</v>
      </c>
      <c r="R80" s="15">
        <v>36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126</v>
      </c>
      <c r="Y80" s="16">
        <v>211001001</v>
      </c>
      <c r="Z80" s="16">
        <v>0</v>
      </c>
      <c r="AA80" s="3">
        <v>1</v>
      </c>
      <c r="AB80" s="8" t="s">
        <v>83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0</v>
      </c>
      <c r="AH80" s="8">
        <v>0</v>
      </c>
      <c r="AI80" s="8">
        <v>0</v>
      </c>
      <c r="AJ80" s="8">
        <v>0</v>
      </c>
    </row>
    <row r="81" spans="1:36" ht="14.25" x14ac:dyDescent="0.2">
      <c r="A81" s="3">
        <v>301111</v>
      </c>
      <c r="B81" s="3">
        <v>30</v>
      </c>
      <c r="C81" s="3" t="s">
        <v>133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156</v>
      </c>
      <c r="L81" s="3">
        <v>800011021</v>
      </c>
      <c r="M81" s="3">
        <v>1</v>
      </c>
      <c r="N81" s="3">
        <v>100</v>
      </c>
      <c r="O81" s="3">
        <v>0</v>
      </c>
      <c r="P81" s="3">
        <v>15</v>
      </c>
      <c r="Q81" s="3">
        <v>0</v>
      </c>
      <c r="R81" s="15">
        <v>36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126</v>
      </c>
      <c r="Y81" s="16">
        <v>211002001</v>
      </c>
      <c r="Z81" s="16">
        <v>0</v>
      </c>
      <c r="AA81" s="3">
        <v>1</v>
      </c>
      <c r="AB81" s="8" t="s">
        <v>83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0</v>
      </c>
      <c r="AH81" s="8">
        <v>0</v>
      </c>
      <c r="AI81" s="8">
        <v>0</v>
      </c>
      <c r="AJ81" s="8">
        <v>0</v>
      </c>
    </row>
    <row r="82" spans="1:36" ht="14.25" x14ac:dyDescent="0.2">
      <c r="A82" s="3">
        <v>301112</v>
      </c>
      <c r="B82" s="3">
        <v>30</v>
      </c>
      <c r="C82" s="3" t="s">
        <v>134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 t="s">
        <v>157</v>
      </c>
      <c r="L82" s="3">
        <v>800003011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15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126</v>
      </c>
      <c r="Y82" s="16">
        <v>203001001</v>
      </c>
      <c r="Z82" s="16">
        <v>0</v>
      </c>
      <c r="AA82" s="3">
        <v>1</v>
      </c>
      <c r="AB82" s="8" t="s">
        <v>83</v>
      </c>
      <c r="AC82" s="3">
        <v>15000</v>
      </c>
      <c r="AD82" s="3">
        <v>10000</v>
      </c>
      <c r="AE82" s="3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 ht="14.25" x14ac:dyDescent="0.2">
      <c r="A83" s="3">
        <v>301113</v>
      </c>
      <c r="B83" s="3">
        <v>30</v>
      </c>
      <c r="C83" s="3" t="s">
        <v>135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136</v>
      </c>
      <c r="L83" s="3">
        <v>800003021</v>
      </c>
      <c r="M83" s="3">
        <v>1</v>
      </c>
      <c r="N83" s="3">
        <v>500</v>
      </c>
      <c r="O83" s="3">
        <v>0</v>
      </c>
      <c r="P83" s="3">
        <v>42</v>
      </c>
      <c r="Q83" s="3">
        <v>3</v>
      </c>
      <c r="R83" s="15">
        <v>1496</v>
      </c>
      <c r="S83" s="3">
        <v>-5500</v>
      </c>
      <c r="T83" s="3">
        <v>1</v>
      </c>
      <c r="U83" s="3">
        <v>30000</v>
      </c>
      <c r="V83" s="3" t="s">
        <v>110</v>
      </c>
      <c r="W83" s="3" t="s">
        <v>111</v>
      </c>
      <c r="X83" s="3" t="s">
        <v>137</v>
      </c>
      <c r="Y83" s="16">
        <v>203002011</v>
      </c>
      <c r="Z83" s="16">
        <v>0</v>
      </c>
      <c r="AA83" s="3">
        <v>1</v>
      </c>
      <c r="AB83" s="8" t="s">
        <v>138</v>
      </c>
      <c r="AC83" s="3">
        <v>15000</v>
      </c>
      <c r="AD83" s="3">
        <v>10000</v>
      </c>
      <c r="AE83" s="3">
        <v>25010001</v>
      </c>
      <c r="AF83" s="8">
        <v>40</v>
      </c>
      <c r="AG83" s="8">
        <v>1000</v>
      </c>
      <c r="AH83" s="8">
        <v>5000</v>
      </c>
      <c r="AI83" s="8">
        <v>40</v>
      </c>
      <c r="AJ83" s="8">
        <v>0</v>
      </c>
    </row>
    <row r="84" spans="1:36" ht="14.25" x14ac:dyDescent="0.2">
      <c r="A84" s="3">
        <v>301114</v>
      </c>
      <c r="B84" s="3">
        <v>30</v>
      </c>
      <c r="C84" s="3" t="s">
        <v>139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158</v>
      </c>
      <c r="L84" s="3">
        <v>800003031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126</v>
      </c>
      <c r="Y84" s="16">
        <v>203003001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spans="1:36" x14ac:dyDescent="0.2">
      <c r="A85" s="2">
        <v>301115</v>
      </c>
      <c r="B85" s="2">
        <v>30</v>
      </c>
      <c r="C85" s="2" t="s">
        <v>141</v>
      </c>
      <c r="D85" s="2"/>
      <c r="E85" s="12"/>
      <c r="F85" s="2"/>
      <c r="G85" s="2">
        <v>12</v>
      </c>
      <c r="H85" s="2">
        <v>1</v>
      </c>
      <c r="I85" s="2" t="s">
        <v>81</v>
      </c>
      <c r="J85" s="2">
        <v>0</v>
      </c>
      <c r="K85" s="2"/>
      <c r="L85" s="2">
        <v>1000011</v>
      </c>
      <c r="M85" s="2">
        <v>1</v>
      </c>
      <c r="N85" s="2">
        <v>100</v>
      </c>
      <c r="O85" s="2">
        <v>0</v>
      </c>
      <c r="P85" s="2">
        <v>15</v>
      </c>
      <c r="Q85" s="2">
        <v>0</v>
      </c>
      <c r="R85" s="2">
        <v>36</v>
      </c>
      <c r="S85" s="2">
        <v>-5500</v>
      </c>
      <c r="T85" s="2">
        <v>1</v>
      </c>
      <c r="U85" s="2">
        <v>0</v>
      </c>
      <c r="V85" s="2" t="s">
        <v>110</v>
      </c>
      <c r="W85" s="2" t="s">
        <v>111</v>
      </c>
      <c r="X85" s="2" t="s">
        <v>126</v>
      </c>
      <c r="Y85" s="17">
        <v>201002011</v>
      </c>
      <c r="Z85" s="17">
        <v>0</v>
      </c>
      <c r="AA85" s="2">
        <v>1</v>
      </c>
      <c r="AB85" s="12" t="s">
        <v>83</v>
      </c>
      <c r="AC85" s="2">
        <v>15000</v>
      </c>
      <c r="AD85" s="2">
        <v>10000</v>
      </c>
      <c r="AE85" s="2">
        <v>0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spans="1:36" x14ac:dyDescent="0.2">
      <c r="A86" s="3">
        <v>302101</v>
      </c>
      <c r="B86" s="3">
        <v>30</v>
      </c>
      <c r="C86" s="3" t="s">
        <v>108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109</v>
      </c>
      <c r="L86" s="3">
        <v>800001011</v>
      </c>
      <c r="M86" s="3">
        <v>1</v>
      </c>
      <c r="N86" s="3">
        <v>70</v>
      </c>
      <c r="O86" s="3">
        <v>0</v>
      </c>
      <c r="P86" s="3">
        <v>17</v>
      </c>
      <c r="Q86" s="3">
        <v>0</v>
      </c>
      <c r="R86" s="3">
        <v>86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152</v>
      </c>
      <c r="Y86" s="16">
        <v>201001011</v>
      </c>
      <c r="Z86" s="16">
        <v>0</v>
      </c>
      <c r="AA86" s="3">
        <v>1</v>
      </c>
      <c r="AB86" s="8" t="s">
        <v>113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10000</v>
      </c>
      <c r="AH86" s="8">
        <v>10000</v>
      </c>
      <c r="AI86" s="8">
        <v>50</v>
      </c>
      <c r="AJ86" s="8">
        <v>0</v>
      </c>
    </row>
    <row r="87" spans="1:36" x14ac:dyDescent="0.2">
      <c r="A87" s="3">
        <v>302102</v>
      </c>
      <c r="B87" s="3">
        <v>30</v>
      </c>
      <c r="C87" s="3" t="s">
        <v>114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115</v>
      </c>
      <c r="L87" s="3">
        <v>800001021</v>
      </c>
      <c r="M87" s="3">
        <v>1</v>
      </c>
      <c r="N87" s="3">
        <v>200</v>
      </c>
      <c r="O87" s="3">
        <v>0</v>
      </c>
      <c r="P87" s="3">
        <v>36</v>
      </c>
      <c r="Q87" s="3">
        <v>3</v>
      </c>
      <c r="R87" s="3">
        <v>292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152</v>
      </c>
      <c r="Y87" s="16">
        <v>201002011</v>
      </c>
      <c r="Z87" s="16">
        <v>0</v>
      </c>
      <c r="AA87" s="3">
        <v>1</v>
      </c>
      <c r="AB87" s="8" t="s">
        <v>116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3000</v>
      </c>
      <c r="AH87" s="8">
        <v>10000</v>
      </c>
      <c r="AI87" s="8">
        <v>15</v>
      </c>
      <c r="AJ87" s="8">
        <v>0</v>
      </c>
    </row>
    <row r="88" spans="1:36" x14ac:dyDescent="0.2">
      <c r="A88" s="2">
        <v>302103</v>
      </c>
      <c r="B88" s="2">
        <v>30</v>
      </c>
      <c r="C88" s="2" t="s">
        <v>117</v>
      </c>
      <c r="D88" s="2"/>
      <c r="E88" s="12"/>
      <c r="F88" s="2"/>
      <c r="G88" s="2">
        <v>12</v>
      </c>
      <c r="H88" s="2">
        <v>1</v>
      </c>
      <c r="I88" s="2" t="s">
        <v>81</v>
      </c>
      <c r="J88" s="2">
        <v>0</v>
      </c>
      <c r="K88" s="2" t="s">
        <v>118</v>
      </c>
      <c r="L88" s="2">
        <v>800001021</v>
      </c>
      <c r="M88" s="2">
        <v>1</v>
      </c>
      <c r="N88" s="2">
        <v>70</v>
      </c>
      <c r="O88" s="2">
        <v>0</v>
      </c>
      <c r="P88" s="2">
        <v>15</v>
      </c>
      <c r="Q88" s="2">
        <v>1</v>
      </c>
      <c r="R88" s="2">
        <v>300</v>
      </c>
      <c r="S88" s="2">
        <v>-5500</v>
      </c>
      <c r="T88" s="2">
        <v>1</v>
      </c>
      <c r="U88" s="2">
        <v>250</v>
      </c>
      <c r="V88" s="2" t="s">
        <v>110</v>
      </c>
      <c r="W88" s="2" t="s">
        <v>111</v>
      </c>
      <c r="X88" s="2" t="s">
        <v>152</v>
      </c>
      <c r="Y88" s="17">
        <v>201002011</v>
      </c>
      <c r="Z88" s="17">
        <v>0</v>
      </c>
      <c r="AA88" s="2">
        <v>1</v>
      </c>
      <c r="AB88" s="12" t="s">
        <v>113</v>
      </c>
      <c r="AC88" s="2">
        <v>15000</v>
      </c>
      <c r="AD88" s="2">
        <v>10000</v>
      </c>
      <c r="AE88" s="2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spans="1:36" x14ac:dyDescent="0.2">
      <c r="A89" s="3">
        <v>302104</v>
      </c>
      <c r="B89" s="3">
        <v>30</v>
      </c>
      <c r="C89" s="3" t="s">
        <v>119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120</v>
      </c>
      <c r="L89" s="3">
        <v>800001041</v>
      </c>
      <c r="M89" s="3">
        <v>1</v>
      </c>
      <c r="N89" s="3">
        <v>70</v>
      </c>
      <c r="O89" s="3">
        <v>0</v>
      </c>
      <c r="P89" s="3">
        <v>27</v>
      </c>
      <c r="Q89" s="3">
        <v>0</v>
      </c>
      <c r="R89" s="3">
        <v>69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152</v>
      </c>
      <c r="Y89" s="16">
        <v>201004011</v>
      </c>
      <c r="Z89" s="16">
        <v>0</v>
      </c>
      <c r="AA89" s="3">
        <v>1</v>
      </c>
      <c r="AB89" s="8" t="s">
        <v>113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10000</v>
      </c>
      <c r="AH89" s="8">
        <v>10000</v>
      </c>
      <c r="AI89" s="8">
        <v>80</v>
      </c>
      <c r="AJ89" s="8">
        <v>10</v>
      </c>
    </row>
    <row r="90" spans="1:36" x14ac:dyDescent="0.2">
      <c r="A90" s="3">
        <v>302105</v>
      </c>
      <c r="B90" s="3">
        <v>30</v>
      </c>
      <c r="C90" s="3" t="s">
        <v>121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122</v>
      </c>
      <c r="L90" s="3">
        <v>800014011</v>
      </c>
      <c r="M90" s="3">
        <v>1</v>
      </c>
      <c r="N90" s="3">
        <v>125</v>
      </c>
      <c r="O90" s="3">
        <v>0</v>
      </c>
      <c r="P90" s="3">
        <v>22</v>
      </c>
      <c r="Q90" s="3">
        <v>2</v>
      </c>
      <c r="R90" s="3">
        <v>116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152</v>
      </c>
      <c r="Y90" s="16">
        <v>214001011</v>
      </c>
      <c r="Z90" s="16">
        <v>0</v>
      </c>
      <c r="AA90" s="3">
        <v>1</v>
      </c>
      <c r="AB90" s="8" t="s">
        <v>123</v>
      </c>
      <c r="AC90" s="3">
        <v>15000</v>
      </c>
      <c r="AD90" s="3">
        <v>10000</v>
      </c>
      <c r="AE90" s="3">
        <v>25010001</v>
      </c>
      <c r="AF90" s="8">
        <v>40</v>
      </c>
      <c r="AG90" s="8">
        <v>10000</v>
      </c>
      <c r="AH90" s="8">
        <v>10000</v>
      </c>
      <c r="AI90" s="8">
        <v>40</v>
      </c>
      <c r="AJ90" s="8">
        <v>0</v>
      </c>
    </row>
    <row r="91" spans="1:36" x14ac:dyDescent="0.2">
      <c r="A91" s="2">
        <v>302106</v>
      </c>
      <c r="B91" s="2">
        <v>30</v>
      </c>
      <c r="C91" s="2" t="s">
        <v>124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 t="s">
        <v>125</v>
      </c>
      <c r="L91" s="2">
        <v>1000010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126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25010001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 x14ac:dyDescent="0.2">
      <c r="A92" s="2">
        <v>302107</v>
      </c>
      <c r="B92" s="2">
        <v>30</v>
      </c>
      <c r="C92" s="2" t="s">
        <v>127</v>
      </c>
      <c r="D92" s="2"/>
      <c r="E92" s="12"/>
      <c r="F92" s="2"/>
      <c r="G92" s="2">
        <v>12</v>
      </c>
      <c r="H92" s="2">
        <v>1</v>
      </c>
      <c r="I92" s="2" t="s">
        <v>81</v>
      </c>
      <c r="J92" s="2">
        <v>0</v>
      </c>
      <c r="K92" s="2" t="s">
        <v>128</v>
      </c>
      <c r="L92" s="2">
        <v>1000006</v>
      </c>
      <c r="M92" s="2">
        <v>1</v>
      </c>
      <c r="N92" s="2">
        <v>100</v>
      </c>
      <c r="O92" s="2">
        <v>0</v>
      </c>
      <c r="P92" s="2">
        <v>15</v>
      </c>
      <c r="Q92" s="2">
        <v>0</v>
      </c>
      <c r="R92" s="2">
        <v>36</v>
      </c>
      <c r="S92" s="2">
        <v>-5500</v>
      </c>
      <c r="T92" s="2">
        <v>1</v>
      </c>
      <c r="U92" s="2">
        <v>0</v>
      </c>
      <c r="V92" s="2" t="s">
        <v>110</v>
      </c>
      <c r="W92" s="2" t="s">
        <v>111</v>
      </c>
      <c r="X92" s="2" t="s">
        <v>126</v>
      </c>
      <c r="Y92" s="17">
        <v>201002011</v>
      </c>
      <c r="Z92" s="17">
        <v>0</v>
      </c>
      <c r="AA92" s="2">
        <v>1</v>
      </c>
      <c r="AB92" s="12" t="s">
        <v>83</v>
      </c>
      <c r="AC92" s="2">
        <v>15000</v>
      </c>
      <c r="AD92" s="2">
        <v>10000</v>
      </c>
      <c r="AE92" s="2">
        <v>25010001</v>
      </c>
      <c r="AF92" s="8">
        <v>40</v>
      </c>
      <c r="AG92" s="8">
        <v>0</v>
      </c>
      <c r="AH92" s="8">
        <v>0</v>
      </c>
      <c r="AI92" s="8">
        <v>0</v>
      </c>
      <c r="AJ92" s="8">
        <v>0</v>
      </c>
    </row>
    <row r="93" spans="1:36" x14ac:dyDescent="0.2">
      <c r="A93" s="2">
        <v>302108</v>
      </c>
      <c r="B93" s="2">
        <v>30</v>
      </c>
      <c r="C93" s="2" t="s">
        <v>129</v>
      </c>
      <c r="D93" s="2"/>
      <c r="E93" s="12"/>
      <c r="F93" s="2"/>
      <c r="G93" s="2">
        <v>12</v>
      </c>
      <c r="H93" s="2">
        <v>1</v>
      </c>
      <c r="I93" s="2" t="s">
        <v>81</v>
      </c>
      <c r="J93" s="2">
        <v>0</v>
      </c>
      <c r="K93" s="2" t="s">
        <v>128</v>
      </c>
      <c r="L93" s="2">
        <v>1000006</v>
      </c>
      <c r="M93" s="2">
        <v>1</v>
      </c>
      <c r="N93" s="2">
        <v>100</v>
      </c>
      <c r="O93" s="2">
        <v>0</v>
      </c>
      <c r="P93" s="2">
        <v>15</v>
      </c>
      <c r="Q93" s="2">
        <v>0</v>
      </c>
      <c r="R93" s="2">
        <v>36</v>
      </c>
      <c r="S93" s="2">
        <v>-5500</v>
      </c>
      <c r="T93" s="2">
        <v>1</v>
      </c>
      <c r="U93" s="2">
        <v>0</v>
      </c>
      <c r="V93" s="2" t="s">
        <v>110</v>
      </c>
      <c r="W93" s="2" t="s">
        <v>111</v>
      </c>
      <c r="X93" s="2" t="s">
        <v>126</v>
      </c>
      <c r="Y93" s="17">
        <v>201002011</v>
      </c>
      <c r="Z93" s="17">
        <v>0</v>
      </c>
      <c r="AA93" s="2">
        <v>1</v>
      </c>
      <c r="AB93" s="12" t="s">
        <v>83</v>
      </c>
      <c r="AC93" s="2">
        <v>15000</v>
      </c>
      <c r="AD93" s="2">
        <v>10000</v>
      </c>
      <c r="AE93" s="2">
        <v>25010001</v>
      </c>
      <c r="AF93" s="8">
        <v>40</v>
      </c>
      <c r="AG93" s="8">
        <v>0</v>
      </c>
      <c r="AH93" s="8">
        <v>0</v>
      </c>
      <c r="AI93" s="8">
        <v>0</v>
      </c>
      <c r="AJ93" s="8">
        <v>0</v>
      </c>
    </row>
    <row r="94" spans="1:36" x14ac:dyDescent="0.2">
      <c r="A94" s="2">
        <v>302109</v>
      </c>
      <c r="B94" s="2">
        <v>30</v>
      </c>
      <c r="C94" s="2" t="s">
        <v>130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 t="s">
        <v>128</v>
      </c>
      <c r="L94" s="2">
        <v>1000006</v>
      </c>
      <c r="M94" s="2">
        <v>1</v>
      </c>
      <c r="N94" s="2">
        <v>100</v>
      </c>
      <c r="O94" s="2">
        <v>0</v>
      </c>
      <c r="P94" s="2">
        <v>15</v>
      </c>
      <c r="Q94" s="2">
        <v>0</v>
      </c>
      <c r="R94" s="2">
        <v>36</v>
      </c>
      <c r="S94" s="2">
        <v>-5500</v>
      </c>
      <c r="T94" s="2">
        <v>1</v>
      </c>
      <c r="U94" s="2">
        <v>0</v>
      </c>
      <c r="V94" s="2" t="s">
        <v>110</v>
      </c>
      <c r="W94" s="2" t="s">
        <v>111</v>
      </c>
      <c r="X94" s="2" t="s">
        <v>126</v>
      </c>
      <c r="Y94" s="17">
        <v>201002011</v>
      </c>
      <c r="Z94" s="17">
        <v>0</v>
      </c>
      <c r="AA94" s="2">
        <v>1</v>
      </c>
      <c r="AB94" s="12" t="s">
        <v>83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 x14ac:dyDescent="0.2">
      <c r="A95" s="2">
        <v>302110</v>
      </c>
      <c r="B95" s="2">
        <v>30</v>
      </c>
      <c r="C95" s="2" t="s">
        <v>131</v>
      </c>
      <c r="D95" s="2"/>
      <c r="E95" s="12"/>
      <c r="F95" s="2"/>
      <c r="G95" s="2">
        <v>12</v>
      </c>
      <c r="H95" s="2">
        <v>1</v>
      </c>
      <c r="I95" s="2" t="s">
        <v>81</v>
      </c>
      <c r="J95" s="2">
        <v>0</v>
      </c>
      <c r="K95" s="2" t="s">
        <v>132</v>
      </c>
      <c r="L95" s="2">
        <v>1000103</v>
      </c>
      <c r="M95" s="2">
        <v>1</v>
      </c>
      <c r="N95" s="2">
        <v>100</v>
      </c>
      <c r="O95" s="2">
        <v>0</v>
      </c>
      <c r="P95" s="2">
        <v>15</v>
      </c>
      <c r="Q95" s="2">
        <v>0</v>
      </c>
      <c r="R95" s="2">
        <v>36</v>
      </c>
      <c r="S95" s="2">
        <v>-5500</v>
      </c>
      <c r="T95" s="2">
        <v>1</v>
      </c>
      <c r="U95" s="2">
        <v>0</v>
      </c>
      <c r="V95" s="2" t="s">
        <v>110</v>
      </c>
      <c r="W95" s="2" t="s">
        <v>111</v>
      </c>
      <c r="X95" s="2" t="s">
        <v>126</v>
      </c>
      <c r="Y95" s="17">
        <v>201002011</v>
      </c>
      <c r="Z95" s="17">
        <v>0</v>
      </c>
      <c r="AA95" s="2">
        <v>1</v>
      </c>
      <c r="AB95" s="12" t="s">
        <v>83</v>
      </c>
      <c r="AC95" s="2">
        <v>15000</v>
      </c>
      <c r="AD95" s="2">
        <v>10000</v>
      </c>
      <c r="AE95" s="2">
        <v>25010001</v>
      </c>
      <c r="AF95" s="8">
        <v>40</v>
      </c>
      <c r="AG95" s="8">
        <v>0</v>
      </c>
      <c r="AH95" s="8">
        <v>0</v>
      </c>
      <c r="AI95" s="8">
        <v>0</v>
      </c>
      <c r="AJ95" s="8">
        <v>0</v>
      </c>
    </row>
    <row r="96" spans="1:36" x14ac:dyDescent="0.2">
      <c r="A96" s="2">
        <v>302111</v>
      </c>
      <c r="B96" s="2">
        <v>30</v>
      </c>
      <c r="C96" s="2" t="s">
        <v>133</v>
      </c>
      <c r="D96" s="2"/>
      <c r="E96" s="12"/>
      <c r="F96" s="2"/>
      <c r="G96" s="2">
        <v>12</v>
      </c>
      <c r="H96" s="2">
        <v>1</v>
      </c>
      <c r="I96" s="2" t="s">
        <v>81</v>
      </c>
      <c r="J96" s="2">
        <v>0</v>
      </c>
      <c r="K96" s="2" t="s">
        <v>132</v>
      </c>
      <c r="L96" s="2">
        <v>1000103</v>
      </c>
      <c r="M96" s="2">
        <v>1</v>
      </c>
      <c r="N96" s="2">
        <v>100</v>
      </c>
      <c r="O96" s="2">
        <v>0</v>
      </c>
      <c r="P96" s="2">
        <v>15</v>
      </c>
      <c r="Q96" s="2">
        <v>0</v>
      </c>
      <c r="R96" s="2">
        <v>36</v>
      </c>
      <c r="S96" s="2">
        <v>-5500</v>
      </c>
      <c r="T96" s="2">
        <v>1</v>
      </c>
      <c r="U96" s="2">
        <v>0</v>
      </c>
      <c r="V96" s="2" t="s">
        <v>110</v>
      </c>
      <c r="W96" s="2" t="s">
        <v>111</v>
      </c>
      <c r="X96" s="2" t="s">
        <v>126</v>
      </c>
      <c r="Y96" s="17">
        <v>201002011</v>
      </c>
      <c r="Z96" s="17">
        <v>0</v>
      </c>
      <c r="AA96" s="2">
        <v>1</v>
      </c>
      <c r="AB96" s="12" t="s">
        <v>83</v>
      </c>
      <c r="AC96" s="2">
        <v>15000</v>
      </c>
      <c r="AD96" s="2">
        <v>10000</v>
      </c>
      <c r="AE96" s="2">
        <v>25010001</v>
      </c>
      <c r="AF96" s="8">
        <v>40</v>
      </c>
      <c r="AG96" s="8">
        <v>0</v>
      </c>
      <c r="AH96" s="8">
        <v>0</v>
      </c>
      <c r="AI96" s="8">
        <v>0</v>
      </c>
      <c r="AJ96" s="8">
        <v>0</v>
      </c>
    </row>
    <row r="97" spans="1:36" x14ac:dyDescent="0.2">
      <c r="A97" s="2">
        <v>302112</v>
      </c>
      <c r="B97" s="2">
        <v>30</v>
      </c>
      <c r="C97" s="2" t="s">
        <v>134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 t="s">
        <v>132</v>
      </c>
      <c r="L97" s="2">
        <v>1000103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126</v>
      </c>
      <c r="Y97" s="17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 ht="14.25" x14ac:dyDescent="0.2">
      <c r="A98" s="3">
        <v>302113</v>
      </c>
      <c r="B98" s="3">
        <v>30</v>
      </c>
      <c r="C98" s="3" t="s">
        <v>135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136</v>
      </c>
      <c r="L98" s="3">
        <v>800003021</v>
      </c>
      <c r="M98" s="3">
        <v>1</v>
      </c>
      <c r="N98" s="3">
        <v>500</v>
      </c>
      <c r="O98" s="3">
        <v>0</v>
      </c>
      <c r="P98" s="3">
        <v>42</v>
      </c>
      <c r="Q98" s="3">
        <v>3</v>
      </c>
      <c r="R98" s="15">
        <v>1496</v>
      </c>
      <c r="S98" s="3">
        <v>-5500</v>
      </c>
      <c r="T98" s="3">
        <v>1</v>
      </c>
      <c r="U98" s="3">
        <v>30000</v>
      </c>
      <c r="V98" s="3" t="s">
        <v>110</v>
      </c>
      <c r="W98" s="3" t="s">
        <v>111</v>
      </c>
      <c r="X98" s="3" t="s">
        <v>137</v>
      </c>
      <c r="Y98" s="16">
        <v>203002011</v>
      </c>
      <c r="Z98" s="16">
        <v>0</v>
      </c>
      <c r="AA98" s="3">
        <v>1</v>
      </c>
      <c r="AB98" s="8" t="s">
        <v>138</v>
      </c>
      <c r="AC98" s="3">
        <v>15000</v>
      </c>
      <c r="AD98" s="3">
        <v>10000</v>
      </c>
      <c r="AE98" s="3">
        <v>25010001</v>
      </c>
      <c r="AF98" s="8">
        <v>40</v>
      </c>
      <c r="AG98" s="8">
        <v>1000</v>
      </c>
      <c r="AH98" s="8">
        <v>5000</v>
      </c>
      <c r="AI98" s="8">
        <v>40</v>
      </c>
      <c r="AJ98" s="8">
        <v>0</v>
      </c>
    </row>
    <row r="99" spans="1:36" x14ac:dyDescent="0.2">
      <c r="A99" s="2">
        <v>302114</v>
      </c>
      <c r="B99" s="2">
        <v>30</v>
      </c>
      <c r="C99" s="2" t="s">
        <v>139</v>
      </c>
      <c r="D99" s="2"/>
      <c r="E99" s="12"/>
      <c r="F99" s="2"/>
      <c r="G99" s="2">
        <v>12</v>
      </c>
      <c r="H99" s="2">
        <v>1</v>
      </c>
      <c r="I99" s="2" t="s">
        <v>81</v>
      </c>
      <c r="J99" s="2">
        <v>0</v>
      </c>
      <c r="K99" s="2" t="s">
        <v>140</v>
      </c>
      <c r="L99" s="2">
        <v>1000011</v>
      </c>
      <c r="M99" s="2">
        <v>1</v>
      </c>
      <c r="N99" s="2">
        <v>100</v>
      </c>
      <c r="O99" s="2">
        <v>0</v>
      </c>
      <c r="P99" s="2">
        <v>15</v>
      </c>
      <c r="Q99" s="2">
        <v>0</v>
      </c>
      <c r="R99" s="2">
        <v>36</v>
      </c>
      <c r="S99" s="2">
        <v>-5500</v>
      </c>
      <c r="T99" s="2">
        <v>1</v>
      </c>
      <c r="U99" s="2">
        <v>0</v>
      </c>
      <c r="V99" s="2" t="s">
        <v>110</v>
      </c>
      <c r="W99" s="2" t="s">
        <v>111</v>
      </c>
      <c r="X99" s="2" t="s">
        <v>126</v>
      </c>
      <c r="Y99" s="17">
        <v>201002011</v>
      </c>
      <c r="Z99" s="17">
        <v>0</v>
      </c>
      <c r="AA99" s="2">
        <v>1</v>
      </c>
      <c r="AB99" s="12" t="s">
        <v>83</v>
      </c>
      <c r="AC99" s="2">
        <v>15000</v>
      </c>
      <c r="AD99" s="2">
        <v>10000</v>
      </c>
      <c r="AE99" s="2">
        <v>0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spans="1:36" x14ac:dyDescent="0.2">
      <c r="A100" s="2">
        <v>302115</v>
      </c>
      <c r="B100" s="2">
        <v>30</v>
      </c>
      <c r="C100" s="2" t="s">
        <v>141</v>
      </c>
      <c r="D100" s="2"/>
      <c r="E100" s="12"/>
      <c r="F100" s="2"/>
      <c r="G100" s="2">
        <v>12</v>
      </c>
      <c r="H100" s="2">
        <v>1</v>
      </c>
      <c r="I100" s="2" t="s">
        <v>81</v>
      </c>
      <c r="J100" s="2">
        <v>0</v>
      </c>
      <c r="K100" s="2" t="s">
        <v>140</v>
      </c>
      <c r="L100" s="2">
        <v>1000011</v>
      </c>
      <c r="M100" s="2">
        <v>1</v>
      </c>
      <c r="N100" s="2">
        <v>100</v>
      </c>
      <c r="O100" s="2">
        <v>0</v>
      </c>
      <c r="P100" s="2">
        <v>15</v>
      </c>
      <c r="Q100" s="2">
        <v>0</v>
      </c>
      <c r="R100" s="2">
        <v>36</v>
      </c>
      <c r="S100" s="2">
        <v>-5500</v>
      </c>
      <c r="T100" s="2">
        <v>1</v>
      </c>
      <c r="U100" s="2">
        <v>0</v>
      </c>
      <c r="V100" s="2" t="s">
        <v>110</v>
      </c>
      <c r="W100" s="2" t="s">
        <v>111</v>
      </c>
      <c r="X100" s="2" t="s">
        <v>126</v>
      </c>
      <c r="Y100" s="17">
        <v>201002011</v>
      </c>
      <c r="Z100" s="17">
        <v>0</v>
      </c>
      <c r="AA100" s="2">
        <v>1</v>
      </c>
      <c r="AB100" s="12" t="s">
        <v>83</v>
      </c>
      <c r="AC100" s="2">
        <v>15000</v>
      </c>
      <c r="AD100" s="2">
        <v>10000</v>
      </c>
      <c r="AE100" s="2">
        <v>0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spans="1:36" x14ac:dyDescent="0.2">
      <c r="A101" s="3">
        <v>303101</v>
      </c>
      <c r="B101" s="3">
        <v>30</v>
      </c>
      <c r="C101" s="3" t="s">
        <v>108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109</v>
      </c>
      <c r="L101" s="3">
        <v>800001011</v>
      </c>
      <c r="M101" s="3">
        <v>1</v>
      </c>
      <c r="N101" s="3">
        <v>70</v>
      </c>
      <c r="O101" s="3">
        <v>0</v>
      </c>
      <c r="P101" s="3">
        <v>19</v>
      </c>
      <c r="Q101" s="3">
        <v>0</v>
      </c>
      <c r="R101" s="3">
        <v>211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152</v>
      </c>
      <c r="Y101" s="16">
        <v>201001011</v>
      </c>
      <c r="Z101" s="16">
        <v>0</v>
      </c>
      <c r="AA101" s="3">
        <v>1</v>
      </c>
      <c r="AB101" s="8" t="s">
        <v>113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10000</v>
      </c>
      <c r="AH101" s="8">
        <v>10000</v>
      </c>
      <c r="AI101" s="8">
        <v>50</v>
      </c>
      <c r="AJ101" s="8">
        <v>0</v>
      </c>
    </row>
    <row r="102" spans="1:36" x14ac:dyDescent="0.2">
      <c r="A102" s="3">
        <v>303102</v>
      </c>
      <c r="B102" s="3">
        <v>30</v>
      </c>
      <c r="C102" s="3" t="s">
        <v>114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115</v>
      </c>
      <c r="L102" s="3">
        <v>800001021</v>
      </c>
      <c r="M102" s="3">
        <v>1</v>
      </c>
      <c r="N102" s="3">
        <v>200</v>
      </c>
      <c r="O102" s="3">
        <v>0</v>
      </c>
      <c r="P102" s="3">
        <v>38</v>
      </c>
      <c r="Q102" s="3">
        <v>4</v>
      </c>
      <c r="R102" s="3">
        <v>570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152</v>
      </c>
      <c r="Y102" s="16">
        <v>201002011</v>
      </c>
      <c r="Z102" s="16">
        <v>0</v>
      </c>
      <c r="AA102" s="3">
        <v>1</v>
      </c>
      <c r="AB102" s="8" t="s">
        <v>116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3000</v>
      </c>
      <c r="AH102" s="8">
        <v>10000</v>
      </c>
      <c r="AI102" s="8">
        <v>15</v>
      </c>
      <c r="AJ102" s="8">
        <v>0</v>
      </c>
    </row>
    <row r="103" spans="1:36" x14ac:dyDescent="0.2">
      <c r="A103" s="2">
        <v>303103</v>
      </c>
      <c r="B103" s="2">
        <v>30</v>
      </c>
      <c r="C103" s="2" t="s">
        <v>117</v>
      </c>
      <c r="D103" s="2"/>
      <c r="E103" s="12"/>
      <c r="F103" s="2"/>
      <c r="G103" s="2">
        <v>12</v>
      </c>
      <c r="H103" s="2">
        <v>1</v>
      </c>
      <c r="I103" s="2" t="s">
        <v>81</v>
      </c>
      <c r="J103" s="2">
        <v>0</v>
      </c>
      <c r="K103" s="2" t="s">
        <v>118</v>
      </c>
      <c r="L103" s="2">
        <v>800001021</v>
      </c>
      <c r="M103" s="2">
        <v>1</v>
      </c>
      <c r="N103" s="2">
        <v>70</v>
      </c>
      <c r="O103" s="2">
        <v>0</v>
      </c>
      <c r="P103" s="2">
        <v>15</v>
      </c>
      <c r="Q103" s="2">
        <v>1</v>
      </c>
      <c r="R103" s="2">
        <v>300</v>
      </c>
      <c r="S103" s="2">
        <v>-5500</v>
      </c>
      <c r="T103" s="2">
        <v>1</v>
      </c>
      <c r="U103" s="2">
        <v>250</v>
      </c>
      <c r="V103" s="2" t="s">
        <v>110</v>
      </c>
      <c r="W103" s="2" t="s">
        <v>111</v>
      </c>
      <c r="X103" s="2" t="s">
        <v>152</v>
      </c>
      <c r="Y103" s="17">
        <v>201002011</v>
      </c>
      <c r="Z103" s="17">
        <v>0</v>
      </c>
      <c r="AA103" s="2">
        <v>1</v>
      </c>
      <c r="AB103" s="12" t="s">
        <v>113</v>
      </c>
      <c r="AC103" s="2">
        <v>15000</v>
      </c>
      <c r="AD103" s="2">
        <v>10000</v>
      </c>
      <c r="AE103" s="2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spans="1:36" x14ac:dyDescent="0.2">
      <c r="A104" s="3">
        <v>303104</v>
      </c>
      <c r="B104" s="3">
        <v>30</v>
      </c>
      <c r="C104" s="3" t="s">
        <v>119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120</v>
      </c>
      <c r="L104" s="3">
        <v>800001041</v>
      </c>
      <c r="M104" s="3">
        <v>1</v>
      </c>
      <c r="N104" s="3">
        <v>70</v>
      </c>
      <c r="O104" s="3">
        <v>0</v>
      </c>
      <c r="P104" s="3">
        <v>29</v>
      </c>
      <c r="Q104" s="3">
        <v>0</v>
      </c>
      <c r="R104" s="3">
        <v>169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152</v>
      </c>
      <c r="Y104" s="16">
        <v>201004011</v>
      </c>
      <c r="Z104" s="16">
        <v>0</v>
      </c>
      <c r="AA104" s="3">
        <v>1</v>
      </c>
      <c r="AB104" s="8" t="s">
        <v>113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10000</v>
      </c>
      <c r="AH104" s="8">
        <v>10000</v>
      </c>
      <c r="AI104" s="8">
        <v>80</v>
      </c>
      <c r="AJ104" s="8">
        <v>10</v>
      </c>
    </row>
    <row r="105" spans="1:36" x14ac:dyDescent="0.2">
      <c r="A105" s="3">
        <v>303105</v>
      </c>
      <c r="B105" s="3">
        <v>30</v>
      </c>
      <c r="C105" s="3" t="s">
        <v>121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122</v>
      </c>
      <c r="L105" s="3">
        <v>800014011</v>
      </c>
      <c r="M105" s="3">
        <v>1</v>
      </c>
      <c r="N105" s="3">
        <v>125</v>
      </c>
      <c r="O105" s="3">
        <v>0</v>
      </c>
      <c r="P105" s="3">
        <v>25</v>
      </c>
      <c r="Q105" s="3">
        <v>2</v>
      </c>
      <c r="R105" s="3">
        <v>268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152</v>
      </c>
      <c r="Y105" s="16">
        <v>214001011</v>
      </c>
      <c r="Z105" s="16">
        <v>0</v>
      </c>
      <c r="AA105" s="3">
        <v>1</v>
      </c>
      <c r="AB105" s="8" t="s">
        <v>123</v>
      </c>
      <c r="AC105" s="3">
        <v>15000</v>
      </c>
      <c r="AD105" s="3">
        <v>10000</v>
      </c>
      <c r="AE105" s="3">
        <v>25010001</v>
      </c>
      <c r="AF105" s="8">
        <v>40</v>
      </c>
      <c r="AG105" s="8">
        <v>10000</v>
      </c>
      <c r="AH105" s="8">
        <v>10000</v>
      </c>
      <c r="AI105" s="8">
        <v>40</v>
      </c>
      <c r="AJ105" s="8">
        <v>0</v>
      </c>
    </row>
    <row r="106" spans="1:36" x14ac:dyDescent="0.2">
      <c r="A106" s="2">
        <v>303106</v>
      </c>
      <c r="B106" s="2">
        <v>30</v>
      </c>
      <c r="C106" s="2" t="s">
        <v>124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 t="s">
        <v>125</v>
      </c>
      <c r="L106" s="2">
        <v>1000010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126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25010001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 x14ac:dyDescent="0.2">
      <c r="A107" s="2">
        <v>303107</v>
      </c>
      <c r="B107" s="2">
        <v>30</v>
      </c>
      <c r="C107" s="2" t="s">
        <v>127</v>
      </c>
      <c r="D107" s="2"/>
      <c r="E107" s="12"/>
      <c r="F107" s="2"/>
      <c r="G107" s="2">
        <v>12</v>
      </c>
      <c r="H107" s="2">
        <v>1</v>
      </c>
      <c r="I107" s="2" t="s">
        <v>81</v>
      </c>
      <c r="J107" s="2">
        <v>0</v>
      </c>
      <c r="K107" s="2" t="s">
        <v>128</v>
      </c>
      <c r="L107" s="2">
        <v>1000006</v>
      </c>
      <c r="M107" s="2">
        <v>1</v>
      </c>
      <c r="N107" s="2">
        <v>100</v>
      </c>
      <c r="O107" s="2">
        <v>0</v>
      </c>
      <c r="P107" s="2">
        <v>15</v>
      </c>
      <c r="Q107" s="2">
        <v>0</v>
      </c>
      <c r="R107" s="2">
        <v>36</v>
      </c>
      <c r="S107" s="2">
        <v>-5500</v>
      </c>
      <c r="T107" s="2">
        <v>1</v>
      </c>
      <c r="U107" s="2">
        <v>0</v>
      </c>
      <c r="V107" s="2" t="s">
        <v>110</v>
      </c>
      <c r="W107" s="2" t="s">
        <v>111</v>
      </c>
      <c r="X107" s="2" t="s">
        <v>126</v>
      </c>
      <c r="Y107" s="17">
        <v>201002011</v>
      </c>
      <c r="Z107" s="17">
        <v>0</v>
      </c>
      <c r="AA107" s="2">
        <v>1</v>
      </c>
      <c r="AB107" s="12" t="s">
        <v>83</v>
      </c>
      <c r="AC107" s="2">
        <v>15000</v>
      </c>
      <c r="AD107" s="2">
        <v>10000</v>
      </c>
      <c r="AE107" s="2">
        <v>25010001</v>
      </c>
      <c r="AF107" s="8">
        <v>40</v>
      </c>
      <c r="AG107" s="8">
        <v>0</v>
      </c>
      <c r="AH107" s="8">
        <v>0</v>
      </c>
      <c r="AI107" s="8">
        <v>0</v>
      </c>
      <c r="AJ107" s="8">
        <v>0</v>
      </c>
    </row>
    <row r="108" spans="1:36" x14ac:dyDescent="0.2">
      <c r="A108" s="2">
        <v>303108</v>
      </c>
      <c r="B108" s="2">
        <v>30</v>
      </c>
      <c r="C108" s="2" t="s">
        <v>129</v>
      </c>
      <c r="D108" s="2"/>
      <c r="E108" s="12"/>
      <c r="F108" s="2"/>
      <c r="G108" s="2">
        <v>12</v>
      </c>
      <c r="H108" s="2">
        <v>1</v>
      </c>
      <c r="I108" s="2" t="s">
        <v>81</v>
      </c>
      <c r="J108" s="2">
        <v>0</v>
      </c>
      <c r="K108" s="2" t="s">
        <v>128</v>
      </c>
      <c r="L108" s="2">
        <v>1000006</v>
      </c>
      <c r="M108" s="2">
        <v>1</v>
      </c>
      <c r="N108" s="2">
        <v>100</v>
      </c>
      <c r="O108" s="2">
        <v>0</v>
      </c>
      <c r="P108" s="2">
        <v>15</v>
      </c>
      <c r="Q108" s="2">
        <v>0</v>
      </c>
      <c r="R108" s="2">
        <v>36</v>
      </c>
      <c r="S108" s="2">
        <v>-5500</v>
      </c>
      <c r="T108" s="2">
        <v>1</v>
      </c>
      <c r="U108" s="2">
        <v>0</v>
      </c>
      <c r="V108" s="2" t="s">
        <v>110</v>
      </c>
      <c r="W108" s="2" t="s">
        <v>111</v>
      </c>
      <c r="X108" s="2" t="s">
        <v>126</v>
      </c>
      <c r="Y108" s="17">
        <v>201002011</v>
      </c>
      <c r="Z108" s="17">
        <v>0</v>
      </c>
      <c r="AA108" s="2">
        <v>1</v>
      </c>
      <c r="AB108" s="12" t="s">
        <v>83</v>
      </c>
      <c r="AC108" s="2">
        <v>15000</v>
      </c>
      <c r="AD108" s="2">
        <v>10000</v>
      </c>
      <c r="AE108" s="2">
        <v>25010001</v>
      </c>
      <c r="AF108" s="8">
        <v>40</v>
      </c>
      <c r="AG108" s="8">
        <v>0</v>
      </c>
      <c r="AH108" s="8">
        <v>0</v>
      </c>
      <c r="AI108" s="8">
        <v>0</v>
      </c>
      <c r="AJ108" s="8">
        <v>0</v>
      </c>
    </row>
    <row r="109" spans="1:36" x14ac:dyDescent="0.2">
      <c r="A109" s="2">
        <v>303109</v>
      </c>
      <c r="B109" s="2">
        <v>30</v>
      </c>
      <c r="C109" s="2" t="s">
        <v>130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 t="s">
        <v>128</v>
      </c>
      <c r="L109" s="2">
        <v>1000006</v>
      </c>
      <c r="M109" s="2">
        <v>1</v>
      </c>
      <c r="N109" s="2">
        <v>100</v>
      </c>
      <c r="O109" s="2">
        <v>0</v>
      </c>
      <c r="P109" s="2">
        <v>15</v>
      </c>
      <c r="Q109" s="2">
        <v>0</v>
      </c>
      <c r="R109" s="2">
        <v>36</v>
      </c>
      <c r="S109" s="2">
        <v>-5500</v>
      </c>
      <c r="T109" s="2">
        <v>1</v>
      </c>
      <c r="U109" s="2">
        <v>0</v>
      </c>
      <c r="V109" s="2" t="s">
        <v>110</v>
      </c>
      <c r="W109" s="2" t="s">
        <v>111</v>
      </c>
      <c r="X109" s="2" t="s">
        <v>126</v>
      </c>
      <c r="Y109" s="17">
        <v>201002011</v>
      </c>
      <c r="Z109" s="17">
        <v>0</v>
      </c>
      <c r="AA109" s="2">
        <v>1</v>
      </c>
      <c r="AB109" s="12" t="s">
        <v>83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 x14ac:dyDescent="0.2">
      <c r="A110" s="2">
        <v>303110</v>
      </c>
      <c r="B110" s="2">
        <v>30</v>
      </c>
      <c r="C110" s="2" t="s">
        <v>131</v>
      </c>
      <c r="D110" s="2"/>
      <c r="E110" s="12"/>
      <c r="F110" s="2"/>
      <c r="G110" s="2">
        <v>12</v>
      </c>
      <c r="H110" s="2">
        <v>1</v>
      </c>
      <c r="I110" s="2" t="s">
        <v>81</v>
      </c>
      <c r="J110" s="2">
        <v>0</v>
      </c>
      <c r="K110" s="2" t="s">
        <v>132</v>
      </c>
      <c r="L110" s="2">
        <v>1000103</v>
      </c>
      <c r="M110" s="2">
        <v>1</v>
      </c>
      <c r="N110" s="2">
        <v>100</v>
      </c>
      <c r="O110" s="2">
        <v>0</v>
      </c>
      <c r="P110" s="2">
        <v>15</v>
      </c>
      <c r="Q110" s="2">
        <v>0</v>
      </c>
      <c r="R110" s="2">
        <v>36</v>
      </c>
      <c r="S110" s="2">
        <v>-5500</v>
      </c>
      <c r="T110" s="2">
        <v>1</v>
      </c>
      <c r="U110" s="2">
        <v>0</v>
      </c>
      <c r="V110" s="2" t="s">
        <v>110</v>
      </c>
      <c r="W110" s="2" t="s">
        <v>111</v>
      </c>
      <c r="X110" s="2" t="s">
        <v>126</v>
      </c>
      <c r="Y110" s="17">
        <v>201002011</v>
      </c>
      <c r="Z110" s="17">
        <v>0</v>
      </c>
      <c r="AA110" s="2">
        <v>1</v>
      </c>
      <c r="AB110" s="12" t="s">
        <v>83</v>
      </c>
      <c r="AC110" s="2">
        <v>15000</v>
      </c>
      <c r="AD110" s="2">
        <v>10000</v>
      </c>
      <c r="AE110" s="2">
        <v>25010001</v>
      </c>
      <c r="AF110" s="8">
        <v>40</v>
      </c>
      <c r="AG110" s="8">
        <v>0</v>
      </c>
      <c r="AH110" s="8">
        <v>0</v>
      </c>
      <c r="AI110" s="8">
        <v>0</v>
      </c>
      <c r="AJ110" s="8">
        <v>0</v>
      </c>
    </row>
    <row r="111" spans="1:36" x14ac:dyDescent="0.2">
      <c r="A111" s="2">
        <v>303111</v>
      </c>
      <c r="B111" s="2">
        <v>30</v>
      </c>
      <c r="C111" s="2" t="s">
        <v>133</v>
      </c>
      <c r="D111" s="2"/>
      <c r="E111" s="12"/>
      <c r="F111" s="2"/>
      <c r="G111" s="2">
        <v>12</v>
      </c>
      <c r="H111" s="2">
        <v>1</v>
      </c>
      <c r="I111" s="2" t="s">
        <v>81</v>
      </c>
      <c r="J111" s="2">
        <v>0</v>
      </c>
      <c r="K111" s="2" t="s">
        <v>132</v>
      </c>
      <c r="L111" s="2">
        <v>1000103</v>
      </c>
      <c r="M111" s="2">
        <v>1</v>
      </c>
      <c r="N111" s="2">
        <v>100</v>
      </c>
      <c r="O111" s="2">
        <v>0</v>
      </c>
      <c r="P111" s="2">
        <v>15</v>
      </c>
      <c r="Q111" s="2">
        <v>0</v>
      </c>
      <c r="R111" s="2">
        <v>36</v>
      </c>
      <c r="S111" s="2">
        <v>-5500</v>
      </c>
      <c r="T111" s="2">
        <v>1</v>
      </c>
      <c r="U111" s="2">
        <v>0</v>
      </c>
      <c r="V111" s="2" t="s">
        <v>110</v>
      </c>
      <c r="W111" s="2" t="s">
        <v>111</v>
      </c>
      <c r="X111" s="2" t="s">
        <v>126</v>
      </c>
      <c r="Y111" s="17">
        <v>201002011</v>
      </c>
      <c r="Z111" s="17">
        <v>0</v>
      </c>
      <c r="AA111" s="2">
        <v>1</v>
      </c>
      <c r="AB111" s="12" t="s">
        <v>83</v>
      </c>
      <c r="AC111" s="2">
        <v>15000</v>
      </c>
      <c r="AD111" s="2">
        <v>10000</v>
      </c>
      <c r="AE111" s="2">
        <v>25010001</v>
      </c>
      <c r="AF111" s="8">
        <v>40</v>
      </c>
      <c r="AG111" s="8">
        <v>0</v>
      </c>
      <c r="AH111" s="8">
        <v>0</v>
      </c>
      <c r="AI111" s="8">
        <v>0</v>
      </c>
      <c r="AJ111" s="8">
        <v>0</v>
      </c>
    </row>
    <row r="112" spans="1:36" x14ac:dyDescent="0.2">
      <c r="A112" s="2">
        <v>303112</v>
      </c>
      <c r="B112" s="2">
        <v>30</v>
      </c>
      <c r="C112" s="2" t="s">
        <v>134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 t="s">
        <v>132</v>
      </c>
      <c r="L112" s="2">
        <v>1000103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126</v>
      </c>
      <c r="Y112" s="17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 ht="14.25" x14ac:dyDescent="0.2">
      <c r="A113" s="3">
        <v>303113</v>
      </c>
      <c r="B113" s="3">
        <v>30</v>
      </c>
      <c r="C113" s="3" t="s">
        <v>135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136</v>
      </c>
      <c r="L113" s="3">
        <v>800003021</v>
      </c>
      <c r="M113" s="3">
        <v>1</v>
      </c>
      <c r="N113" s="3">
        <v>500</v>
      </c>
      <c r="O113" s="3">
        <v>0</v>
      </c>
      <c r="P113" s="3">
        <v>38</v>
      </c>
      <c r="Q113" s="3">
        <v>4</v>
      </c>
      <c r="R113" s="15">
        <v>570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137</v>
      </c>
      <c r="Y113" s="16">
        <v>203002011</v>
      </c>
      <c r="Z113" s="16">
        <v>0</v>
      </c>
      <c r="AA113" s="3">
        <v>1</v>
      </c>
      <c r="AB113" s="8" t="s">
        <v>113</v>
      </c>
      <c r="AC113" s="3">
        <v>15000</v>
      </c>
      <c r="AD113" s="3">
        <v>10000</v>
      </c>
      <c r="AE113" s="3">
        <v>25010001</v>
      </c>
      <c r="AF113" s="8">
        <v>40</v>
      </c>
      <c r="AG113" s="8">
        <v>10000</v>
      </c>
      <c r="AH113" s="8">
        <v>10000</v>
      </c>
      <c r="AI113" s="8">
        <v>40</v>
      </c>
      <c r="AJ113" s="8">
        <v>0</v>
      </c>
    </row>
    <row r="114" spans="1:36" x14ac:dyDescent="0.2">
      <c r="A114" s="2">
        <v>303114</v>
      </c>
      <c r="B114" s="2">
        <v>30</v>
      </c>
      <c r="C114" s="2" t="s">
        <v>139</v>
      </c>
      <c r="D114" s="2"/>
      <c r="E114" s="12"/>
      <c r="F114" s="2"/>
      <c r="G114" s="2">
        <v>12</v>
      </c>
      <c r="H114" s="2">
        <v>1</v>
      </c>
      <c r="I114" s="2" t="s">
        <v>81</v>
      </c>
      <c r="J114" s="2">
        <v>0</v>
      </c>
      <c r="K114" s="2" t="s">
        <v>140</v>
      </c>
      <c r="L114" s="2">
        <v>1000011</v>
      </c>
      <c r="M114" s="2">
        <v>1</v>
      </c>
      <c r="N114" s="2">
        <v>100</v>
      </c>
      <c r="O114" s="2">
        <v>0</v>
      </c>
      <c r="P114" s="2">
        <v>15</v>
      </c>
      <c r="Q114" s="2">
        <v>0</v>
      </c>
      <c r="R114" s="2">
        <v>36</v>
      </c>
      <c r="S114" s="2">
        <v>-5500</v>
      </c>
      <c r="T114" s="2">
        <v>1</v>
      </c>
      <c r="U114" s="2">
        <v>0</v>
      </c>
      <c r="V114" s="2" t="s">
        <v>110</v>
      </c>
      <c r="W114" s="2" t="s">
        <v>111</v>
      </c>
      <c r="X114" s="2" t="s">
        <v>126</v>
      </c>
      <c r="Y114" s="17">
        <v>201002011</v>
      </c>
      <c r="Z114" s="17">
        <v>0</v>
      </c>
      <c r="AA114" s="2">
        <v>1</v>
      </c>
      <c r="AB114" s="12" t="s">
        <v>83</v>
      </c>
      <c r="AC114" s="2">
        <v>15000</v>
      </c>
      <c r="AD114" s="2">
        <v>10000</v>
      </c>
      <c r="AE114" s="2">
        <v>0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spans="1:36" ht="14.25" x14ac:dyDescent="0.2">
      <c r="A115" s="3">
        <v>303115</v>
      </c>
      <c r="B115" s="3">
        <v>30</v>
      </c>
      <c r="C115" s="3" t="s">
        <v>141</v>
      </c>
      <c r="D115" s="3"/>
      <c r="F115" s="3"/>
      <c r="G115" s="3">
        <v>12</v>
      </c>
      <c r="H115" s="3">
        <v>4</v>
      </c>
      <c r="I115" s="3" t="s">
        <v>81</v>
      </c>
      <c r="J115" s="3">
        <v>0</v>
      </c>
      <c r="K115" s="3" t="s">
        <v>159</v>
      </c>
      <c r="L115" s="3">
        <v>800016011</v>
      </c>
      <c r="M115" s="3">
        <v>1</v>
      </c>
      <c r="N115" s="3">
        <v>100</v>
      </c>
      <c r="O115" s="3">
        <v>0</v>
      </c>
      <c r="P115" s="3">
        <v>67</v>
      </c>
      <c r="Q115" s="3">
        <v>7</v>
      </c>
      <c r="R115" s="15">
        <v>4356</v>
      </c>
      <c r="S115" s="3">
        <v>-5500</v>
      </c>
      <c r="T115" s="3">
        <v>1</v>
      </c>
      <c r="U115" s="3">
        <v>30000</v>
      </c>
      <c r="V115" s="3" t="s">
        <v>110</v>
      </c>
      <c r="W115" s="3" t="s">
        <v>111</v>
      </c>
      <c r="X115" s="3" t="s">
        <v>137</v>
      </c>
      <c r="Y115" s="16">
        <v>216001001</v>
      </c>
      <c r="Z115" s="16">
        <v>0</v>
      </c>
      <c r="AA115" s="3">
        <v>1</v>
      </c>
      <c r="AB115" s="8" t="s">
        <v>138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1000</v>
      </c>
      <c r="AH115" s="8">
        <v>5000</v>
      </c>
      <c r="AI115" s="8">
        <v>5</v>
      </c>
      <c r="AJ115" s="8">
        <v>0</v>
      </c>
    </row>
    <row r="116" spans="1:36" ht="14.25" x14ac:dyDescent="0.2">
      <c r="A116" s="23">
        <v>90000201</v>
      </c>
      <c r="B116" s="23">
        <v>2</v>
      </c>
      <c r="C116" s="23" t="s">
        <v>197</v>
      </c>
      <c r="D116" s="23"/>
      <c r="E116" s="21"/>
      <c r="F116" s="23"/>
      <c r="G116" s="25">
        <v>1</v>
      </c>
      <c r="H116" s="25">
        <v>2</v>
      </c>
      <c r="I116" s="25" t="s">
        <v>81</v>
      </c>
      <c r="J116" s="23">
        <v>0</v>
      </c>
      <c r="K116" s="23" t="s">
        <v>109</v>
      </c>
      <c r="L116" s="23">
        <v>800001011</v>
      </c>
      <c r="M116" s="23">
        <v>1</v>
      </c>
      <c r="N116" s="26">
        <v>1</v>
      </c>
      <c r="O116" s="23">
        <v>1</v>
      </c>
      <c r="P116" s="23">
        <v>8</v>
      </c>
      <c r="Q116" s="23">
        <v>0</v>
      </c>
      <c r="R116" s="23">
        <v>25</v>
      </c>
      <c r="S116" s="23">
        <v>-5000</v>
      </c>
      <c r="T116" s="23">
        <v>1</v>
      </c>
      <c r="U116" s="23">
        <v>0</v>
      </c>
      <c r="V116" s="23" t="s">
        <v>82</v>
      </c>
      <c r="W116" s="23" t="s">
        <v>82</v>
      </c>
      <c r="X116" s="23" t="s">
        <v>82</v>
      </c>
      <c r="Y116" s="24">
        <v>20010001</v>
      </c>
      <c r="Z116" s="24">
        <v>0</v>
      </c>
      <c r="AA116" s="23">
        <v>1</v>
      </c>
      <c r="AB116" s="22" t="s">
        <v>83</v>
      </c>
      <c r="AC116" s="23">
        <v>10000</v>
      </c>
      <c r="AD116" s="23">
        <v>10000</v>
      </c>
      <c r="AE116" s="23">
        <v>0</v>
      </c>
      <c r="AF116" s="22">
        <v>40</v>
      </c>
      <c r="AG116" s="22">
        <v>0</v>
      </c>
      <c r="AH116" s="22">
        <v>0</v>
      </c>
      <c r="AI116" s="22">
        <v>0</v>
      </c>
      <c r="AJ116" s="22">
        <v>0</v>
      </c>
    </row>
    <row r="117" spans="1:36" ht="14.25" x14ac:dyDescent="0.2">
      <c r="A117" s="23">
        <v>90000301</v>
      </c>
      <c r="B117" s="23">
        <v>3</v>
      </c>
      <c r="C117" s="23" t="s">
        <v>198</v>
      </c>
      <c r="D117" s="23"/>
      <c r="E117" s="21"/>
      <c r="F117" s="23"/>
      <c r="G117" s="25">
        <v>1</v>
      </c>
      <c r="H117" s="25">
        <v>2</v>
      </c>
      <c r="I117" s="25" t="s">
        <v>81</v>
      </c>
      <c r="J117" s="23">
        <v>0</v>
      </c>
      <c r="K117" s="23" t="s">
        <v>109</v>
      </c>
      <c r="L117" s="23">
        <v>800001011</v>
      </c>
      <c r="M117" s="23">
        <v>1</v>
      </c>
      <c r="N117" s="26">
        <v>1</v>
      </c>
      <c r="O117" s="23">
        <v>1</v>
      </c>
      <c r="P117" s="23">
        <v>8</v>
      </c>
      <c r="Q117" s="23">
        <v>0</v>
      </c>
      <c r="R117" s="23">
        <v>25</v>
      </c>
      <c r="S117" s="23">
        <v>-5000</v>
      </c>
      <c r="T117" s="23">
        <v>1</v>
      </c>
      <c r="U117" s="23">
        <v>0</v>
      </c>
      <c r="V117" s="23" t="s">
        <v>82</v>
      </c>
      <c r="W117" s="23" t="s">
        <v>82</v>
      </c>
      <c r="X117" s="23" t="s">
        <v>82</v>
      </c>
      <c r="Y117" s="24">
        <v>20010001</v>
      </c>
      <c r="Z117" s="24">
        <v>0</v>
      </c>
      <c r="AA117" s="23">
        <v>1</v>
      </c>
      <c r="AB117" s="22" t="s">
        <v>83</v>
      </c>
      <c r="AC117" s="23">
        <v>10000</v>
      </c>
      <c r="AD117" s="23">
        <v>10000</v>
      </c>
      <c r="AE117" s="23">
        <v>0</v>
      </c>
      <c r="AF117" s="22">
        <v>40</v>
      </c>
      <c r="AG117" s="22">
        <v>0</v>
      </c>
      <c r="AH117" s="22">
        <v>0</v>
      </c>
      <c r="AI117" s="22">
        <v>0</v>
      </c>
      <c r="AJ117" s="22">
        <v>0</v>
      </c>
    </row>
    <row r="118" spans="1:36" ht="14.25" x14ac:dyDescent="0.2">
      <c r="A118" s="23">
        <v>90000302</v>
      </c>
      <c r="B118" s="23">
        <v>3</v>
      </c>
      <c r="C118" s="23" t="s">
        <v>199</v>
      </c>
      <c r="D118" s="23"/>
      <c r="E118" s="21"/>
      <c r="F118" s="23"/>
      <c r="G118" s="25">
        <v>1</v>
      </c>
      <c r="H118" s="25">
        <v>2</v>
      </c>
      <c r="I118" s="25" t="s">
        <v>81</v>
      </c>
      <c r="J118" s="23">
        <v>0</v>
      </c>
      <c r="K118" s="23" t="s">
        <v>109</v>
      </c>
      <c r="L118" s="23">
        <v>800001011</v>
      </c>
      <c r="M118" s="23">
        <v>1</v>
      </c>
      <c r="N118" s="26">
        <v>2</v>
      </c>
      <c r="O118" s="23">
        <v>1</v>
      </c>
      <c r="P118" s="23">
        <v>8</v>
      </c>
      <c r="Q118" s="23">
        <v>0</v>
      </c>
      <c r="R118" s="23">
        <v>25</v>
      </c>
      <c r="S118" s="23">
        <v>-5000</v>
      </c>
      <c r="T118" s="23">
        <v>1</v>
      </c>
      <c r="U118" s="23">
        <v>0</v>
      </c>
      <c r="V118" s="23" t="s">
        <v>82</v>
      </c>
      <c r="W118" s="23" t="s">
        <v>82</v>
      </c>
      <c r="X118" s="23" t="s">
        <v>82</v>
      </c>
      <c r="Y118" s="24">
        <v>20010001</v>
      </c>
      <c r="Z118" s="24">
        <v>0</v>
      </c>
      <c r="AA118" s="23">
        <v>1</v>
      </c>
      <c r="AB118" s="22" t="s">
        <v>83</v>
      </c>
      <c r="AC118" s="23">
        <v>10000</v>
      </c>
      <c r="AD118" s="23">
        <v>10000</v>
      </c>
      <c r="AE118" s="23">
        <v>0</v>
      </c>
      <c r="AF118" s="22">
        <v>40</v>
      </c>
      <c r="AG118" s="22">
        <v>0</v>
      </c>
      <c r="AH118" s="22">
        <v>0</v>
      </c>
      <c r="AI118" s="22">
        <v>0</v>
      </c>
      <c r="AJ118" s="22">
        <v>0</v>
      </c>
    </row>
    <row r="119" spans="1:36" ht="14.25" x14ac:dyDescent="0.2">
      <c r="A119" s="23">
        <v>90000401</v>
      </c>
      <c r="B119" s="23">
        <v>3</v>
      </c>
      <c r="C119" s="23" t="s">
        <v>200</v>
      </c>
      <c r="D119" s="23"/>
      <c r="E119" s="21"/>
      <c r="F119" s="23"/>
      <c r="G119" s="25">
        <v>1</v>
      </c>
      <c r="H119" s="25">
        <v>2</v>
      </c>
      <c r="I119" s="25" t="s">
        <v>81</v>
      </c>
      <c r="J119" s="23">
        <v>0</v>
      </c>
      <c r="K119" s="23" t="s">
        <v>109</v>
      </c>
      <c r="L119" s="23">
        <v>800001011</v>
      </c>
      <c r="M119" s="23">
        <v>1</v>
      </c>
      <c r="N119" s="26">
        <v>1</v>
      </c>
      <c r="O119" s="23">
        <v>1</v>
      </c>
      <c r="P119" s="23">
        <v>8</v>
      </c>
      <c r="Q119" s="23">
        <v>0</v>
      </c>
      <c r="R119" s="23">
        <v>25</v>
      </c>
      <c r="S119" s="23">
        <v>-5000</v>
      </c>
      <c r="T119" s="23">
        <v>1</v>
      </c>
      <c r="U119" s="23">
        <v>0</v>
      </c>
      <c r="V119" s="23" t="s">
        <v>82</v>
      </c>
      <c r="W119" s="23" t="s">
        <v>82</v>
      </c>
      <c r="X119" s="23" t="s">
        <v>82</v>
      </c>
      <c r="Y119" s="24">
        <v>20010001</v>
      </c>
      <c r="Z119" s="24">
        <v>0</v>
      </c>
      <c r="AA119" s="23">
        <v>1</v>
      </c>
      <c r="AB119" s="22" t="s">
        <v>83</v>
      </c>
      <c r="AC119" s="23">
        <v>10000</v>
      </c>
      <c r="AD119" s="23">
        <v>10000</v>
      </c>
      <c r="AE119" s="23">
        <v>0</v>
      </c>
      <c r="AF119" s="22">
        <v>40</v>
      </c>
      <c r="AG119" s="22">
        <v>0</v>
      </c>
      <c r="AH119" s="22">
        <v>0</v>
      </c>
      <c r="AI119" s="22">
        <v>0</v>
      </c>
      <c r="AJ119" s="22">
        <v>0</v>
      </c>
    </row>
    <row r="120" spans="1:36" ht="14.25" x14ac:dyDescent="0.2">
      <c r="A120" s="23">
        <v>90000402</v>
      </c>
      <c r="B120" s="23">
        <v>3</v>
      </c>
      <c r="C120" s="23" t="s">
        <v>201</v>
      </c>
      <c r="D120" s="23"/>
      <c r="E120" s="21"/>
      <c r="F120" s="23"/>
      <c r="G120" s="25">
        <v>1</v>
      </c>
      <c r="H120" s="25">
        <v>2</v>
      </c>
      <c r="I120" s="25" t="s">
        <v>81</v>
      </c>
      <c r="J120" s="23">
        <v>0</v>
      </c>
      <c r="K120" s="23" t="s">
        <v>109</v>
      </c>
      <c r="L120" s="23">
        <v>800001011</v>
      </c>
      <c r="M120" s="23">
        <v>1</v>
      </c>
      <c r="N120" s="26">
        <v>2</v>
      </c>
      <c r="O120" s="23">
        <v>1</v>
      </c>
      <c r="P120" s="23">
        <v>8</v>
      </c>
      <c r="Q120" s="23">
        <v>0</v>
      </c>
      <c r="R120" s="23">
        <v>25</v>
      </c>
      <c r="S120" s="23">
        <v>-5000</v>
      </c>
      <c r="T120" s="23">
        <v>1</v>
      </c>
      <c r="U120" s="23">
        <v>0</v>
      </c>
      <c r="V120" s="23" t="s">
        <v>82</v>
      </c>
      <c r="W120" s="23" t="s">
        <v>82</v>
      </c>
      <c r="X120" s="23" t="s">
        <v>82</v>
      </c>
      <c r="Y120" s="24">
        <v>20010001</v>
      </c>
      <c r="Z120" s="24">
        <v>0</v>
      </c>
      <c r="AA120" s="23">
        <v>1</v>
      </c>
      <c r="AB120" s="22" t="s">
        <v>83</v>
      </c>
      <c r="AC120" s="23">
        <v>10000</v>
      </c>
      <c r="AD120" s="23">
        <v>10000</v>
      </c>
      <c r="AE120" s="23">
        <v>0</v>
      </c>
      <c r="AF120" s="22">
        <v>40</v>
      </c>
      <c r="AG120" s="22">
        <v>0</v>
      </c>
      <c r="AH120" s="22">
        <v>0</v>
      </c>
      <c r="AI120" s="22">
        <v>0</v>
      </c>
      <c r="AJ120" s="22">
        <v>0</v>
      </c>
    </row>
    <row r="121" spans="1:36" ht="14.25" x14ac:dyDescent="0.2">
      <c r="A121" s="23">
        <v>90000501</v>
      </c>
      <c r="B121" s="23">
        <v>3</v>
      </c>
      <c r="C121" s="23" t="s">
        <v>202</v>
      </c>
      <c r="D121" s="23"/>
      <c r="E121" s="21"/>
      <c r="F121" s="23"/>
      <c r="G121" s="25">
        <v>1</v>
      </c>
      <c r="H121" s="25">
        <v>2</v>
      </c>
      <c r="I121" s="25" t="s">
        <v>81</v>
      </c>
      <c r="J121" s="23">
        <v>0</v>
      </c>
      <c r="K121" s="23" t="s">
        <v>109</v>
      </c>
      <c r="L121" s="23">
        <v>800001011</v>
      </c>
      <c r="M121" s="23">
        <v>1</v>
      </c>
      <c r="N121" s="26">
        <v>1</v>
      </c>
      <c r="O121" s="23">
        <v>1</v>
      </c>
      <c r="P121" s="23">
        <v>8</v>
      </c>
      <c r="Q121" s="23">
        <v>0</v>
      </c>
      <c r="R121" s="23">
        <v>25</v>
      </c>
      <c r="S121" s="23">
        <v>-5000</v>
      </c>
      <c r="T121" s="23">
        <v>1</v>
      </c>
      <c r="U121" s="23">
        <v>0</v>
      </c>
      <c r="V121" s="23" t="s">
        <v>82</v>
      </c>
      <c r="W121" s="23" t="s">
        <v>82</v>
      </c>
      <c r="X121" s="23" t="s">
        <v>82</v>
      </c>
      <c r="Y121" s="24">
        <v>20010001</v>
      </c>
      <c r="Z121" s="24">
        <v>0</v>
      </c>
      <c r="AA121" s="23">
        <v>1</v>
      </c>
      <c r="AB121" s="22" t="s">
        <v>83</v>
      </c>
      <c r="AC121" s="23">
        <v>10000</v>
      </c>
      <c r="AD121" s="23">
        <v>10000</v>
      </c>
      <c r="AE121" s="23">
        <v>0</v>
      </c>
      <c r="AF121" s="22">
        <v>40</v>
      </c>
      <c r="AG121" s="22">
        <v>0</v>
      </c>
      <c r="AH121" s="22">
        <v>0</v>
      </c>
      <c r="AI121" s="22">
        <v>0</v>
      </c>
      <c r="AJ121" s="22">
        <v>0</v>
      </c>
    </row>
    <row r="122" spans="1:36" ht="14.25" x14ac:dyDescent="0.2">
      <c r="A122" s="23">
        <v>90000502</v>
      </c>
      <c r="B122" s="23">
        <v>3</v>
      </c>
      <c r="C122" s="23" t="s">
        <v>203</v>
      </c>
      <c r="D122" s="23"/>
      <c r="E122" s="21"/>
      <c r="F122" s="23"/>
      <c r="G122" s="25">
        <v>1</v>
      </c>
      <c r="H122" s="25">
        <v>2</v>
      </c>
      <c r="I122" s="25" t="s">
        <v>81</v>
      </c>
      <c r="J122" s="23">
        <v>0</v>
      </c>
      <c r="K122" s="23" t="s">
        <v>109</v>
      </c>
      <c r="L122" s="23">
        <v>800001011</v>
      </c>
      <c r="M122" s="23">
        <v>1</v>
      </c>
      <c r="N122" s="26">
        <v>2</v>
      </c>
      <c r="O122" s="23">
        <v>1</v>
      </c>
      <c r="P122" s="23">
        <v>8</v>
      </c>
      <c r="Q122" s="23">
        <v>0</v>
      </c>
      <c r="R122" s="23">
        <v>25</v>
      </c>
      <c r="S122" s="23">
        <v>-5000</v>
      </c>
      <c r="T122" s="23">
        <v>1</v>
      </c>
      <c r="U122" s="23">
        <v>0</v>
      </c>
      <c r="V122" s="23" t="s">
        <v>82</v>
      </c>
      <c r="W122" s="23" t="s">
        <v>82</v>
      </c>
      <c r="X122" s="23" t="s">
        <v>82</v>
      </c>
      <c r="Y122" s="24">
        <v>20010001</v>
      </c>
      <c r="Z122" s="24">
        <v>0</v>
      </c>
      <c r="AA122" s="23">
        <v>1</v>
      </c>
      <c r="AB122" s="22" t="s">
        <v>83</v>
      </c>
      <c r="AC122" s="23">
        <v>10000</v>
      </c>
      <c r="AD122" s="23">
        <v>10000</v>
      </c>
      <c r="AE122" s="23">
        <v>0</v>
      </c>
      <c r="AF122" s="22">
        <v>40</v>
      </c>
      <c r="AG122" s="22">
        <v>0</v>
      </c>
      <c r="AH122" s="22">
        <v>0</v>
      </c>
      <c r="AI122" s="22">
        <v>0</v>
      </c>
      <c r="AJ122" s="22">
        <v>0</v>
      </c>
    </row>
    <row r="123" spans="1:36" ht="14.25" x14ac:dyDescent="0.2">
      <c r="A123" s="23">
        <v>90000503</v>
      </c>
      <c r="B123" s="23">
        <v>3</v>
      </c>
      <c r="C123" s="23" t="s">
        <v>204</v>
      </c>
      <c r="D123" s="23"/>
      <c r="E123" s="21"/>
      <c r="F123" s="23"/>
      <c r="G123" s="25">
        <v>1</v>
      </c>
      <c r="H123" s="25">
        <v>2</v>
      </c>
      <c r="I123" s="25" t="s">
        <v>81</v>
      </c>
      <c r="J123" s="23">
        <v>0</v>
      </c>
      <c r="K123" s="23" t="s">
        <v>115</v>
      </c>
      <c r="L123" s="23">
        <v>800001021</v>
      </c>
      <c r="M123" s="23">
        <v>1</v>
      </c>
      <c r="N123" s="26">
        <v>3</v>
      </c>
      <c r="O123" s="23">
        <v>1</v>
      </c>
      <c r="P123" s="23">
        <v>8</v>
      </c>
      <c r="Q123" s="23">
        <v>0</v>
      </c>
      <c r="R123" s="23">
        <v>25</v>
      </c>
      <c r="S123" s="23">
        <v>-5000</v>
      </c>
      <c r="T123" s="23">
        <v>1</v>
      </c>
      <c r="U123" s="23">
        <v>0</v>
      </c>
      <c r="V123" s="23" t="s">
        <v>82</v>
      </c>
      <c r="W123" s="23" t="s">
        <v>82</v>
      </c>
      <c r="X123" s="23" t="s">
        <v>82</v>
      </c>
      <c r="Y123" s="24">
        <v>20010001</v>
      </c>
      <c r="Z123" s="24">
        <v>0</v>
      </c>
      <c r="AA123" s="23">
        <v>1</v>
      </c>
      <c r="AB123" s="22" t="s">
        <v>83</v>
      </c>
      <c r="AC123" s="23">
        <v>10000</v>
      </c>
      <c r="AD123" s="23">
        <v>10000</v>
      </c>
      <c r="AE123" s="23">
        <v>0</v>
      </c>
      <c r="AF123" s="22">
        <v>40</v>
      </c>
      <c r="AG123" s="22">
        <v>0</v>
      </c>
      <c r="AH123" s="22">
        <v>0</v>
      </c>
      <c r="AI123" s="22">
        <v>0</v>
      </c>
      <c r="AJ123" s="22">
        <v>0</v>
      </c>
    </row>
    <row r="124" spans="1:36" ht="14.25" x14ac:dyDescent="0.2">
      <c r="A124" s="23">
        <v>90000504</v>
      </c>
      <c r="B124" s="23">
        <v>3</v>
      </c>
      <c r="C124" s="23" t="s">
        <v>205</v>
      </c>
      <c r="D124" s="23"/>
      <c r="E124" s="21"/>
      <c r="F124" s="23"/>
      <c r="G124" s="25">
        <v>1</v>
      </c>
      <c r="H124" s="25">
        <v>2</v>
      </c>
      <c r="I124" s="25" t="s">
        <v>81</v>
      </c>
      <c r="J124" s="23">
        <v>0</v>
      </c>
      <c r="K124" s="23" t="s">
        <v>155</v>
      </c>
      <c r="L124" s="23">
        <v>800011011</v>
      </c>
      <c r="M124" s="23">
        <v>1</v>
      </c>
      <c r="N124" s="26">
        <v>6</v>
      </c>
      <c r="O124" s="23">
        <v>1</v>
      </c>
      <c r="P124" s="23">
        <v>8</v>
      </c>
      <c r="Q124" s="23">
        <v>0</v>
      </c>
      <c r="R124" s="23">
        <v>25</v>
      </c>
      <c r="S124" s="23">
        <v>-5000</v>
      </c>
      <c r="T124" s="23">
        <v>1</v>
      </c>
      <c r="U124" s="23">
        <v>0</v>
      </c>
      <c r="V124" s="23" t="s">
        <v>82</v>
      </c>
      <c r="W124" s="23" t="s">
        <v>82</v>
      </c>
      <c r="X124" s="23" t="s">
        <v>82</v>
      </c>
      <c r="Y124" s="24">
        <v>20010001</v>
      </c>
      <c r="Z124" s="24">
        <v>0</v>
      </c>
      <c r="AA124" s="23">
        <v>1</v>
      </c>
      <c r="AB124" s="22" t="s">
        <v>83</v>
      </c>
      <c r="AC124" s="23">
        <v>10000</v>
      </c>
      <c r="AD124" s="23">
        <v>10000</v>
      </c>
      <c r="AE124" s="23">
        <v>0</v>
      </c>
      <c r="AF124" s="22">
        <v>40</v>
      </c>
      <c r="AG124" s="22">
        <v>0</v>
      </c>
      <c r="AH124" s="22">
        <v>0</v>
      </c>
      <c r="AI124" s="22">
        <v>0</v>
      </c>
      <c r="AJ124" s="22">
        <v>0</v>
      </c>
    </row>
    <row r="125" spans="1:36" ht="14.25" x14ac:dyDescent="0.2">
      <c r="A125" s="23">
        <v>90000601</v>
      </c>
      <c r="B125" s="23">
        <v>3</v>
      </c>
      <c r="C125" s="23" t="s">
        <v>206</v>
      </c>
      <c r="D125" s="23"/>
      <c r="E125" s="21"/>
      <c r="F125" s="23"/>
      <c r="G125" s="25">
        <v>1</v>
      </c>
      <c r="H125" s="25">
        <v>2</v>
      </c>
      <c r="I125" s="25" t="s">
        <v>81</v>
      </c>
      <c r="J125" s="23">
        <v>0</v>
      </c>
      <c r="K125" s="23" t="s">
        <v>109</v>
      </c>
      <c r="L125" s="23">
        <v>800001011</v>
      </c>
      <c r="M125" s="23">
        <v>1</v>
      </c>
      <c r="N125" s="26">
        <v>1</v>
      </c>
      <c r="O125" s="23">
        <v>1</v>
      </c>
      <c r="P125" s="23">
        <v>8</v>
      </c>
      <c r="Q125" s="23">
        <v>0</v>
      </c>
      <c r="R125" s="23">
        <v>25</v>
      </c>
      <c r="S125" s="23">
        <v>-5000</v>
      </c>
      <c r="T125" s="23">
        <v>1</v>
      </c>
      <c r="U125" s="23">
        <v>0</v>
      </c>
      <c r="V125" s="23" t="s">
        <v>82</v>
      </c>
      <c r="W125" s="23" t="s">
        <v>82</v>
      </c>
      <c r="X125" s="23" t="s">
        <v>82</v>
      </c>
      <c r="Y125" s="24">
        <v>20010001</v>
      </c>
      <c r="Z125" s="24">
        <v>0</v>
      </c>
      <c r="AA125" s="23">
        <v>1</v>
      </c>
      <c r="AB125" s="22" t="s">
        <v>83</v>
      </c>
      <c r="AC125" s="23">
        <v>10000</v>
      </c>
      <c r="AD125" s="23">
        <v>10000</v>
      </c>
      <c r="AE125" s="23">
        <v>0</v>
      </c>
      <c r="AF125" s="22">
        <v>40</v>
      </c>
      <c r="AG125" s="22">
        <v>0</v>
      </c>
      <c r="AH125" s="22">
        <v>0</v>
      </c>
      <c r="AI125" s="22">
        <v>0</v>
      </c>
      <c r="AJ125" s="22">
        <v>0</v>
      </c>
    </row>
    <row r="126" spans="1:36" ht="14.25" x14ac:dyDescent="0.2">
      <c r="A126" s="23">
        <v>90000602</v>
      </c>
      <c r="B126" s="23">
        <v>3</v>
      </c>
      <c r="C126" s="23" t="s">
        <v>207</v>
      </c>
      <c r="D126" s="23"/>
      <c r="E126" s="21"/>
      <c r="F126" s="23"/>
      <c r="G126" s="25">
        <v>1</v>
      </c>
      <c r="H126" s="25">
        <v>2</v>
      </c>
      <c r="I126" s="25" t="s">
        <v>81</v>
      </c>
      <c r="J126" s="23">
        <v>0</v>
      </c>
      <c r="K126" s="23" t="s">
        <v>109</v>
      </c>
      <c r="L126" s="23">
        <v>800001011</v>
      </c>
      <c r="M126" s="23">
        <v>1</v>
      </c>
      <c r="N126" s="26">
        <v>2</v>
      </c>
      <c r="O126" s="23">
        <v>1</v>
      </c>
      <c r="P126" s="23">
        <v>8</v>
      </c>
      <c r="Q126" s="23">
        <v>0</v>
      </c>
      <c r="R126" s="23">
        <v>25</v>
      </c>
      <c r="S126" s="23">
        <v>-5000</v>
      </c>
      <c r="T126" s="23">
        <v>1</v>
      </c>
      <c r="U126" s="23">
        <v>0</v>
      </c>
      <c r="V126" s="23" t="s">
        <v>82</v>
      </c>
      <c r="W126" s="23" t="s">
        <v>82</v>
      </c>
      <c r="X126" s="23" t="s">
        <v>82</v>
      </c>
      <c r="Y126" s="24">
        <v>20010001</v>
      </c>
      <c r="Z126" s="24">
        <v>0</v>
      </c>
      <c r="AA126" s="23">
        <v>1</v>
      </c>
      <c r="AB126" s="22" t="s">
        <v>83</v>
      </c>
      <c r="AC126" s="23">
        <v>10000</v>
      </c>
      <c r="AD126" s="23">
        <v>10000</v>
      </c>
      <c r="AE126" s="23">
        <v>0</v>
      </c>
      <c r="AF126" s="22">
        <v>40</v>
      </c>
      <c r="AG126" s="22">
        <v>0</v>
      </c>
      <c r="AH126" s="22">
        <v>0</v>
      </c>
      <c r="AI126" s="22">
        <v>0</v>
      </c>
      <c r="AJ126" s="22">
        <v>0</v>
      </c>
    </row>
    <row r="127" spans="1:36" ht="14.25" x14ac:dyDescent="0.2">
      <c r="A127" s="23">
        <v>90000603</v>
      </c>
      <c r="B127" s="23">
        <v>3</v>
      </c>
      <c r="C127" s="23" t="s">
        <v>208</v>
      </c>
      <c r="D127" s="23"/>
      <c r="E127" s="21"/>
      <c r="F127" s="23"/>
      <c r="G127" s="25">
        <v>1</v>
      </c>
      <c r="H127" s="25">
        <v>2</v>
      </c>
      <c r="I127" s="25" t="s">
        <v>81</v>
      </c>
      <c r="J127" s="23">
        <v>0</v>
      </c>
      <c r="K127" s="23" t="s">
        <v>115</v>
      </c>
      <c r="L127" s="23">
        <v>800001021</v>
      </c>
      <c r="M127" s="23">
        <v>1</v>
      </c>
      <c r="N127" s="26">
        <v>3</v>
      </c>
      <c r="O127" s="23">
        <v>1</v>
      </c>
      <c r="P127" s="23">
        <v>8</v>
      </c>
      <c r="Q127" s="23">
        <v>0</v>
      </c>
      <c r="R127" s="23">
        <v>25</v>
      </c>
      <c r="S127" s="23">
        <v>-5000</v>
      </c>
      <c r="T127" s="23">
        <v>1</v>
      </c>
      <c r="U127" s="23">
        <v>0</v>
      </c>
      <c r="V127" s="23" t="s">
        <v>82</v>
      </c>
      <c r="W127" s="23" t="s">
        <v>82</v>
      </c>
      <c r="X127" s="23" t="s">
        <v>82</v>
      </c>
      <c r="Y127" s="24">
        <v>20010001</v>
      </c>
      <c r="Z127" s="24">
        <v>0</v>
      </c>
      <c r="AA127" s="23">
        <v>1</v>
      </c>
      <c r="AB127" s="22" t="s">
        <v>83</v>
      </c>
      <c r="AC127" s="23">
        <v>10000</v>
      </c>
      <c r="AD127" s="23">
        <v>10000</v>
      </c>
      <c r="AE127" s="23">
        <v>0</v>
      </c>
      <c r="AF127" s="22">
        <v>40</v>
      </c>
      <c r="AG127" s="22">
        <v>0</v>
      </c>
      <c r="AH127" s="22">
        <v>0</v>
      </c>
      <c r="AI127" s="22">
        <v>0</v>
      </c>
      <c r="AJ127" s="22">
        <v>0</v>
      </c>
    </row>
    <row r="128" spans="1:36" ht="14.25" x14ac:dyDescent="0.2">
      <c r="A128" s="23">
        <v>90000604</v>
      </c>
      <c r="B128" s="23">
        <v>3</v>
      </c>
      <c r="C128" s="23" t="s">
        <v>209</v>
      </c>
      <c r="D128" s="23"/>
      <c r="E128" s="21"/>
      <c r="F128" s="23"/>
      <c r="G128" s="25">
        <v>1</v>
      </c>
      <c r="H128" s="25">
        <v>2</v>
      </c>
      <c r="I128" s="25" t="s">
        <v>81</v>
      </c>
      <c r="J128" s="23">
        <v>0</v>
      </c>
      <c r="K128" s="23" t="s">
        <v>115</v>
      </c>
      <c r="L128" s="23">
        <v>800001021</v>
      </c>
      <c r="M128" s="23">
        <v>1</v>
      </c>
      <c r="N128" s="26">
        <v>5</v>
      </c>
      <c r="O128" s="23">
        <v>1</v>
      </c>
      <c r="P128" s="23">
        <v>8</v>
      </c>
      <c r="Q128" s="23">
        <v>0</v>
      </c>
      <c r="R128" s="23">
        <v>25</v>
      </c>
      <c r="S128" s="23">
        <v>-5000</v>
      </c>
      <c r="T128" s="23">
        <v>1</v>
      </c>
      <c r="U128" s="23">
        <v>0</v>
      </c>
      <c r="V128" s="23" t="s">
        <v>82</v>
      </c>
      <c r="W128" s="23" t="s">
        <v>82</v>
      </c>
      <c r="X128" s="23" t="s">
        <v>82</v>
      </c>
      <c r="Y128" s="24">
        <v>20010001</v>
      </c>
      <c r="Z128" s="24">
        <v>0</v>
      </c>
      <c r="AA128" s="23">
        <v>1</v>
      </c>
      <c r="AB128" s="22" t="s">
        <v>83</v>
      </c>
      <c r="AC128" s="23">
        <v>10000</v>
      </c>
      <c r="AD128" s="23">
        <v>10000</v>
      </c>
      <c r="AE128" s="23">
        <v>0</v>
      </c>
      <c r="AF128" s="22">
        <v>40</v>
      </c>
      <c r="AG128" s="22">
        <v>0</v>
      </c>
      <c r="AH128" s="22">
        <v>0</v>
      </c>
      <c r="AI128" s="22">
        <v>0</v>
      </c>
      <c r="AJ128" s="22">
        <v>0</v>
      </c>
    </row>
    <row r="129" spans="1:36" ht="14.25" x14ac:dyDescent="0.2">
      <c r="A129" s="23">
        <v>90000605</v>
      </c>
      <c r="B129" s="23">
        <v>3</v>
      </c>
      <c r="C129" s="23" t="s">
        <v>210</v>
      </c>
      <c r="D129" s="23"/>
      <c r="E129" s="21"/>
      <c r="F129" s="23"/>
      <c r="G129" s="25">
        <v>1</v>
      </c>
      <c r="H129" s="25">
        <v>2</v>
      </c>
      <c r="I129" s="25" t="s">
        <v>81</v>
      </c>
      <c r="J129" s="23">
        <v>0</v>
      </c>
      <c r="K129" s="23" t="s">
        <v>155</v>
      </c>
      <c r="L129" s="23">
        <v>800011011</v>
      </c>
      <c r="M129" s="23">
        <v>1</v>
      </c>
      <c r="N129" s="26">
        <v>10</v>
      </c>
      <c r="O129" s="23">
        <v>1</v>
      </c>
      <c r="P129" s="23">
        <v>8</v>
      </c>
      <c r="Q129" s="23">
        <v>0</v>
      </c>
      <c r="R129" s="23">
        <v>25</v>
      </c>
      <c r="S129" s="23">
        <v>-5000</v>
      </c>
      <c r="T129" s="23">
        <v>1</v>
      </c>
      <c r="U129" s="23">
        <v>0</v>
      </c>
      <c r="V129" s="23" t="s">
        <v>82</v>
      </c>
      <c r="W129" s="23" t="s">
        <v>82</v>
      </c>
      <c r="X129" s="23" t="s">
        <v>82</v>
      </c>
      <c r="Y129" s="24">
        <v>20010001</v>
      </c>
      <c r="Z129" s="24">
        <v>0</v>
      </c>
      <c r="AA129" s="23">
        <v>1</v>
      </c>
      <c r="AB129" s="22" t="s">
        <v>83</v>
      </c>
      <c r="AC129" s="23">
        <v>10000</v>
      </c>
      <c r="AD129" s="23">
        <v>10000</v>
      </c>
      <c r="AE129" s="23">
        <v>0</v>
      </c>
      <c r="AF129" s="22">
        <v>40</v>
      </c>
      <c r="AG129" s="22">
        <v>0</v>
      </c>
      <c r="AH129" s="22">
        <v>0</v>
      </c>
      <c r="AI129" s="22">
        <v>0</v>
      </c>
      <c r="AJ129" s="22">
        <v>0</v>
      </c>
    </row>
    <row r="130" spans="1:36" ht="14.25" x14ac:dyDescent="0.2">
      <c r="A130" s="23">
        <v>90000606</v>
      </c>
      <c r="B130" s="23">
        <v>3</v>
      </c>
      <c r="C130" s="23" t="s">
        <v>211</v>
      </c>
      <c r="D130" s="23"/>
      <c r="E130" s="21"/>
      <c r="F130" s="23"/>
      <c r="G130" s="25">
        <v>1</v>
      </c>
      <c r="H130" s="25">
        <v>2</v>
      </c>
      <c r="I130" s="25" t="s">
        <v>81</v>
      </c>
      <c r="J130" s="23">
        <v>0</v>
      </c>
      <c r="K130" s="23" t="s">
        <v>155</v>
      </c>
      <c r="L130" s="23">
        <v>800011011</v>
      </c>
      <c r="M130" s="23">
        <v>1</v>
      </c>
      <c r="N130" s="26">
        <v>14</v>
      </c>
      <c r="O130" s="23">
        <v>1</v>
      </c>
      <c r="P130" s="23">
        <v>8</v>
      </c>
      <c r="Q130" s="23">
        <v>0</v>
      </c>
      <c r="R130" s="23">
        <v>25</v>
      </c>
      <c r="S130" s="23">
        <v>-5000</v>
      </c>
      <c r="T130" s="23">
        <v>1</v>
      </c>
      <c r="U130" s="23">
        <v>0</v>
      </c>
      <c r="V130" s="23" t="s">
        <v>82</v>
      </c>
      <c r="W130" s="23" t="s">
        <v>82</v>
      </c>
      <c r="X130" s="23" t="s">
        <v>82</v>
      </c>
      <c r="Y130" s="24">
        <v>20010001</v>
      </c>
      <c r="Z130" s="24">
        <v>0</v>
      </c>
      <c r="AA130" s="23">
        <v>1</v>
      </c>
      <c r="AB130" s="22" t="s">
        <v>83</v>
      </c>
      <c r="AC130" s="23">
        <v>10000</v>
      </c>
      <c r="AD130" s="23">
        <v>10000</v>
      </c>
      <c r="AE130" s="23">
        <v>0</v>
      </c>
      <c r="AF130" s="22">
        <v>40</v>
      </c>
      <c r="AG130" s="22">
        <v>0</v>
      </c>
      <c r="AH130" s="22">
        <v>0</v>
      </c>
      <c r="AI130" s="22">
        <v>0</v>
      </c>
      <c r="AJ130" s="22">
        <v>0</v>
      </c>
    </row>
    <row r="131" spans="1:36" ht="14.25" x14ac:dyDescent="0.2">
      <c r="A131" s="23">
        <v>90000607</v>
      </c>
      <c r="B131" s="23">
        <v>3</v>
      </c>
      <c r="C131" s="23" t="s">
        <v>212</v>
      </c>
      <c r="D131" s="23"/>
      <c r="E131" s="21"/>
      <c r="F131" s="23"/>
      <c r="G131" s="25">
        <v>1</v>
      </c>
      <c r="H131" s="25">
        <v>2</v>
      </c>
      <c r="I131" s="25" t="s">
        <v>81</v>
      </c>
      <c r="J131" s="23">
        <v>0</v>
      </c>
      <c r="K131" s="23" t="s">
        <v>156</v>
      </c>
      <c r="L131" s="23">
        <v>800011021</v>
      </c>
      <c r="M131" s="23">
        <v>1</v>
      </c>
      <c r="N131" s="26">
        <v>18</v>
      </c>
      <c r="O131" s="23">
        <v>1</v>
      </c>
      <c r="P131" s="23">
        <v>8</v>
      </c>
      <c r="Q131" s="23">
        <v>0</v>
      </c>
      <c r="R131" s="23">
        <v>25</v>
      </c>
      <c r="S131" s="23">
        <v>-5000</v>
      </c>
      <c r="T131" s="23">
        <v>1</v>
      </c>
      <c r="U131" s="23">
        <v>0</v>
      </c>
      <c r="V131" s="23" t="s">
        <v>82</v>
      </c>
      <c r="W131" s="23" t="s">
        <v>82</v>
      </c>
      <c r="X131" s="23" t="s">
        <v>82</v>
      </c>
      <c r="Y131" s="24">
        <v>20010001</v>
      </c>
      <c r="Z131" s="24">
        <v>0</v>
      </c>
      <c r="AA131" s="23">
        <v>1</v>
      </c>
      <c r="AB131" s="22" t="s">
        <v>83</v>
      </c>
      <c r="AC131" s="23">
        <v>10000</v>
      </c>
      <c r="AD131" s="23">
        <v>10000</v>
      </c>
      <c r="AE131" s="23">
        <v>0</v>
      </c>
      <c r="AF131" s="22">
        <v>40</v>
      </c>
      <c r="AG131" s="22">
        <v>0</v>
      </c>
      <c r="AH131" s="22">
        <v>0</v>
      </c>
      <c r="AI131" s="22">
        <v>0</v>
      </c>
      <c r="AJ131" s="22">
        <v>0</v>
      </c>
    </row>
    <row r="132" spans="1:36" ht="14.25" x14ac:dyDescent="0.2">
      <c r="A132" s="23">
        <v>90000608</v>
      </c>
      <c r="B132" s="23">
        <v>3</v>
      </c>
      <c r="C132" s="23" t="s">
        <v>213</v>
      </c>
      <c r="D132" s="23"/>
      <c r="E132" s="21"/>
      <c r="F132" s="23"/>
      <c r="G132" s="25">
        <v>1</v>
      </c>
      <c r="H132" s="25">
        <v>2</v>
      </c>
      <c r="I132" s="25" t="s">
        <v>81</v>
      </c>
      <c r="J132" s="23">
        <v>0</v>
      </c>
      <c r="K132" s="23" t="s">
        <v>156</v>
      </c>
      <c r="L132" s="23">
        <v>800011021</v>
      </c>
      <c r="M132" s="23">
        <v>1</v>
      </c>
      <c r="N132" s="26">
        <v>45</v>
      </c>
      <c r="O132" s="23">
        <v>1</v>
      </c>
      <c r="P132" s="23">
        <v>8</v>
      </c>
      <c r="Q132" s="23">
        <v>0</v>
      </c>
      <c r="R132" s="23">
        <v>25</v>
      </c>
      <c r="S132" s="23">
        <v>-5000</v>
      </c>
      <c r="T132" s="23">
        <v>1</v>
      </c>
      <c r="U132" s="23">
        <v>0</v>
      </c>
      <c r="V132" s="23" t="s">
        <v>82</v>
      </c>
      <c r="W132" s="23" t="s">
        <v>82</v>
      </c>
      <c r="X132" s="23" t="s">
        <v>82</v>
      </c>
      <c r="Y132" s="24">
        <v>20010001</v>
      </c>
      <c r="Z132" s="24">
        <v>0</v>
      </c>
      <c r="AA132" s="23">
        <v>1</v>
      </c>
      <c r="AB132" s="22" t="s">
        <v>83</v>
      </c>
      <c r="AC132" s="23">
        <v>10000</v>
      </c>
      <c r="AD132" s="23">
        <v>10000</v>
      </c>
      <c r="AE132" s="23">
        <v>0</v>
      </c>
      <c r="AF132" s="22">
        <v>40</v>
      </c>
      <c r="AG132" s="22">
        <v>0</v>
      </c>
      <c r="AH132" s="22">
        <v>0</v>
      </c>
      <c r="AI132" s="22">
        <v>0</v>
      </c>
      <c r="AJ132" s="22">
        <v>0</v>
      </c>
    </row>
  </sheetData>
  <sortState xmlns:xlrd2="http://schemas.microsoft.com/office/spreadsheetml/2017/richdata2" ref="A5:AD61">
    <sortCondition ref="A5:A61"/>
  </sortState>
  <phoneticPr fontId="15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160</v>
      </c>
      <c r="D6"/>
      <c r="E6"/>
      <c r="F6"/>
      <c r="G6" t="s">
        <v>161</v>
      </c>
      <c r="J6" t="s">
        <v>162</v>
      </c>
      <c r="K6"/>
      <c r="L6"/>
      <c r="M6"/>
      <c r="N6" s="1" t="s">
        <v>163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164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165</v>
      </c>
      <c r="J7">
        <v>990101</v>
      </c>
      <c r="K7" t="s">
        <v>166</v>
      </c>
      <c r="L7" t="s">
        <v>167</v>
      </c>
      <c r="M7">
        <v>1</v>
      </c>
      <c r="N7" s="4">
        <v>20010001</v>
      </c>
      <c r="O7" s="5" t="s">
        <v>167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168</v>
      </c>
      <c r="E8" t="str">
        <f t="shared" si="0"/>
        <v>乌龟怪</v>
      </c>
      <c r="F8">
        <f>VLOOKUP(E8,备注资源组与动作id!$L$7:$M$16,2,FALSE)</f>
        <v>3</v>
      </c>
      <c r="G8" t="s">
        <v>165</v>
      </c>
      <c r="J8">
        <v>990102</v>
      </c>
      <c r="K8" t="s">
        <v>166</v>
      </c>
      <c r="L8" t="s">
        <v>167</v>
      </c>
      <c r="M8">
        <v>1</v>
      </c>
      <c r="N8" s="4">
        <v>20010002</v>
      </c>
      <c r="O8" s="5" t="s">
        <v>167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169</v>
      </c>
      <c r="E9" t="str">
        <f t="shared" si="0"/>
        <v>乌龟怪</v>
      </c>
      <c r="F9">
        <f>VLOOKUP(E9,备注资源组与动作id!$L$7:$M$16,2,FALSE)</f>
        <v>3</v>
      </c>
      <c r="G9" t="s">
        <v>165</v>
      </c>
      <c r="J9">
        <v>990201</v>
      </c>
      <c r="K9" t="s">
        <v>166</v>
      </c>
      <c r="L9" t="s">
        <v>170</v>
      </c>
      <c r="M9">
        <v>2</v>
      </c>
      <c r="N9" s="4">
        <v>20020001</v>
      </c>
      <c r="O9" s="5" t="s">
        <v>171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172</v>
      </c>
      <c r="E10" t="str">
        <f t="shared" si="0"/>
        <v>乌龟怪</v>
      </c>
      <c r="F10">
        <f>VLOOKUP(E10,备注资源组与动作id!$L$7:$M$16,2,FALSE)</f>
        <v>3</v>
      </c>
      <c r="G10" t="s">
        <v>165</v>
      </c>
      <c r="J10">
        <v>990202</v>
      </c>
      <c r="K10" t="s">
        <v>166</v>
      </c>
      <c r="L10" t="s">
        <v>170</v>
      </c>
      <c r="M10">
        <v>2</v>
      </c>
      <c r="N10" s="4">
        <v>20020002</v>
      </c>
      <c r="O10" s="5" t="s">
        <v>171</v>
      </c>
    </row>
    <row r="11" spans="1:15" ht="14.25" x14ac:dyDescent="0.2">
      <c r="A11" s="3" t="s">
        <v>125</v>
      </c>
      <c r="B11">
        <v>1000007</v>
      </c>
      <c r="C11">
        <f t="shared" si="1"/>
        <v>20040001</v>
      </c>
      <c r="D11" t="s">
        <v>173</v>
      </c>
      <c r="E11" t="str">
        <f t="shared" si="0"/>
        <v>野狼怪</v>
      </c>
      <c r="F11">
        <f>VLOOKUP(E11,备注资源组与动作id!$L$7:$M$16,2,FALSE)</f>
        <v>4</v>
      </c>
      <c r="G11" t="s">
        <v>174</v>
      </c>
      <c r="J11">
        <v>990301</v>
      </c>
      <c r="K11" t="s">
        <v>166</v>
      </c>
      <c r="L11" t="s">
        <v>175</v>
      </c>
      <c r="M11">
        <v>3</v>
      </c>
      <c r="N11" s="4">
        <v>20030001</v>
      </c>
      <c r="O11" s="5" t="s">
        <v>175</v>
      </c>
    </row>
    <row r="12" spans="1:15" ht="14.25" x14ac:dyDescent="0.2">
      <c r="A12" s="3" t="s">
        <v>125</v>
      </c>
      <c r="B12">
        <v>1000008</v>
      </c>
      <c r="C12">
        <f t="shared" si="1"/>
        <v>20040001</v>
      </c>
      <c r="D12" t="s">
        <v>176</v>
      </c>
      <c r="E12" t="str">
        <f t="shared" si="0"/>
        <v>野狼怪</v>
      </c>
      <c r="F12">
        <f>VLOOKUP(E12,备注资源组与动作id!$L$7:$M$16,2,FALSE)</f>
        <v>4</v>
      </c>
      <c r="G12" t="s">
        <v>174</v>
      </c>
      <c r="J12">
        <v>990302</v>
      </c>
      <c r="K12" t="s">
        <v>166</v>
      </c>
      <c r="L12" t="s">
        <v>175</v>
      </c>
      <c r="M12">
        <v>3</v>
      </c>
      <c r="N12" s="4">
        <v>20030002</v>
      </c>
      <c r="O12" s="5" t="s">
        <v>175</v>
      </c>
    </row>
    <row r="13" spans="1:15" ht="14.25" x14ac:dyDescent="0.2">
      <c r="A13" s="3" t="s">
        <v>125</v>
      </c>
      <c r="B13">
        <v>1000009</v>
      </c>
      <c r="C13">
        <f t="shared" si="1"/>
        <v>20040001</v>
      </c>
      <c r="D13" t="s">
        <v>177</v>
      </c>
      <c r="E13" t="str">
        <f t="shared" si="0"/>
        <v>野狼怪</v>
      </c>
      <c r="F13">
        <f>VLOOKUP(E13,备注资源组与动作id!$L$7:$M$16,2,FALSE)</f>
        <v>4</v>
      </c>
      <c r="G13" t="s">
        <v>174</v>
      </c>
      <c r="J13">
        <v>990401</v>
      </c>
      <c r="K13" t="s">
        <v>166</v>
      </c>
      <c r="L13" t="s">
        <v>178</v>
      </c>
      <c r="M13">
        <v>4</v>
      </c>
      <c r="N13" s="4">
        <v>20040001</v>
      </c>
      <c r="O13" s="5" t="s">
        <v>179</v>
      </c>
    </row>
    <row r="14" spans="1:15" ht="14.25" x14ac:dyDescent="0.2">
      <c r="A14" s="3" t="s">
        <v>125</v>
      </c>
      <c r="B14">
        <v>1000010</v>
      </c>
      <c r="C14">
        <f t="shared" si="1"/>
        <v>20040001</v>
      </c>
      <c r="D14" t="s">
        <v>180</v>
      </c>
      <c r="E14" t="str">
        <f t="shared" si="0"/>
        <v>野狼怪</v>
      </c>
      <c r="F14">
        <f>VLOOKUP(E14,备注资源组与动作id!$L$7:$M$16,2,FALSE)</f>
        <v>4</v>
      </c>
      <c r="G14" t="s">
        <v>174</v>
      </c>
      <c r="J14">
        <v>990402</v>
      </c>
      <c r="K14" t="s">
        <v>166</v>
      </c>
      <c r="L14" t="s">
        <v>178</v>
      </c>
      <c r="M14">
        <v>4</v>
      </c>
      <c r="N14" s="4">
        <v>20040002</v>
      </c>
      <c r="O14" s="5" t="s">
        <v>179</v>
      </c>
    </row>
    <row r="15" spans="1:15" ht="14.25" x14ac:dyDescent="0.2">
      <c r="A15" s="2" t="s">
        <v>140</v>
      </c>
      <c r="B15">
        <v>1000011</v>
      </c>
      <c r="C15">
        <f t="shared" si="1"/>
        <v>20050001</v>
      </c>
      <c r="D15" t="s">
        <v>181</v>
      </c>
      <c r="E15" t="s">
        <v>182</v>
      </c>
      <c r="F15">
        <f>VLOOKUP(E15,备注资源组与动作id!$L$7:$M$16,2,FALSE)</f>
        <v>5</v>
      </c>
      <c r="G15" t="s">
        <v>183</v>
      </c>
      <c r="J15">
        <v>990501</v>
      </c>
      <c r="K15" t="s">
        <v>166</v>
      </c>
      <c r="L15" t="s">
        <v>182</v>
      </c>
      <c r="M15">
        <v>5</v>
      </c>
      <c r="N15" s="4">
        <v>20050001</v>
      </c>
      <c r="O15" s="5" t="s">
        <v>182</v>
      </c>
    </row>
    <row r="16" spans="1:15" ht="14.25" x14ac:dyDescent="0.2">
      <c r="A16" s="2" t="s">
        <v>140</v>
      </c>
      <c r="B16">
        <v>1000012</v>
      </c>
      <c r="C16">
        <f t="shared" si="1"/>
        <v>20050001</v>
      </c>
      <c r="D16" t="s">
        <v>184</v>
      </c>
      <c r="E16" t="s">
        <v>182</v>
      </c>
      <c r="F16">
        <f>VLOOKUP(E16,备注资源组与动作id!$L$7:$M$16,2,FALSE)</f>
        <v>5</v>
      </c>
      <c r="G16" t="s">
        <v>183</v>
      </c>
      <c r="J16">
        <v>990502</v>
      </c>
      <c r="K16" t="s">
        <v>166</v>
      </c>
      <c r="L16" t="s">
        <v>182</v>
      </c>
      <c r="M16">
        <v>5</v>
      </c>
      <c r="N16" s="4">
        <v>20050002</v>
      </c>
      <c r="O16" s="5" t="s">
        <v>182</v>
      </c>
    </row>
    <row r="17" spans="1:7" ht="14.25" x14ac:dyDescent="0.2">
      <c r="A17" s="2" t="s">
        <v>140</v>
      </c>
      <c r="B17">
        <v>1000013</v>
      </c>
      <c r="C17">
        <f t="shared" si="1"/>
        <v>20050001</v>
      </c>
      <c r="D17" t="s">
        <v>185</v>
      </c>
      <c r="E17" t="s">
        <v>182</v>
      </c>
      <c r="F17">
        <f>VLOOKUP(E17,备注资源组与动作id!$L$7:$M$16,2,FALSE)</f>
        <v>5</v>
      </c>
      <c r="G17" t="s">
        <v>183</v>
      </c>
    </row>
    <row r="18" spans="1:7" ht="14.25" x14ac:dyDescent="0.2">
      <c r="A18" s="2" t="s">
        <v>140</v>
      </c>
      <c r="B18">
        <v>1000014</v>
      </c>
      <c r="C18">
        <f t="shared" si="1"/>
        <v>20050001</v>
      </c>
      <c r="D18" t="s">
        <v>186</v>
      </c>
      <c r="E18" t="s">
        <v>182</v>
      </c>
      <c r="F18">
        <f>VLOOKUP(E18,备注资源组与动作id!$L$7:$M$16,2,FALSE)</f>
        <v>5</v>
      </c>
      <c r="G18" t="s">
        <v>183</v>
      </c>
    </row>
    <row r="19" spans="1:7" ht="14.25" x14ac:dyDescent="0.2">
      <c r="A19" s="2" t="s">
        <v>187</v>
      </c>
      <c r="B19">
        <v>1000101</v>
      </c>
      <c r="C19">
        <f t="shared" si="1"/>
        <v>20010001</v>
      </c>
      <c r="D19" t="s">
        <v>188</v>
      </c>
      <c r="E19" t="str">
        <f>LEFT(D19,3)</f>
        <v>蜥蜴怪</v>
      </c>
      <c r="F19">
        <f>VLOOKUP(E19,备注资源组与动作id!$L$7:$M$16,2,FALSE)</f>
        <v>1</v>
      </c>
      <c r="G19" t="s">
        <v>189</v>
      </c>
    </row>
    <row r="20" spans="1:7" ht="14.25" x14ac:dyDescent="0.2">
      <c r="A20" s="2" t="s">
        <v>187</v>
      </c>
      <c r="B20">
        <v>1000102</v>
      </c>
      <c r="C20">
        <f t="shared" si="1"/>
        <v>20010001</v>
      </c>
      <c r="D20" t="s">
        <v>190</v>
      </c>
      <c r="E20" t="str">
        <f>LEFT(D20,3)</f>
        <v>蜥蜴怪</v>
      </c>
      <c r="F20">
        <f>VLOOKUP(E20,备注资源组与动作id!$L$7:$M$16,2,FALSE)</f>
        <v>1</v>
      </c>
      <c r="G20" t="s">
        <v>189</v>
      </c>
    </row>
    <row r="21" spans="1:7" ht="14.25" x14ac:dyDescent="0.2">
      <c r="A21" s="2" t="s">
        <v>132</v>
      </c>
      <c r="B21">
        <v>1000103</v>
      </c>
      <c r="C21">
        <f t="shared" si="1"/>
        <v>20020001</v>
      </c>
      <c r="D21" t="s">
        <v>191</v>
      </c>
      <c r="E21" t="str">
        <f>LEFT(D21,3)</f>
        <v>青蛙怪</v>
      </c>
      <c r="F21">
        <f>VLOOKUP(E21,备注资源组与动作id!$L$7:$M$16,2,FALSE)</f>
        <v>2</v>
      </c>
      <c r="G21" t="s">
        <v>192</v>
      </c>
    </row>
    <row r="22" spans="1:7" ht="14.25" x14ac:dyDescent="0.2">
      <c r="A22" s="2" t="s">
        <v>132</v>
      </c>
      <c r="B22">
        <v>1000104</v>
      </c>
      <c r="C22">
        <f t="shared" si="1"/>
        <v>20020001</v>
      </c>
      <c r="D22" t="s">
        <v>193</v>
      </c>
      <c r="E22" t="str">
        <f>LEFT(D22,3)</f>
        <v>青蛙怪</v>
      </c>
      <c r="F22">
        <f>VLOOKUP(E22,备注资源组与动作id!$L$7:$M$16,2,FALSE)</f>
        <v>2</v>
      </c>
      <c r="G22" t="s">
        <v>192</v>
      </c>
    </row>
  </sheetData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194</v>
      </c>
      <c r="D2" t="s">
        <v>195</v>
      </c>
      <c r="E2" t="s">
        <v>196</v>
      </c>
      <c r="F2" t="s">
        <v>194</v>
      </c>
      <c r="G2" t="s">
        <v>195</v>
      </c>
      <c r="H2" t="s">
        <v>196</v>
      </c>
      <c r="I2" t="s">
        <v>194</v>
      </c>
      <c r="J2" t="s">
        <v>195</v>
      </c>
      <c r="K2" t="s">
        <v>196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2025-07-30T13:15:07Z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