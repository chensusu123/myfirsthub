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C137D03-079D-41ED-B58A-1D4BDF5E2FC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<sst xmlns="http://schemas.openxmlformats.org/spreadsheetml/2006/main" count="2223" uniqueCount="235">
  <si>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</si>
  <si>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</si>
  <si>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</si>
  <si>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</si>
  <si>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</si>
  <si>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</si>
  <si>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</si>
  <si>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</si>
  <si>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</si>
  <si>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</si>
  <si>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</si>
  <si>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</si>
  <si>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</si>
  <si>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</si>
  <si>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</si>
  <si>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</si>
  <si>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</si>
  <si>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</si>
  <si>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</si>
  <si>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</si>
  <si>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</si>
  <si>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</si>
  <si>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</si>
  <si>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</si>
  <si>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</si>
  <si>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</si>
  <si>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</si>
  <si>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</si>
  <si>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</si>
  <si>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</si>
  <si>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</si>
  <si>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</si>
  <si>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</si>
  <si>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</si>
  <si>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</si>
  <si>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</si>
  <si>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</si>
  <si>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</si>
  <si>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</si>
  <si>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</si>
  <si>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</si>
  <si>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</si>
  <si>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</si>
  <si>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</si>
  <si>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</si>
  <si>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</si>
  <si>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</si>
  <si>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</si>
  <si>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</si>
  <si>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</si>
  <si>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</si>
  <si>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</si>
  <si>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</si>
  <si>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</si>
  <si>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</si>
  <si>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</si>
  <si>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</si>
  <si>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</si>
  <si>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</si>
  <si>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</si>
  <si>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</si>
  <si>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</si>
  <si>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</si>
  <si>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</si>
  <si>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</si>
  <si>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</si>
  <si>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</si>
  <si>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</si>
  <si>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</si>
  <si>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</si>
  <si>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</si>
  <si>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</si>
  <si>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</si>
  <si>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</si>
  <si>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</si>
  <si>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</si>
  <si>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</si>
  <si>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</si>
  <si>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</si>
  <si>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</si>
  <si>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</si>
  <si>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</si>
  <si>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</si>
  <si>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</si>
  <si>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</si>
  <si>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</si>
  <si>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</si>
  <si>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</si>
  <si>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</si>
  <si>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</si>
  <si>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</si>
  <si>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</si>
  <si>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</si>
  <si>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</si>
  <si>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</si>
  <si>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</si>
  <si>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</si>
  <si>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</si>
  <si>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</si>
  <si>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</si>
  <si>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</si>
  <si>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</si>
  <si>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</si>
  <si>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</si>
  <si>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</si>
  <si>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</si>
  <si>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</si>
  <si>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</si>
  <si>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</si>
  <si>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</si>
  <si>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</si>
  <si>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</si>
  <si>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</si>
  <si>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0:2500_35:5000_56:10000_88:15000_112:30000</t>
  </si>
  <si>
    <t>小怪2</t>
  </si>
  <si>
    <t>骷髅等级2</t>
  </si>
  <si>
    <t>0:2500_100:5000_160:10000_250:15000_320:30000</t>
  </si>
  <si>
    <t>小怪3</t>
  </si>
  <si>
    <t>骷髅等级3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</si>
  <si>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</si>
  <si>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</si>
  <si>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</si>
  <si>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</si>
  <si>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</si>
  <si>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</si>
  <si>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战甲斑狼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</si>
  <si>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</si>
  <si>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</si>
  <si>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甲壳狂徒</t>
  </si>
  <si>
    <t>小怪8</t>
  </si>
  <si>
    <t>小怪9</t>
  </si>
  <si>
    <t>小怪10</t>
  </si>
  <si>
    <t>长矛蛙兵</t>
  </si>
  <si>
    <t>小怪11</t>
  </si>
  <si>
    <t>小怪12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</si>
  <si>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</si>
  <si>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</si>
  <si>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</si>
  <si>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</si>
  <si>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</si>
  <si>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寄居炮蟹</t>
  </si>
  <si>
    <t>小怪15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</si>
  <si>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</si>
  <si>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</si>
  <si>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</si>
  <si>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</si>
  <si>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</si>
  <si>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</si>
  <si>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</si>
  <si>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</si>
  <si>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</si>
  <si>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</si>
  <si>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</si>
  <si>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狼等级1</t>
  </si>
  <si>
    <t>狼等级2</t>
  </si>
  <si>
    <t>沉沦魔等级1</t>
  </si>
  <si>
    <t>沉沦魔等级2</t>
  </si>
  <si>
    <t>僵尸等级1</t>
  </si>
  <si>
    <t>僵尸等级3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</si>
  <si>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</si>
  <si>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</si>
  <si>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</si>
  <si>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</si>
  <si>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</si>
  <si>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</si>
  <si>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</si>
  <si>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</si>
  <si>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</si>
  <si>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</si>
  <si>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</si>
  <si>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</si>
  <si>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</si>
  <si>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</si>
  <si>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</si>
  <si>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</si>
  <si>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</si>
  <si>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</si>
  <si>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</si>
  <si>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</si>
  <si>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</si>
  <si>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</si>
  <si>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</si>
  <si>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</si>
  <si>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</si>
  <si>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</si>
  <si>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</si>
  <si>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</si>
  <si>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</si>
  <si>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</si>
  <si>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</si>
  <si>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</si>
  <si>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</si>
  <si>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</si>
  <si>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</si>
  <si>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</si>
  <si>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</si>
  <si>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</si>
  <si>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</si>
  <si>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</si>
  <si>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</si>
  <si>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</si>
  <si>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</si>
  <si>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</si>
  <si>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</si>
  <si>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</si>
  <si>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</si>
  <si>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</si>
  <si>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</si>
  <si>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</si>
  <si>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</si>
  <si>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</si>
  <si>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</si>
  <si>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</si>
  <si>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</si>
  <si>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</si>
  <si>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</si>
  <si>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7-守卫1</t>
    <phoneticPr fontId="14" type="noConversion"/>
  </si>
  <si>
    <t>7-守卫2</t>
    <phoneticPr fontId="14" type="noConversion"/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</si>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</sst>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92065187536243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375408185064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2" fillId="0" borderId="0">
      <alignment vertical="center"/>
    </xf>
    <xf numFmtId="0" fontId="10" fillId="0" borderId="0"/>
    <xf numFmtId="0" fontId="13" fillId="7" borderId="1" applyNumberFormat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0" fillId="0" borderId="0" xfId="4"/>
    <xf numFmtId="0" fontId="6" fillId="0" borderId="0" xfId="4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1" xfId="5" applyFont="1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1"/>
  <sheetViews>
    <sheetView tabSelected="1" zoomScale="85" zoomScaleNormal="85" workbookViewId="0">
      <pane ySplit="4" topLeftCell="A140" activePane="bottomLeft" state="frozen"/>
      <selection pane="bottomLeft" activeCell="A167" sqref="A167:A196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214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214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214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11104</v>
      </c>
      <c r="B50" s="3">
        <v>30</v>
      </c>
      <c r="C50" s="3" t="s">
        <v>119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120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214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30</v>
      </c>
      <c r="C51" s="3" t="s">
        <v>121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122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214</v>
      </c>
      <c r="Y51" s="16">
        <v>214001011</v>
      </c>
      <c r="Z51" s="16">
        <v>0</v>
      </c>
      <c r="AA51" s="3">
        <v>1</v>
      </c>
      <c r="AB51" s="8" t="s">
        <v>123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30</v>
      </c>
      <c r="C52" s="2" t="s">
        <v>124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126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3">
        <v>11107</v>
      </c>
      <c r="B53" s="2">
        <v>30</v>
      </c>
      <c r="C53" s="2" t="s">
        <v>127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122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126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30</v>
      </c>
      <c r="C54" s="3" t="s">
        <v>129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153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126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30</v>
      </c>
      <c r="C55" s="3" t="s">
        <v>130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154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126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30</v>
      </c>
      <c r="C56" s="3" t="s">
        <v>131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155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126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30</v>
      </c>
      <c r="C57" s="3" t="s">
        <v>133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156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126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157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126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30</v>
      </c>
      <c r="C59" s="3" t="s">
        <v>135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136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137</v>
      </c>
      <c r="Y59" s="16">
        <v>203002011</v>
      </c>
      <c r="Z59" s="16">
        <v>0</v>
      </c>
      <c r="AA59" s="3">
        <v>1</v>
      </c>
      <c r="AB59" s="8" t="s">
        <v>138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30</v>
      </c>
      <c r="C60" s="3" t="s">
        <v>139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158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126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3">
        <v>11115</v>
      </c>
      <c r="B61" s="2">
        <v>30</v>
      </c>
      <c r="C61" s="2" t="s">
        <v>141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126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214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214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214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 x14ac:dyDescent="0.2">
      <c r="A65" s="3">
        <v>21104</v>
      </c>
      <c r="B65" s="3">
        <v>30</v>
      </c>
      <c r="C65" s="3" t="s">
        <v>119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120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214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30</v>
      </c>
      <c r="C66" s="3" t="s">
        <v>121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122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214</v>
      </c>
      <c r="Y66" s="16">
        <v>214001011</v>
      </c>
      <c r="Z66" s="16">
        <v>0</v>
      </c>
      <c r="AA66" s="3">
        <v>1</v>
      </c>
      <c r="AB66" s="8" t="s">
        <v>123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30</v>
      </c>
      <c r="C67" s="2" t="s">
        <v>124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126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 x14ac:dyDescent="0.2">
      <c r="A68" s="3">
        <v>21107</v>
      </c>
      <c r="B68" s="2">
        <v>30</v>
      </c>
      <c r="C68" s="2" t="s">
        <v>127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122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126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30</v>
      </c>
      <c r="C69" s="3" t="s">
        <v>129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153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126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30</v>
      </c>
      <c r="C70" s="3" t="s">
        <v>130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154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126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30</v>
      </c>
      <c r="C71" s="3" t="s">
        <v>131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155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126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30</v>
      </c>
      <c r="C72" s="3" t="s">
        <v>133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156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126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157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126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30</v>
      </c>
      <c r="C74" s="3" t="s">
        <v>135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136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137</v>
      </c>
      <c r="Y74" s="16">
        <v>203002011</v>
      </c>
      <c r="Z74" s="16">
        <v>0</v>
      </c>
      <c r="AA74" s="3">
        <v>1</v>
      </c>
      <c r="AB74" s="8" t="s">
        <v>138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30</v>
      </c>
      <c r="C75" s="3" t="s">
        <v>139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158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126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 x14ac:dyDescent="0.2">
      <c r="A76" s="3">
        <v>21115</v>
      </c>
      <c r="B76" s="2">
        <v>30</v>
      </c>
      <c r="C76" s="2" t="s">
        <v>141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126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214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214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214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x14ac:dyDescent="0.2">
      <c r="A80" s="3">
        <v>31104</v>
      </c>
      <c r="B80" s="3">
        <v>30</v>
      </c>
      <c r="C80" s="3" t="s">
        <v>119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120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214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30</v>
      </c>
      <c r="C81" s="3" t="s">
        <v>121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122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214</v>
      </c>
      <c r="Y81" s="16">
        <v>214001011</v>
      </c>
      <c r="Z81" s="16">
        <v>0</v>
      </c>
      <c r="AA81" s="3">
        <v>1</v>
      </c>
      <c r="AB81" s="8" t="s">
        <v>123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30</v>
      </c>
      <c r="C82" s="2" t="s">
        <v>124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126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x14ac:dyDescent="0.2">
      <c r="A83" s="3">
        <v>31107</v>
      </c>
      <c r="B83" s="2">
        <v>30</v>
      </c>
      <c r="C83" s="2" t="s">
        <v>127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122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126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30</v>
      </c>
      <c r="C84" s="3" t="s">
        <v>129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153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126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30</v>
      </c>
      <c r="C85" s="3" t="s">
        <v>130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154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126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30</v>
      </c>
      <c r="C86" s="3" t="s">
        <v>131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155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126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30</v>
      </c>
      <c r="C87" s="3" t="s">
        <v>133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156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126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157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126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30</v>
      </c>
      <c r="C89" s="3" t="s">
        <v>135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136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137</v>
      </c>
      <c r="Y89" s="16">
        <v>203002011</v>
      </c>
      <c r="Z89" s="16">
        <v>0</v>
      </c>
      <c r="AA89" s="3">
        <v>1</v>
      </c>
      <c r="AB89" s="8" t="s">
        <v>138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30</v>
      </c>
      <c r="C90" s="3" t="s">
        <v>139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158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126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 x14ac:dyDescent="0.2">
      <c r="A91" s="3">
        <v>31115</v>
      </c>
      <c r="B91" s="2">
        <v>30</v>
      </c>
      <c r="C91" s="2" t="s">
        <v>141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126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214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214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214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3">
        <v>41104</v>
      </c>
      <c r="B95" s="3">
        <v>30</v>
      </c>
      <c r="C95" s="3" t="s">
        <v>119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120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214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30</v>
      </c>
      <c r="C96" s="3" t="s">
        <v>121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122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214</v>
      </c>
      <c r="Y96" s="16">
        <v>214001011</v>
      </c>
      <c r="Z96" s="16">
        <v>0</v>
      </c>
      <c r="AA96" s="3">
        <v>1</v>
      </c>
      <c r="AB96" s="8" t="s">
        <v>123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2">
        <v>30</v>
      </c>
      <c r="C97" s="2" t="s">
        <v>124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126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x14ac:dyDescent="0.2">
      <c r="A98" s="3">
        <v>41107</v>
      </c>
      <c r="B98" s="2">
        <v>30</v>
      </c>
      <c r="C98" s="2" t="s">
        <v>127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122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126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30</v>
      </c>
      <c r="C99" s="3" t="s">
        <v>129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153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126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30</v>
      </c>
      <c r="C100" s="3" t="s">
        <v>130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154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126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30</v>
      </c>
      <c r="C101" s="3" t="s">
        <v>131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155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126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30</v>
      </c>
      <c r="C102" s="3" t="s">
        <v>133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156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126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157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126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30</v>
      </c>
      <c r="C104" s="3" t="s">
        <v>135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136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137</v>
      </c>
      <c r="Y104" s="16">
        <v>203002011</v>
      </c>
      <c r="Z104" s="16">
        <v>0</v>
      </c>
      <c r="AA104" s="3">
        <v>1</v>
      </c>
      <c r="AB104" s="8" t="s">
        <v>138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30</v>
      </c>
      <c r="C105" s="3" t="s">
        <v>139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158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126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 x14ac:dyDescent="0.2">
      <c r="A106" s="3">
        <v>41115</v>
      </c>
      <c r="B106" s="2">
        <v>30</v>
      </c>
      <c r="C106" s="2" t="s">
        <v>141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126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214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214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214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30</v>
      </c>
      <c r="C110" s="3" t="s">
        <v>119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120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214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30</v>
      </c>
      <c r="C111" s="3" t="s">
        <v>121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122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214</v>
      </c>
      <c r="Y111" s="16">
        <v>214001011</v>
      </c>
      <c r="Z111" s="16">
        <v>0</v>
      </c>
      <c r="AA111" s="3">
        <v>1</v>
      </c>
      <c r="AB111" s="8" t="s">
        <v>123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30</v>
      </c>
      <c r="C112" s="2" t="s">
        <v>124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126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30</v>
      </c>
      <c r="C113" s="2" t="s">
        <v>127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122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126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30</v>
      </c>
      <c r="C114" s="3" t="s">
        <v>129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153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126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30</v>
      </c>
      <c r="C115" s="3" t="s">
        <v>130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154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126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30</v>
      </c>
      <c r="C116" s="3" t="s">
        <v>131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155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126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30</v>
      </c>
      <c r="C117" s="3" t="s">
        <v>133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156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126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157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126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30</v>
      </c>
      <c r="C119" s="3" t="s">
        <v>135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136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137</v>
      </c>
      <c r="Y119" s="16">
        <v>203002011</v>
      </c>
      <c r="Z119" s="16">
        <v>0</v>
      </c>
      <c r="AA119" s="3">
        <v>1</v>
      </c>
      <c r="AB119" s="8" t="s">
        <v>138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30</v>
      </c>
      <c r="C120" s="3" t="s">
        <v>139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158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126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30</v>
      </c>
      <c r="C121" s="2" t="s">
        <v>141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126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214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214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214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30</v>
      </c>
      <c r="C125" s="3" t="s">
        <v>119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120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214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30</v>
      </c>
      <c r="C126" s="3" t="s">
        <v>121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122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214</v>
      </c>
      <c r="Y126" s="16">
        <v>214001011</v>
      </c>
      <c r="Z126" s="16">
        <v>0</v>
      </c>
      <c r="AA126" s="3">
        <v>1</v>
      </c>
      <c r="AB126" s="8" t="s">
        <v>123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30</v>
      </c>
      <c r="C127" s="2" t="s">
        <v>124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126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30</v>
      </c>
      <c r="C128" s="2" t="s">
        <v>127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122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126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30</v>
      </c>
      <c r="C129" s="3" t="s">
        <v>129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153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126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30</v>
      </c>
      <c r="C130" s="3" t="s">
        <v>130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154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126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30</v>
      </c>
      <c r="C131" s="3" t="s">
        <v>131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155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126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30</v>
      </c>
      <c r="C132" s="3" t="s">
        <v>133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156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126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157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126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30</v>
      </c>
      <c r="C134" s="3" t="s">
        <v>135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136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137</v>
      </c>
      <c r="Y134" s="16">
        <v>203002011</v>
      </c>
      <c r="Z134" s="16">
        <v>0</v>
      </c>
      <c r="AA134" s="3">
        <v>1</v>
      </c>
      <c r="AB134" s="8" t="s">
        <v>138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30</v>
      </c>
      <c r="C135" s="3" t="s">
        <v>139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158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126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30</v>
      </c>
      <c r="C136" s="2" t="s">
        <v>141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126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214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214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214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30</v>
      </c>
      <c r="C140" s="3" t="s">
        <v>119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120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214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30</v>
      </c>
      <c r="C141" s="3" t="s">
        <v>121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122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214</v>
      </c>
      <c r="Y141" s="16">
        <v>214001011</v>
      </c>
      <c r="Z141" s="16">
        <v>0</v>
      </c>
      <c r="AA141" s="3">
        <v>1</v>
      </c>
      <c r="AB141" s="8" t="s">
        <v>123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2">
        <v>30</v>
      </c>
      <c r="C142" s="2" t="s">
        <v>124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126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 x14ac:dyDescent="0.2">
      <c r="A143" s="3">
        <v>61107</v>
      </c>
      <c r="B143" s="2">
        <v>30</v>
      </c>
      <c r="C143" s="2" t="s">
        <v>127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122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126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30</v>
      </c>
      <c r="C144" s="3" t="s">
        <v>129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153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126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30</v>
      </c>
      <c r="C145" s="3" t="s">
        <v>130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154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126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30</v>
      </c>
      <c r="C146" s="3" t="s">
        <v>131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155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126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30</v>
      </c>
      <c r="C147" s="3" t="s">
        <v>133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156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126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157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126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30</v>
      </c>
      <c r="C149" s="3" t="s">
        <v>135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136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137</v>
      </c>
      <c r="Y149" s="16">
        <v>203002011</v>
      </c>
      <c r="Z149" s="16">
        <v>0</v>
      </c>
      <c r="AA149" s="3">
        <v>1</v>
      </c>
      <c r="AB149" s="8" t="s">
        <v>138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30</v>
      </c>
      <c r="C150" s="3" t="s">
        <v>139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158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126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 x14ac:dyDescent="0.2">
      <c r="A151" s="3">
        <v>61115</v>
      </c>
      <c r="B151" s="2">
        <v>30</v>
      </c>
      <c r="C151" s="2" t="s">
        <v>141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126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214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214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214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30</v>
      </c>
      <c r="C155" s="3" t="s">
        <v>119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120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214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30</v>
      </c>
      <c r="C156" s="3" t="s">
        <v>121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122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214</v>
      </c>
      <c r="Y156" s="16">
        <v>214001011</v>
      </c>
      <c r="Z156" s="16">
        <v>0</v>
      </c>
      <c r="AA156" s="3">
        <v>1</v>
      </c>
      <c r="AB156" s="8" t="s">
        <v>123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2">
        <v>30</v>
      </c>
      <c r="C157" s="2" t="s">
        <v>124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126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 x14ac:dyDescent="0.2">
      <c r="A158" s="3">
        <v>62107</v>
      </c>
      <c r="B158" s="2">
        <v>30</v>
      </c>
      <c r="C158" s="2" t="s">
        <v>127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122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126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30</v>
      </c>
      <c r="C159" s="3" t="s">
        <v>129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153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126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30</v>
      </c>
      <c r="C160" s="3" t="s">
        <v>130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154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126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30</v>
      </c>
      <c r="C161" s="3" t="s">
        <v>131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155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126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30</v>
      </c>
      <c r="C162" s="3" t="s">
        <v>133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156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126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157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126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30</v>
      </c>
      <c r="C164" s="3" t="s">
        <v>135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136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137</v>
      </c>
      <c r="Y164" s="16">
        <v>203002011</v>
      </c>
      <c r="Z164" s="16">
        <v>0</v>
      </c>
      <c r="AA164" s="3">
        <v>1</v>
      </c>
      <c r="AB164" s="8" t="s">
        <v>138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30</v>
      </c>
      <c r="C165" s="3" t="s">
        <v>139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158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126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 x14ac:dyDescent="0.2">
      <c r="A166" s="3">
        <v>62115</v>
      </c>
      <c r="B166" s="2">
        <v>30</v>
      </c>
      <c r="C166" s="2" t="s">
        <v>141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126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214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214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214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30</v>
      </c>
      <c r="C170" s="3" t="s">
        <v>119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120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214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30</v>
      </c>
      <c r="C171" s="3" t="s">
        <v>121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122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214</v>
      </c>
      <c r="Y171" s="16">
        <v>214001011</v>
      </c>
      <c r="Z171" s="16">
        <v>0</v>
      </c>
      <c r="AA171" s="3">
        <v>1</v>
      </c>
      <c r="AB171" s="8" t="s">
        <v>123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2">
        <v>30</v>
      </c>
      <c r="C172" s="2" t="s">
        <v>124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126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 x14ac:dyDescent="0.2">
      <c r="A173" s="3">
        <v>71107</v>
      </c>
      <c r="B173" s="2">
        <v>30</v>
      </c>
      <c r="C173" s="2" t="s">
        <v>127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122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126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30</v>
      </c>
      <c r="C174" s="3" t="s">
        <v>129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153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126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30</v>
      </c>
      <c r="C175" s="3" t="s">
        <v>130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154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126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30</v>
      </c>
      <c r="C176" s="3" t="s">
        <v>131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155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126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30</v>
      </c>
      <c r="C177" s="3" t="s">
        <v>133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156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126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157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126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30</v>
      </c>
      <c r="C179" s="3" t="s">
        <v>135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136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137</v>
      </c>
      <c r="Y179" s="16">
        <v>203002011</v>
      </c>
      <c r="Z179" s="16">
        <v>0</v>
      </c>
      <c r="AA179" s="3">
        <v>1</v>
      </c>
      <c r="AB179" s="8" t="s">
        <v>138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30</v>
      </c>
      <c r="C180" s="3" t="s">
        <v>139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158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126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 x14ac:dyDescent="0.2">
      <c r="A181" s="3">
        <v>71115</v>
      </c>
      <c r="B181" s="2">
        <v>30</v>
      </c>
      <c r="C181" s="2" t="s">
        <v>141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126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214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214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214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30</v>
      </c>
      <c r="C185" s="3" t="s">
        <v>119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120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214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30</v>
      </c>
      <c r="C186" s="3" t="s">
        <v>121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122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214</v>
      </c>
      <c r="Y186" s="16">
        <v>214001011</v>
      </c>
      <c r="Z186" s="16">
        <v>0</v>
      </c>
      <c r="AA186" s="3">
        <v>1</v>
      </c>
      <c r="AB186" s="8" t="s">
        <v>123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2">
        <v>30</v>
      </c>
      <c r="C187" s="2" t="s">
        <v>124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126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 x14ac:dyDescent="0.2">
      <c r="A188" s="3">
        <v>72107</v>
      </c>
      <c r="B188" s="2">
        <v>30</v>
      </c>
      <c r="C188" s="2" t="s">
        <v>127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122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126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30</v>
      </c>
      <c r="C189" s="3" t="s">
        <v>129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153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126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30</v>
      </c>
      <c r="C190" s="3" t="s">
        <v>130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154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126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30</v>
      </c>
      <c r="C191" s="3" t="s">
        <v>131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155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126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30</v>
      </c>
      <c r="C192" s="3" t="s">
        <v>133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156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126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157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126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30</v>
      </c>
      <c r="C194" s="3" t="s">
        <v>135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136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137</v>
      </c>
      <c r="Y194" s="16">
        <v>203002011</v>
      </c>
      <c r="Z194" s="16">
        <v>0</v>
      </c>
      <c r="AA194" s="3">
        <v>1</v>
      </c>
      <c r="AB194" s="8" t="s">
        <v>138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30</v>
      </c>
      <c r="C195" s="3" t="s">
        <v>139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158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126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 x14ac:dyDescent="0.2">
      <c r="A196" s="3">
        <v>72115</v>
      </c>
      <c r="B196" s="2">
        <v>30</v>
      </c>
      <c r="C196" s="2" t="s">
        <v>141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126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16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112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93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112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118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112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119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120</v>
      </c>
      <c r="L200" s="3">
        <v>800001041</v>
      </c>
      <c r="M200" s="3">
        <v>1</v>
      </c>
      <c r="N200" s="3">
        <v>70</v>
      </c>
      <c r="O200" s="3">
        <v>0</v>
      </c>
      <c r="P200" s="3">
        <v>6</v>
      </c>
      <c r="Q200" s="3">
        <v>1</v>
      </c>
      <c r="R200" s="3">
        <v>16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112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121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122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16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112</v>
      </c>
      <c r="Y201" s="16">
        <v>214001011</v>
      </c>
      <c r="Z201" s="16">
        <v>0</v>
      </c>
      <c r="AA201" s="3">
        <v>1</v>
      </c>
      <c r="AB201" s="8" t="s">
        <v>123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124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125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126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127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128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126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129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128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126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130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128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126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131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132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126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133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132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126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132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126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135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136</v>
      </c>
      <c r="L209" s="3">
        <v>800003021</v>
      </c>
      <c r="M209" s="3">
        <v>1</v>
      </c>
      <c r="N209" s="3">
        <v>500</v>
      </c>
      <c r="O209" s="3">
        <v>0</v>
      </c>
      <c r="P209" s="3">
        <v>48</v>
      </c>
      <c r="Q209" s="3">
        <v>6</v>
      </c>
      <c r="R209" s="15">
        <v>552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137</v>
      </c>
      <c r="Y209" s="16">
        <v>203002011</v>
      </c>
      <c r="Z209" s="16">
        <v>0</v>
      </c>
      <c r="AA209" s="3">
        <v>1</v>
      </c>
      <c r="AB209" s="8" t="s">
        <v>138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139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140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126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141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140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126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x14ac:dyDescent="0.2">
      <c r="A212" s="3">
        <v>999001</v>
      </c>
      <c r="B212" s="3">
        <v>1</v>
      </c>
      <c r="C212" s="3" t="s">
        <v>142</v>
      </c>
      <c r="D212" s="3"/>
      <c r="F212" s="3"/>
      <c r="G212" s="3">
        <v>1</v>
      </c>
      <c r="H212" s="3">
        <v>1</v>
      </c>
      <c r="I212" s="3" t="s">
        <v>81</v>
      </c>
      <c r="J212" s="3">
        <v>0</v>
      </c>
      <c r="K212" s="3" t="s">
        <v>120</v>
      </c>
      <c r="L212" s="3">
        <v>800001041</v>
      </c>
      <c r="M212" s="3">
        <v>1</v>
      </c>
      <c r="N212" s="3">
        <v>100</v>
      </c>
      <c r="O212" s="3">
        <v>0</v>
      </c>
      <c r="P212" s="3">
        <v>5</v>
      </c>
      <c r="Q212" s="3">
        <v>0</v>
      </c>
      <c r="R212" s="3">
        <v>10000</v>
      </c>
      <c r="S212" s="3">
        <v>-5000</v>
      </c>
      <c r="T212" s="3">
        <v>1</v>
      </c>
      <c r="U212" s="3">
        <v>100</v>
      </c>
      <c r="V212" s="3" t="s">
        <v>110</v>
      </c>
      <c r="W212" s="3" t="s">
        <v>111</v>
      </c>
      <c r="X212" s="3" t="s">
        <v>143</v>
      </c>
      <c r="Y212" s="16">
        <v>201004011</v>
      </c>
      <c r="Z212" s="16">
        <v>0</v>
      </c>
      <c r="AA212" s="3">
        <v>1</v>
      </c>
      <c r="AB212" s="8" t="s">
        <v>83</v>
      </c>
      <c r="AC212" s="3">
        <v>10000</v>
      </c>
      <c r="AD212" s="3">
        <v>10000</v>
      </c>
      <c r="AE212" s="3">
        <v>0</v>
      </c>
      <c r="AF212" s="8">
        <v>40</v>
      </c>
      <c r="AG212" s="8">
        <v>3000</v>
      </c>
      <c r="AH212" s="8">
        <v>6000</v>
      </c>
      <c r="AI212" s="8">
        <v>0</v>
      </c>
      <c r="AJ212" s="8">
        <v>0</v>
      </c>
    </row>
    <row r="213" spans="1:36" x14ac:dyDescent="0.2">
      <c r="A213" s="3">
        <v>999002</v>
      </c>
      <c r="B213" s="3">
        <v>1</v>
      </c>
      <c r="C213" s="3" t="s">
        <v>144</v>
      </c>
      <c r="D213" s="3"/>
      <c r="F213" s="3"/>
      <c r="G213" s="3">
        <v>1</v>
      </c>
      <c r="H213" s="3">
        <v>1</v>
      </c>
      <c r="I213" s="3" t="s">
        <v>81</v>
      </c>
      <c r="J213" s="3">
        <v>0</v>
      </c>
      <c r="K213" s="3" t="s">
        <v>115</v>
      </c>
      <c r="L213" s="3">
        <v>800001021</v>
      </c>
      <c r="M213" s="3">
        <v>1</v>
      </c>
      <c r="N213" s="3">
        <v>100</v>
      </c>
      <c r="O213" s="3">
        <v>0</v>
      </c>
      <c r="P213" s="3">
        <v>5</v>
      </c>
      <c r="Q213" s="3">
        <v>0</v>
      </c>
      <c r="R213" s="3">
        <v>10000</v>
      </c>
      <c r="S213" s="3">
        <v>-5000</v>
      </c>
      <c r="T213" s="3">
        <v>1</v>
      </c>
      <c r="U213" s="3">
        <v>100</v>
      </c>
      <c r="V213" s="3" t="s">
        <v>110</v>
      </c>
      <c r="W213" s="3" t="s">
        <v>111</v>
      </c>
      <c r="X213" s="3" t="s">
        <v>143</v>
      </c>
      <c r="Y213" s="16">
        <v>201002011</v>
      </c>
      <c r="Z213" s="16">
        <v>0</v>
      </c>
      <c r="AA213" s="3">
        <v>1</v>
      </c>
      <c r="AB213" s="8" t="s">
        <v>83</v>
      </c>
      <c r="AC213" s="3">
        <v>10000</v>
      </c>
      <c r="AD213" s="3">
        <v>10000</v>
      </c>
      <c r="AE213" s="3">
        <v>0</v>
      </c>
      <c r="AF213" s="8">
        <v>40</v>
      </c>
      <c r="AG213" s="8">
        <v>3000</v>
      </c>
      <c r="AH213" s="8">
        <v>6000</v>
      </c>
      <c r="AI213" s="8">
        <v>0</v>
      </c>
      <c r="AJ213" s="8">
        <v>0</v>
      </c>
    </row>
    <row r="214" spans="1:36" x14ac:dyDescent="0.2">
      <c r="A214" s="3">
        <v>999003</v>
      </c>
      <c r="B214" s="3">
        <v>1</v>
      </c>
      <c r="C214" s="3" t="s">
        <v>145</v>
      </c>
      <c r="D214" s="3"/>
      <c r="F214" s="3"/>
      <c r="G214" s="3">
        <v>1</v>
      </c>
      <c r="H214" s="3">
        <v>1</v>
      </c>
      <c r="I214" s="3" t="s">
        <v>81</v>
      </c>
      <c r="J214" s="3">
        <v>0</v>
      </c>
      <c r="K214" s="3" t="s">
        <v>120</v>
      </c>
      <c r="L214" s="3">
        <v>800001041</v>
      </c>
      <c r="M214" s="3">
        <v>1</v>
      </c>
      <c r="N214" s="3">
        <v>100</v>
      </c>
      <c r="O214" s="3">
        <v>0</v>
      </c>
      <c r="P214" s="3">
        <v>5</v>
      </c>
      <c r="Q214" s="3">
        <v>0</v>
      </c>
      <c r="R214" s="3">
        <v>10</v>
      </c>
      <c r="S214" s="3">
        <v>-5000</v>
      </c>
      <c r="T214" s="3">
        <v>1</v>
      </c>
      <c r="U214" s="3">
        <v>100</v>
      </c>
      <c r="V214" s="3" t="s">
        <v>110</v>
      </c>
      <c r="W214" s="3" t="s">
        <v>111</v>
      </c>
      <c r="X214" s="3" t="s">
        <v>143</v>
      </c>
      <c r="Y214" s="16">
        <v>201002011</v>
      </c>
      <c r="Z214" s="16">
        <v>0</v>
      </c>
      <c r="AA214" s="3">
        <v>1</v>
      </c>
      <c r="AB214" s="8" t="s">
        <v>83</v>
      </c>
      <c r="AC214" s="3">
        <v>10000</v>
      </c>
      <c r="AD214" s="3">
        <v>10000</v>
      </c>
      <c r="AE214" s="3">
        <v>0</v>
      </c>
      <c r="AF214" s="8">
        <v>40</v>
      </c>
      <c r="AG214" s="8">
        <v>3000</v>
      </c>
      <c r="AH214" s="8">
        <v>6000</v>
      </c>
      <c r="AI214" s="8">
        <v>0</v>
      </c>
      <c r="AJ214" s="8">
        <v>0</v>
      </c>
    </row>
    <row r="215" spans="1:36" x14ac:dyDescent="0.2">
      <c r="A215" s="3">
        <v>999004</v>
      </c>
      <c r="B215" s="3">
        <v>1</v>
      </c>
      <c r="C215" s="3" t="s">
        <v>146</v>
      </c>
      <c r="D215" s="3"/>
      <c r="F215" s="3"/>
      <c r="G215" s="3">
        <v>1</v>
      </c>
      <c r="H215" s="3">
        <v>1</v>
      </c>
      <c r="I215" s="3" t="s">
        <v>81</v>
      </c>
      <c r="J215" s="3">
        <v>0</v>
      </c>
      <c r="K215" s="3" t="s">
        <v>115</v>
      </c>
      <c r="L215" s="3">
        <v>800001021</v>
      </c>
      <c r="M215" s="3">
        <v>1</v>
      </c>
      <c r="N215" s="3">
        <v>100</v>
      </c>
      <c r="O215" s="3">
        <v>0</v>
      </c>
      <c r="P215" s="3">
        <v>5</v>
      </c>
      <c r="Q215" s="3">
        <v>0</v>
      </c>
      <c r="R215" s="3">
        <v>10</v>
      </c>
      <c r="S215" s="3">
        <v>-5000</v>
      </c>
      <c r="T215" s="3">
        <v>1</v>
      </c>
      <c r="U215" s="3">
        <v>100</v>
      </c>
      <c r="V215" s="3" t="s">
        <v>110</v>
      </c>
      <c r="W215" s="3" t="s">
        <v>111</v>
      </c>
      <c r="X215" s="3" t="s">
        <v>143</v>
      </c>
      <c r="Y215" s="16">
        <v>201002011</v>
      </c>
      <c r="Z215" s="16">
        <v>0</v>
      </c>
      <c r="AA215" s="3">
        <v>1</v>
      </c>
      <c r="AB215" s="8" t="s">
        <v>83</v>
      </c>
      <c r="AC215" s="3">
        <v>10000</v>
      </c>
      <c r="AD215" s="3">
        <v>10000</v>
      </c>
      <c r="AE215" s="3">
        <v>0</v>
      </c>
      <c r="AF215" s="8">
        <v>40</v>
      </c>
      <c r="AG215" s="8">
        <v>3000</v>
      </c>
      <c r="AH215" s="8">
        <v>6000</v>
      </c>
      <c r="AI215" s="8">
        <v>0</v>
      </c>
      <c r="AJ215" s="8">
        <v>0</v>
      </c>
    </row>
    <row r="216" spans="1:36" ht="14.25" x14ac:dyDescent="0.2">
      <c r="A216" s="18">
        <v>9999001</v>
      </c>
      <c r="B216" s="18">
        <v>21</v>
      </c>
      <c r="C216" s="18" t="s">
        <v>147</v>
      </c>
      <c r="D216" s="18"/>
      <c r="E216" s="18"/>
      <c r="F216" s="18"/>
      <c r="G216" s="18">
        <v>12</v>
      </c>
      <c r="H216" s="3">
        <v>1</v>
      </c>
      <c r="I216" s="3" t="s">
        <v>81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112</v>
      </c>
      <c r="Y216" s="22">
        <v>201001011</v>
      </c>
      <c r="Z216" s="22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spans="1:36" ht="14.25" x14ac:dyDescent="0.2">
      <c r="A217" s="18">
        <v>9999002</v>
      </c>
      <c r="B217" s="18">
        <v>21</v>
      </c>
      <c r="C217" s="18" t="s">
        <v>148</v>
      </c>
      <c r="D217" s="18"/>
      <c r="E217" s="18"/>
      <c r="F217" s="18"/>
      <c r="G217" s="18">
        <v>12</v>
      </c>
      <c r="H217" s="3">
        <v>1</v>
      </c>
      <c r="I217" s="3" t="s">
        <v>81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112</v>
      </c>
      <c r="Y217" s="22">
        <v>201002011</v>
      </c>
      <c r="Z217" s="22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spans="1:36" ht="14.25" x14ac:dyDescent="0.2">
      <c r="A218" s="18">
        <v>9999004</v>
      </c>
      <c r="B218" s="18">
        <v>21</v>
      </c>
      <c r="C218" s="18" t="s">
        <v>149</v>
      </c>
      <c r="D218" s="18"/>
      <c r="E218" s="18"/>
      <c r="F218" s="18"/>
      <c r="G218" s="18">
        <v>12</v>
      </c>
      <c r="H218" s="3">
        <v>1</v>
      </c>
      <c r="I218" s="3" t="s">
        <v>81</v>
      </c>
      <c r="J218" s="18">
        <v>0</v>
      </c>
      <c r="K218" s="18" t="s">
        <v>120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112</v>
      </c>
      <c r="Y218" s="22">
        <v>201004011</v>
      </c>
      <c r="Z218" s="22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spans="1:36" ht="14.25" x14ac:dyDescent="0.2">
      <c r="A219" s="18">
        <v>9999005</v>
      </c>
      <c r="B219" s="18">
        <v>21</v>
      </c>
      <c r="C219" s="18" t="s">
        <v>150</v>
      </c>
      <c r="D219" s="18"/>
      <c r="E219" s="18"/>
      <c r="F219" s="18"/>
      <c r="G219" s="18">
        <v>12</v>
      </c>
      <c r="H219" s="3">
        <v>1</v>
      </c>
      <c r="I219" s="3" t="s">
        <v>81</v>
      </c>
      <c r="J219" s="18">
        <v>0</v>
      </c>
      <c r="K219" s="18" t="s">
        <v>122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112</v>
      </c>
      <c r="Y219" s="22">
        <v>214001011</v>
      </c>
      <c r="Z219" s="22">
        <v>0</v>
      </c>
      <c r="AA219" s="18">
        <v>1</v>
      </c>
      <c r="AB219" s="18" t="s">
        <v>123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spans="1:36" ht="14.25" x14ac:dyDescent="0.2">
      <c r="A220" s="18">
        <v>9999013</v>
      </c>
      <c r="B220" s="18">
        <v>21</v>
      </c>
      <c r="C220" s="18" t="s">
        <v>135</v>
      </c>
      <c r="D220" s="18"/>
      <c r="E220" s="18"/>
      <c r="F220" s="18"/>
      <c r="G220" s="18">
        <v>12</v>
      </c>
      <c r="H220" s="3">
        <v>1</v>
      </c>
      <c r="I220" s="3" t="s">
        <v>81</v>
      </c>
      <c r="J220" s="18">
        <v>0</v>
      </c>
      <c r="K220" s="18" t="s">
        <v>151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137</v>
      </c>
      <c r="Y220" s="22">
        <v>203002011</v>
      </c>
      <c r="Z220" s="22">
        <v>0</v>
      </c>
      <c r="AA220" s="18">
        <v>1</v>
      </c>
      <c r="AB220" s="18" t="s">
        <v>138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214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214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214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119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120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214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121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122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214</v>
      </c>
      <c r="Y225" s="16">
        <v>214001011</v>
      </c>
      <c r="Z225" s="16">
        <v>0</v>
      </c>
      <c r="AA225" s="3">
        <v>1</v>
      </c>
      <c r="AB225" s="8" t="s">
        <v>123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124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126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127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122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126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129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153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126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130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154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126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131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155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126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133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156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126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157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126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135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136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137</v>
      </c>
      <c r="Y233" s="16">
        <v>203002011</v>
      </c>
      <c r="Z233" s="16">
        <v>0</v>
      </c>
      <c r="AA233" s="3">
        <v>1</v>
      </c>
      <c r="AB233" s="8" t="s">
        <v>138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139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158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126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141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126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215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215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118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215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119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120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215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121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122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215</v>
      </c>
      <c r="Y240" s="16">
        <v>214001011</v>
      </c>
      <c r="Z240" s="16">
        <v>0</v>
      </c>
      <c r="AA240" s="3">
        <v>1</v>
      </c>
      <c r="AB240" s="8" t="s">
        <v>123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124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125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126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127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128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126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129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128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126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130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128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126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131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132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126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133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132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126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132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126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135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136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137</v>
      </c>
      <c r="Y248" s="16">
        <v>203002011</v>
      </c>
      <c r="Z248" s="16">
        <v>0</v>
      </c>
      <c r="AA248" s="3">
        <v>1</v>
      </c>
      <c r="AB248" s="8" t="s">
        <v>138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139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140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126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141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140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126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152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152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118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152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119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120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152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121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122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152</v>
      </c>
      <c r="Y255" s="16">
        <v>214001011</v>
      </c>
      <c r="Z255" s="16">
        <v>0</v>
      </c>
      <c r="AA255" s="3">
        <v>1</v>
      </c>
      <c r="AB255" s="8" t="s">
        <v>123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124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125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126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127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128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126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129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128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126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130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128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126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131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132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126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133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132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126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132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126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135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136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137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139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140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126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4.25" x14ac:dyDescent="0.2">
      <c r="A265" s="3">
        <v>303115</v>
      </c>
      <c r="B265" s="3">
        <v>30</v>
      </c>
      <c r="C265" s="3" t="s">
        <v>141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159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137</v>
      </c>
      <c r="Y265" s="16">
        <v>216001001</v>
      </c>
      <c r="Z265" s="16">
        <v>0</v>
      </c>
      <c r="AA265" s="3">
        <v>1</v>
      </c>
      <c r="AB265" s="8" t="s">
        <v>138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90000201</v>
      </c>
      <c r="B266" s="19">
        <v>2</v>
      </c>
      <c r="C266" s="19" t="s">
        <v>160</v>
      </c>
      <c r="D266" s="19"/>
      <c r="E266" s="20"/>
      <c r="F266" s="19"/>
      <c r="G266" s="19">
        <v>1</v>
      </c>
      <c r="H266" s="19">
        <v>2</v>
      </c>
      <c r="I266" s="26" t="s">
        <v>81</v>
      </c>
      <c r="J266" s="19">
        <v>0</v>
      </c>
      <c r="K266" s="19" t="s">
        <v>109</v>
      </c>
      <c r="L266" s="19">
        <v>800001011</v>
      </c>
      <c r="M266" s="19">
        <v>1</v>
      </c>
      <c r="N266" s="21">
        <v>1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3">
        <v>20010001</v>
      </c>
      <c r="Z266" s="23">
        <v>0</v>
      </c>
      <c r="AA266" s="19">
        <v>1</v>
      </c>
      <c r="AB266" s="24" t="s">
        <v>83</v>
      </c>
      <c r="AC266" s="19">
        <v>10000</v>
      </c>
      <c r="AD266" s="19">
        <v>10000</v>
      </c>
      <c r="AE266" s="19">
        <v>0</v>
      </c>
      <c r="AF266" s="24">
        <v>40</v>
      </c>
      <c r="AG266" s="24">
        <v>0</v>
      </c>
      <c r="AH266" s="24">
        <v>0</v>
      </c>
      <c r="AI266" s="24">
        <v>0</v>
      </c>
      <c r="AJ266" s="24">
        <v>0</v>
      </c>
    </row>
    <row r="267" spans="1:36" ht="14.25" x14ac:dyDescent="0.2">
      <c r="A267" s="19">
        <v>90000301</v>
      </c>
      <c r="B267" s="19">
        <v>3</v>
      </c>
      <c r="C267" s="19" t="s">
        <v>161</v>
      </c>
      <c r="D267" s="19"/>
      <c r="E267" s="20"/>
      <c r="F267" s="19"/>
      <c r="G267" s="19">
        <v>1</v>
      </c>
      <c r="H267" s="19">
        <v>2</v>
      </c>
      <c r="I267" s="26" t="s">
        <v>81</v>
      </c>
      <c r="J267" s="19">
        <v>0</v>
      </c>
      <c r="K267" s="19" t="s">
        <v>109</v>
      </c>
      <c r="L267" s="19">
        <v>800001011</v>
      </c>
      <c r="M267" s="19">
        <v>1</v>
      </c>
      <c r="N267" s="21">
        <v>1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3">
        <v>20010001</v>
      </c>
      <c r="Z267" s="23">
        <v>0</v>
      </c>
      <c r="AA267" s="19">
        <v>1</v>
      </c>
      <c r="AB267" s="24" t="s">
        <v>83</v>
      </c>
      <c r="AC267" s="19">
        <v>10000</v>
      </c>
      <c r="AD267" s="19">
        <v>10000</v>
      </c>
      <c r="AE267" s="19">
        <v>0</v>
      </c>
      <c r="AF267" s="24">
        <v>40</v>
      </c>
      <c r="AG267" s="24">
        <v>0</v>
      </c>
      <c r="AH267" s="24">
        <v>0</v>
      </c>
      <c r="AI267" s="24">
        <v>0</v>
      </c>
      <c r="AJ267" s="24">
        <v>0</v>
      </c>
    </row>
    <row r="268" spans="1:36" ht="14.25" x14ac:dyDescent="0.2">
      <c r="A268" s="19">
        <v>90000302</v>
      </c>
      <c r="B268" s="19">
        <v>3</v>
      </c>
      <c r="C268" s="19" t="s">
        <v>162</v>
      </c>
      <c r="D268" s="19"/>
      <c r="E268" s="20"/>
      <c r="F268" s="19"/>
      <c r="G268" s="19">
        <v>1</v>
      </c>
      <c r="H268" s="19">
        <v>2</v>
      </c>
      <c r="I268" s="26" t="s">
        <v>81</v>
      </c>
      <c r="J268" s="19">
        <v>0</v>
      </c>
      <c r="K268" s="19" t="s">
        <v>109</v>
      </c>
      <c r="L268" s="19">
        <v>800001011</v>
      </c>
      <c r="M268" s="19">
        <v>1</v>
      </c>
      <c r="N268" s="21">
        <v>2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3">
        <v>20010001</v>
      </c>
      <c r="Z268" s="23">
        <v>0</v>
      </c>
      <c r="AA268" s="19">
        <v>1</v>
      </c>
      <c r="AB268" s="24" t="s">
        <v>83</v>
      </c>
      <c r="AC268" s="19">
        <v>10000</v>
      </c>
      <c r="AD268" s="19">
        <v>10000</v>
      </c>
      <c r="AE268" s="19">
        <v>0</v>
      </c>
      <c r="AF268" s="24">
        <v>40</v>
      </c>
      <c r="AG268" s="24">
        <v>0</v>
      </c>
      <c r="AH268" s="24">
        <v>0</v>
      </c>
      <c r="AI268" s="24">
        <v>0</v>
      </c>
      <c r="AJ268" s="24">
        <v>0</v>
      </c>
    </row>
    <row r="269" spans="1:36" ht="14.25" x14ac:dyDescent="0.2">
      <c r="A269" s="19">
        <v>90000401</v>
      </c>
      <c r="B269" s="19">
        <v>3</v>
      </c>
      <c r="C269" s="19" t="s">
        <v>163</v>
      </c>
      <c r="D269" s="19"/>
      <c r="E269" s="20"/>
      <c r="F269" s="19"/>
      <c r="G269" s="19">
        <v>1</v>
      </c>
      <c r="H269" s="19">
        <v>2</v>
      </c>
      <c r="I269" s="26" t="s">
        <v>81</v>
      </c>
      <c r="J269" s="19">
        <v>0</v>
      </c>
      <c r="K269" s="19" t="s">
        <v>109</v>
      </c>
      <c r="L269" s="19">
        <v>800001011</v>
      </c>
      <c r="M269" s="19">
        <v>1</v>
      </c>
      <c r="N269" s="21">
        <v>1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3">
        <v>20010001</v>
      </c>
      <c r="Z269" s="23">
        <v>0</v>
      </c>
      <c r="AA269" s="19">
        <v>1</v>
      </c>
      <c r="AB269" s="24" t="s">
        <v>83</v>
      </c>
      <c r="AC269" s="19">
        <v>10000</v>
      </c>
      <c r="AD269" s="19">
        <v>10000</v>
      </c>
      <c r="AE269" s="19">
        <v>0</v>
      </c>
      <c r="AF269" s="24">
        <v>40</v>
      </c>
      <c r="AG269" s="24">
        <v>0</v>
      </c>
      <c r="AH269" s="24">
        <v>0</v>
      </c>
      <c r="AI269" s="24">
        <v>0</v>
      </c>
      <c r="AJ269" s="24">
        <v>0</v>
      </c>
    </row>
    <row r="270" spans="1:36" ht="14.25" x14ac:dyDescent="0.2">
      <c r="A270" s="19">
        <v>90000402</v>
      </c>
      <c r="B270" s="19">
        <v>3</v>
      </c>
      <c r="C270" s="19" t="s">
        <v>164</v>
      </c>
      <c r="D270" s="19"/>
      <c r="E270" s="20"/>
      <c r="F270" s="19"/>
      <c r="G270" s="19">
        <v>1</v>
      </c>
      <c r="H270" s="19">
        <v>2</v>
      </c>
      <c r="I270" s="26" t="s">
        <v>81</v>
      </c>
      <c r="J270" s="19">
        <v>0</v>
      </c>
      <c r="K270" s="19" t="s">
        <v>109</v>
      </c>
      <c r="L270" s="19">
        <v>800001011</v>
      </c>
      <c r="M270" s="19">
        <v>1</v>
      </c>
      <c r="N270" s="21">
        <v>2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3">
        <v>20010001</v>
      </c>
      <c r="Z270" s="23">
        <v>0</v>
      </c>
      <c r="AA270" s="19">
        <v>1</v>
      </c>
      <c r="AB270" s="24" t="s">
        <v>83</v>
      </c>
      <c r="AC270" s="19">
        <v>10000</v>
      </c>
      <c r="AD270" s="19">
        <v>10000</v>
      </c>
      <c r="AE270" s="19">
        <v>0</v>
      </c>
      <c r="AF270" s="24">
        <v>40</v>
      </c>
      <c r="AG270" s="24">
        <v>0</v>
      </c>
      <c r="AH270" s="24">
        <v>0</v>
      </c>
      <c r="AI270" s="24">
        <v>0</v>
      </c>
      <c r="AJ270" s="24">
        <v>0</v>
      </c>
    </row>
    <row r="271" spans="1:36" ht="14.25" x14ac:dyDescent="0.2">
      <c r="A271" s="19">
        <v>90000501</v>
      </c>
      <c r="B271" s="19">
        <v>3</v>
      </c>
      <c r="C271" s="19" t="s">
        <v>165</v>
      </c>
      <c r="D271" s="19"/>
      <c r="E271" s="20"/>
      <c r="F271" s="19"/>
      <c r="G271" s="19">
        <v>1</v>
      </c>
      <c r="H271" s="19">
        <v>2</v>
      </c>
      <c r="I271" s="26" t="s">
        <v>81</v>
      </c>
      <c r="J271" s="19">
        <v>0</v>
      </c>
      <c r="K271" s="19" t="s">
        <v>109</v>
      </c>
      <c r="L271" s="19">
        <v>800001011</v>
      </c>
      <c r="M271" s="19">
        <v>1</v>
      </c>
      <c r="N271" s="21">
        <v>1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3">
        <v>20010001</v>
      </c>
      <c r="Z271" s="23">
        <v>0</v>
      </c>
      <c r="AA271" s="19">
        <v>1</v>
      </c>
      <c r="AB271" s="24" t="s">
        <v>83</v>
      </c>
      <c r="AC271" s="19">
        <v>10000</v>
      </c>
      <c r="AD271" s="19">
        <v>10000</v>
      </c>
      <c r="AE271" s="19">
        <v>0</v>
      </c>
      <c r="AF271" s="24">
        <v>40</v>
      </c>
      <c r="AG271" s="24">
        <v>0</v>
      </c>
      <c r="AH271" s="24">
        <v>0</v>
      </c>
      <c r="AI271" s="24">
        <v>0</v>
      </c>
      <c r="AJ271" s="24">
        <v>0</v>
      </c>
    </row>
    <row r="272" spans="1:36" ht="14.25" x14ac:dyDescent="0.2">
      <c r="A272" s="19">
        <v>90000502</v>
      </c>
      <c r="B272" s="19">
        <v>3</v>
      </c>
      <c r="C272" s="19" t="s">
        <v>166</v>
      </c>
      <c r="D272" s="19"/>
      <c r="E272" s="20"/>
      <c r="F272" s="19"/>
      <c r="G272" s="19">
        <v>1</v>
      </c>
      <c r="H272" s="19">
        <v>2</v>
      </c>
      <c r="I272" s="26" t="s">
        <v>81</v>
      </c>
      <c r="J272" s="19">
        <v>0</v>
      </c>
      <c r="K272" s="19" t="s">
        <v>109</v>
      </c>
      <c r="L272" s="19">
        <v>800001011</v>
      </c>
      <c r="M272" s="19">
        <v>1</v>
      </c>
      <c r="N272" s="21">
        <v>2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3">
        <v>20010001</v>
      </c>
      <c r="Z272" s="23">
        <v>0</v>
      </c>
      <c r="AA272" s="19">
        <v>1</v>
      </c>
      <c r="AB272" s="24" t="s">
        <v>83</v>
      </c>
      <c r="AC272" s="19">
        <v>10000</v>
      </c>
      <c r="AD272" s="19">
        <v>10000</v>
      </c>
      <c r="AE272" s="19">
        <v>0</v>
      </c>
      <c r="AF272" s="24">
        <v>40</v>
      </c>
      <c r="AG272" s="24">
        <v>0</v>
      </c>
      <c r="AH272" s="24">
        <v>0</v>
      </c>
      <c r="AI272" s="24">
        <v>0</v>
      </c>
      <c r="AJ272" s="24">
        <v>0</v>
      </c>
    </row>
    <row r="273" spans="1:36" ht="14.25" x14ac:dyDescent="0.2">
      <c r="A273" s="19">
        <v>90000503</v>
      </c>
      <c r="B273" s="19">
        <v>3</v>
      </c>
      <c r="C273" s="19" t="s">
        <v>167</v>
      </c>
      <c r="D273" s="19"/>
      <c r="E273" s="20"/>
      <c r="F273" s="19"/>
      <c r="G273" s="19">
        <v>1</v>
      </c>
      <c r="H273" s="19">
        <v>2</v>
      </c>
      <c r="I273" s="26" t="s">
        <v>81</v>
      </c>
      <c r="J273" s="19">
        <v>0</v>
      </c>
      <c r="K273" s="19" t="s">
        <v>115</v>
      </c>
      <c r="L273" s="19">
        <v>800001021</v>
      </c>
      <c r="M273" s="19">
        <v>1</v>
      </c>
      <c r="N273" s="21">
        <v>3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3">
        <v>20010001</v>
      </c>
      <c r="Z273" s="23">
        <v>0</v>
      </c>
      <c r="AA273" s="19">
        <v>1</v>
      </c>
      <c r="AB273" s="24" t="s">
        <v>83</v>
      </c>
      <c r="AC273" s="19">
        <v>10000</v>
      </c>
      <c r="AD273" s="19">
        <v>10000</v>
      </c>
      <c r="AE273" s="19">
        <v>0</v>
      </c>
      <c r="AF273" s="24">
        <v>40</v>
      </c>
      <c r="AG273" s="24">
        <v>0</v>
      </c>
      <c r="AH273" s="24">
        <v>0</v>
      </c>
      <c r="AI273" s="24">
        <v>0</v>
      </c>
      <c r="AJ273" s="24">
        <v>0</v>
      </c>
    </row>
    <row r="274" spans="1:36" ht="14.25" x14ac:dyDescent="0.2">
      <c r="A274" s="19">
        <v>90000504</v>
      </c>
      <c r="B274" s="19">
        <v>3</v>
      </c>
      <c r="C274" s="19" t="s">
        <v>168</v>
      </c>
      <c r="D274" s="19"/>
      <c r="E274" s="20"/>
      <c r="F274" s="19"/>
      <c r="G274" s="19">
        <v>1</v>
      </c>
      <c r="H274" s="19">
        <v>2</v>
      </c>
      <c r="I274" s="26" t="s">
        <v>81</v>
      </c>
      <c r="J274" s="19">
        <v>0</v>
      </c>
      <c r="K274" s="19" t="s">
        <v>155</v>
      </c>
      <c r="L274" s="19">
        <v>800011011</v>
      </c>
      <c r="M274" s="19">
        <v>1</v>
      </c>
      <c r="N274" s="21">
        <v>6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3">
        <v>20010001</v>
      </c>
      <c r="Z274" s="23">
        <v>0</v>
      </c>
      <c r="AA274" s="19">
        <v>1</v>
      </c>
      <c r="AB274" s="24" t="s">
        <v>83</v>
      </c>
      <c r="AC274" s="19">
        <v>10000</v>
      </c>
      <c r="AD274" s="19">
        <v>10000</v>
      </c>
      <c r="AE274" s="19">
        <v>0</v>
      </c>
      <c r="AF274" s="24">
        <v>40</v>
      </c>
      <c r="AG274" s="24">
        <v>0</v>
      </c>
      <c r="AH274" s="24">
        <v>0</v>
      </c>
      <c r="AI274" s="24">
        <v>0</v>
      </c>
      <c r="AJ274" s="24">
        <v>0</v>
      </c>
    </row>
    <row r="275" spans="1:36" ht="14.25" x14ac:dyDescent="0.2">
      <c r="A275" s="19">
        <v>90000601</v>
      </c>
      <c r="B275" s="19">
        <v>3</v>
      </c>
      <c r="C275" s="19" t="s">
        <v>169</v>
      </c>
      <c r="D275" s="19"/>
      <c r="E275" s="20"/>
      <c r="F275" s="19"/>
      <c r="G275" s="19">
        <v>1</v>
      </c>
      <c r="H275" s="19">
        <v>2</v>
      </c>
      <c r="I275" s="26" t="s">
        <v>81</v>
      </c>
      <c r="J275" s="19">
        <v>0</v>
      </c>
      <c r="K275" s="19" t="s">
        <v>109</v>
      </c>
      <c r="L275" s="19">
        <v>800001011</v>
      </c>
      <c r="M275" s="19">
        <v>1</v>
      </c>
      <c r="N275" s="21">
        <v>1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3">
        <v>20010001</v>
      </c>
      <c r="Z275" s="23">
        <v>0</v>
      </c>
      <c r="AA275" s="19">
        <v>1</v>
      </c>
      <c r="AB275" s="24" t="s">
        <v>83</v>
      </c>
      <c r="AC275" s="19">
        <v>10000</v>
      </c>
      <c r="AD275" s="19">
        <v>10000</v>
      </c>
      <c r="AE275" s="19">
        <v>0</v>
      </c>
      <c r="AF275" s="24">
        <v>40</v>
      </c>
      <c r="AG275" s="24">
        <v>0</v>
      </c>
      <c r="AH275" s="24">
        <v>0</v>
      </c>
      <c r="AI275" s="24">
        <v>0</v>
      </c>
      <c r="AJ275" s="24">
        <v>0</v>
      </c>
    </row>
    <row r="276" spans="1:36" ht="14.25" x14ac:dyDescent="0.2">
      <c r="A276" s="19">
        <v>90000602</v>
      </c>
      <c r="B276" s="19">
        <v>3</v>
      </c>
      <c r="C276" s="19" t="s">
        <v>170</v>
      </c>
      <c r="D276" s="19"/>
      <c r="E276" s="20"/>
      <c r="F276" s="19"/>
      <c r="G276" s="19">
        <v>1</v>
      </c>
      <c r="H276" s="19">
        <v>2</v>
      </c>
      <c r="I276" s="26" t="s">
        <v>81</v>
      </c>
      <c r="J276" s="19">
        <v>0</v>
      </c>
      <c r="K276" s="19" t="s">
        <v>109</v>
      </c>
      <c r="L276" s="19">
        <v>800001011</v>
      </c>
      <c r="M276" s="19">
        <v>1</v>
      </c>
      <c r="N276" s="21">
        <v>2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3">
        <v>20010001</v>
      </c>
      <c r="Z276" s="23">
        <v>0</v>
      </c>
      <c r="AA276" s="19">
        <v>1</v>
      </c>
      <c r="AB276" s="24" t="s">
        <v>83</v>
      </c>
      <c r="AC276" s="19">
        <v>10000</v>
      </c>
      <c r="AD276" s="19">
        <v>10000</v>
      </c>
      <c r="AE276" s="19">
        <v>0</v>
      </c>
      <c r="AF276" s="24">
        <v>40</v>
      </c>
      <c r="AG276" s="24">
        <v>0</v>
      </c>
      <c r="AH276" s="24">
        <v>0</v>
      </c>
      <c r="AI276" s="24">
        <v>0</v>
      </c>
      <c r="AJ276" s="24">
        <v>0</v>
      </c>
    </row>
    <row r="277" spans="1:36" ht="14.25" x14ac:dyDescent="0.2">
      <c r="A277" s="19">
        <v>90000603</v>
      </c>
      <c r="B277" s="19">
        <v>3</v>
      </c>
      <c r="C277" s="19" t="s">
        <v>171</v>
      </c>
      <c r="D277" s="19"/>
      <c r="E277" s="20"/>
      <c r="F277" s="19"/>
      <c r="G277" s="19">
        <v>1</v>
      </c>
      <c r="H277" s="19">
        <v>2</v>
      </c>
      <c r="I277" s="26" t="s">
        <v>81</v>
      </c>
      <c r="J277" s="19">
        <v>0</v>
      </c>
      <c r="K277" s="19" t="s">
        <v>115</v>
      </c>
      <c r="L277" s="19">
        <v>800001021</v>
      </c>
      <c r="M277" s="19">
        <v>1</v>
      </c>
      <c r="N277" s="21">
        <v>3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3">
        <v>20010001</v>
      </c>
      <c r="Z277" s="23">
        <v>0</v>
      </c>
      <c r="AA277" s="19">
        <v>1</v>
      </c>
      <c r="AB277" s="24" t="s">
        <v>83</v>
      </c>
      <c r="AC277" s="19">
        <v>10000</v>
      </c>
      <c r="AD277" s="19">
        <v>10000</v>
      </c>
      <c r="AE277" s="19">
        <v>0</v>
      </c>
      <c r="AF277" s="24">
        <v>40</v>
      </c>
      <c r="AG277" s="24">
        <v>0</v>
      </c>
      <c r="AH277" s="24">
        <v>0</v>
      </c>
      <c r="AI277" s="24">
        <v>0</v>
      </c>
      <c r="AJ277" s="24">
        <v>0</v>
      </c>
    </row>
    <row r="278" spans="1:36" ht="14.25" x14ac:dyDescent="0.2">
      <c r="A278" s="19">
        <v>90000604</v>
      </c>
      <c r="B278" s="19">
        <v>3</v>
      </c>
      <c r="C278" s="19" t="s">
        <v>172</v>
      </c>
      <c r="D278" s="19"/>
      <c r="E278" s="20"/>
      <c r="F278" s="19"/>
      <c r="G278" s="19">
        <v>1</v>
      </c>
      <c r="H278" s="19">
        <v>2</v>
      </c>
      <c r="I278" s="26" t="s">
        <v>81</v>
      </c>
      <c r="J278" s="19">
        <v>0</v>
      </c>
      <c r="K278" s="19" t="s">
        <v>115</v>
      </c>
      <c r="L278" s="19">
        <v>800001021</v>
      </c>
      <c r="M278" s="19">
        <v>1</v>
      </c>
      <c r="N278" s="21">
        <v>5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3">
        <v>20010001</v>
      </c>
      <c r="Z278" s="23">
        <v>0</v>
      </c>
      <c r="AA278" s="19">
        <v>1</v>
      </c>
      <c r="AB278" s="24" t="s">
        <v>83</v>
      </c>
      <c r="AC278" s="19">
        <v>10000</v>
      </c>
      <c r="AD278" s="19">
        <v>10000</v>
      </c>
      <c r="AE278" s="19">
        <v>0</v>
      </c>
      <c r="AF278" s="24">
        <v>40</v>
      </c>
      <c r="AG278" s="24">
        <v>0</v>
      </c>
      <c r="AH278" s="24">
        <v>0</v>
      </c>
      <c r="AI278" s="24">
        <v>0</v>
      </c>
      <c r="AJ278" s="24">
        <v>0</v>
      </c>
    </row>
    <row r="279" spans="1:36" ht="14.25" x14ac:dyDescent="0.2">
      <c r="A279" s="19">
        <v>90000605</v>
      </c>
      <c r="B279" s="19">
        <v>3</v>
      </c>
      <c r="C279" s="19" t="s">
        <v>173</v>
      </c>
      <c r="D279" s="19"/>
      <c r="E279" s="20"/>
      <c r="F279" s="19"/>
      <c r="G279" s="19">
        <v>1</v>
      </c>
      <c r="H279" s="19">
        <v>2</v>
      </c>
      <c r="I279" s="26" t="s">
        <v>81</v>
      </c>
      <c r="J279" s="19">
        <v>0</v>
      </c>
      <c r="K279" s="19" t="s">
        <v>155</v>
      </c>
      <c r="L279" s="19">
        <v>800011011</v>
      </c>
      <c r="M279" s="19">
        <v>1</v>
      </c>
      <c r="N279" s="21">
        <v>10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3">
        <v>20010001</v>
      </c>
      <c r="Z279" s="23">
        <v>0</v>
      </c>
      <c r="AA279" s="19">
        <v>1</v>
      </c>
      <c r="AB279" s="24" t="s">
        <v>83</v>
      </c>
      <c r="AC279" s="19">
        <v>10000</v>
      </c>
      <c r="AD279" s="19">
        <v>10000</v>
      </c>
      <c r="AE279" s="19">
        <v>0</v>
      </c>
      <c r="AF279" s="24">
        <v>40</v>
      </c>
      <c r="AG279" s="24">
        <v>0</v>
      </c>
      <c r="AH279" s="24">
        <v>0</v>
      </c>
      <c r="AI279" s="24">
        <v>0</v>
      </c>
      <c r="AJ279" s="24">
        <v>0</v>
      </c>
    </row>
    <row r="280" spans="1:36" ht="14.25" x14ac:dyDescent="0.2">
      <c r="A280" s="19">
        <v>90000606</v>
      </c>
      <c r="B280" s="19">
        <v>3</v>
      </c>
      <c r="C280" s="19" t="s">
        <v>174</v>
      </c>
      <c r="D280" s="19"/>
      <c r="E280" s="20"/>
      <c r="F280" s="19"/>
      <c r="G280" s="19">
        <v>1</v>
      </c>
      <c r="H280" s="19">
        <v>2</v>
      </c>
      <c r="I280" s="26" t="s">
        <v>81</v>
      </c>
      <c r="J280" s="19">
        <v>0</v>
      </c>
      <c r="K280" s="19" t="s">
        <v>155</v>
      </c>
      <c r="L280" s="19">
        <v>800011011</v>
      </c>
      <c r="M280" s="19">
        <v>1</v>
      </c>
      <c r="N280" s="21">
        <v>14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3">
        <v>20010001</v>
      </c>
      <c r="Z280" s="23">
        <v>0</v>
      </c>
      <c r="AA280" s="19">
        <v>1</v>
      </c>
      <c r="AB280" s="24" t="s">
        <v>83</v>
      </c>
      <c r="AC280" s="19">
        <v>10000</v>
      </c>
      <c r="AD280" s="19">
        <v>10000</v>
      </c>
      <c r="AE280" s="19">
        <v>0</v>
      </c>
      <c r="AF280" s="24">
        <v>40</v>
      </c>
      <c r="AG280" s="24">
        <v>0</v>
      </c>
      <c r="AH280" s="24">
        <v>0</v>
      </c>
      <c r="AI280" s="24">
        <v>0</v>
      </c>
      <c r="AJ280" s="24">
        <v>0</v>
      </c>
    </row>
    <row r="281" spans="1:36" ht="14.25" x14ac:dyDescent="0.2">
      <c r="A281" s="19">
        <v>90000607</v>
      </c>
      <c r="B281" s="19">
        <v>3</v>
      </c>
      <c r="C281" s="19" t="s">
        <v>175</v>
      </c>
      <c r="D281" s="19"/>
      <c r="E281" s="20"/>
      <c r="F281" s="19"/>
      <c r="G281" s="19">
        <v>1</v>
      </c>
      <c r="H281" s="19">
        <v>2</v>
      </c>
      <c r="I281" s="26" t="s">
        <v>81</v>
      </c>
      <c r="J281" s="19">
        <v>0</v>
      </c>
      <c r="K281" s="19" t="s">
        <v>156</v>
      </c>
      <c r="L281" s="19">
        <v>800011021</v>
      </c>
      <c r="M281" s="19">
        <v>1</v>
      </c>
      <c r="N281" s="21">
        <v>18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3">
        <v>20010001</v>
      </c>
      <c r="Z281" s="23">
        <v>0</v>
      </c>
      <c r="AA281" s="19">
        <v>1</v>
      </c>
      <c r="AB281" s="24" t="s">
        <v>83</v>
      </c>
      <c r="AC281" s="19">
        <v>10000</v>
      </c>
      <c r="AD281" s="19">
        <v>10000</v>
      </c>
      <c r="AE281" s="19">
        <v>0</v>
      </c>
      <c r="AF281" s="24">
        <v>40</v>
      </c>
      <c r="AG281" s="24">
        <v>0</v>
      </c>
      <c r="AH281" s="24">
        <v>0</v>
      </c>
      <c r="AI281" s="24">
        <v>0</v>
      </c>
      <c r="AJ281" s="24">
        <v>0</v>
      </c>
    </row>
    <row r="282" spans="1:36" ht="14.25" x14ac:dyDescent="0.2">
      <c r="A282" s="19">
        <v>90000608</v>
      </c>
      <c r="B282" s="19">
        <v>3</v>
      </c>
      <c r="C282" s="19" t="s">
        <v>176</v>
      </c>
      <c r="D282" s="19"/>
      <c r="E282" s="20"/>
      <c r="F282" s="19"/>
      <c r="G282" s="19">
        <v>1</v>
      </c>
      <c r="H282" s="19">
        <v>2</v>
      </c>
      <c r="I282" s="26" t="s">
        <v>81</v>
      </c>
      <c r="J282" s="19">
        <v>0</v>
      </c>
      <c r="K282" s="19" t="s">
        <v>156</v>
      </c>
      <c r="L282" s="19">
        <v>800011021</v>
      </c>
      <c r="M282" s="19">
        <v>1</v>
      </c>
      <c r="N282" s="21">
        <v>45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3">
        <v>20010001</v>
      </c>
      <c r="Z282" s="23">
        <v>0</v>
      </c>
      <c r="AA282" s="19">
        <v>1</v>
      </c>
      <c r="AB282" s="24" t="s">
        <v>83</v>
      </c>
      <c r="AC282" s="19">
        <v>10000</v>
      </c>
      <c r="AD282" s="19">
        <v>10000</v>
      </c>
      <c r="AE282" s="19">
        <v>0</v>
      </c>
      <c r="AF282" s="24">
        <v>40</v>
      </c>
      <c r="AG282" s="24">
        <v>0</v>
      </c>
      <c r="AH282" s="24">
        <v>0</v>
      </c>
      <c r="AI282" s="24">
        <v>0</v>
      </c>
      <c r="AJ282" s="24">
        <v>0</v>
      </c>
    </row>
    <row r="283" spans="1:36" ht="14.25" x14ac:dyDescent="0.2">
      <c r="A283" s="19">
        <v>90000701</v>
      </c>
      <c r="B283" s="19">
        <v>3</v>
      </c>
      <c r="C283" s="19" t="s">
        <v>216</v>
      </c>
      <c r="D283" s="19"/>
      <c r="E283" s="20"/>
      <c r="F283" s="19"/>
      <c r="G283" s="19">
        <v>1</v>
      </c>
      <c r="H283" s="19">
        <v>2</v>
      </c>
      <c r="I283" s="26" t="s">
        <v>81</v>
      </c>
      <c r="J283" s="19">
        <v>0</v>
      </c>
      <c r="K283" s="19" t="s">
        <v>109</v>
      </c>
      <c r="L283" s="19">
        <v>800001011</v>
      </c>
      <c r="M283" s="19">
        <v>1</v>
      </c>
      <c r="N283" s="21">
        <v>1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3">
        <v>20010001</v>
      </c>
      <c r="Z283" s="23">
        <v>0</v>
      </c>
      <c r="AA283" s="19">
        <v>1</v>
      </c>
      <c r="AB283" s="24" t="s">
        <v>83</v>
      </c>
      <c r="AC283" s="19">
        <v>10000</v>
      </c>
      <c r="AD283" s="19">
        <v>10000</v>
      </c>
      <c r="AE283" s="19">
        <v>0</v>
      </c>
      <c r="AF283" s="24">
        <v>40</v>
      </c>
      <c r="AG283" s="24">
        <v>0</v>
      </c>
      <c r="AH283" s="24">
        <v>0</v>
      </c>
      <c r="AI283" s="24">
        <v>0</v>
      </c>
      <c r="AJ283" s="24">
        <v>0</v>
      </c>
    </row>
    <row r="284" spans="1:36" ht="14.25" x14ac:dyDescent="0.2">
      <c r="A284" s="19">
        <v>90000702</v>
      </c>
      <c r="B284" s="19">
        <v>3</v>
      </c>
      <c r="C284" s="19" t="s">
        <v>217</v>
      </c>
      <c r="D284" s="19"/>
      <c r="E284" s="20"/>
      <c r="F284" s="19"/>
      <c r="G284" s="19">
        <v>1</v>
      </c>
      <c r="H284" s="19">
        <v>2</v>
      </c>
      <c r="I284" s="26" t="s">
        <v>81</v>
      </c>
      <c r="J284" s="19">
        <v>0</v>
      </c>
      <c r="K284" s="19" t="s">
        <v>109</v>
      </c>
      <c r="L284" s="19">
        <v>800001011</v>
      </c>
      <c r="M284" s="19">
        <v>1</v>
      </c>
      <c r="N284" s="21">
        <v>2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3">
        <v>20010001</v>
      </c>
      <c r="Z284" s="23">
        <v>0</v>
      </c>
      <c r="AA284" s="19">
        <v>1</v>
      </c>
      <c r="AB284" s="24" t="s">
        <v>83</v>
      </c>
      <c r="AC284" s="19">
        <v>10000</v>
      </c>
      <c r="AD284" s="19">
        <v>10000</v>
      </c>
      <c r="AE284" s="19">
        <v>0</v>
      </c>
      <c r="AF284" s="24">
        <v>40</v>
      </c>
      <c r="AG284" s="24">
        <v>0</v>
      </c>
      <c r="AH284" s="24">
        <v>0</v>
      </c>
      <c r="AI284" s="24">
        <v>0</v>
      </c>
      <c r="AJ284" s="24">
        <v>0</v>
      </c>
    </row>
    <row r="285" spans="1:36" ht="14.25" x14ac:dyDescent="0.2">
      <c r="A285" s="19">
        <v>90000703</v>
      </c>
      <c r="B285" s="19">
        <v>3</v>
      </c>
      <c r="C285" s="19" t="s">
        <v>218</v>
      </c>
      <c r="D285" s="19"/>
      <c r="E285" s="20"/>
      <c r="F285" s="19"/>
      <c r="G285" s="19">
        <v>1</v>
      </c>
      <c r="H285" s="19">
        <v>2</v>
      </c>
      <c r="I285" s="26" t="s">
        <v>81</v>
      </c>
      <c r="J285" s="19">
        <v>0</v>
      </c>
      <c r="K285" s="19" t="s">
        <v>109</v>
      </c>
      <c r="L285" s="19">
        <v>800001011</v>
      </c>
      <c r="M285" s="19">
        <v>1</v>
      </c>
      <c r="N285" s="21">
        <v>3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3">
        <v>20010001</v>
      </c>
      <c r="Z285" s="23">
        <v>0</v>
      </c>
      <c r="AA285" s="19">
        <v>1</v>
      </c>
      <c r="AB285" s="24" t="s">
        <v>83</v>
      </c>
      <c r="AC285" s="19">
        <v>10000</v>
      </c>
      <c r="AD285" s="19">
        <v>10000</v>
      </c>
      <c r="AE285" s="19">
        <v>0</v>
      </c>
      <c r="AF285" s="24">
        <v>40</v>
      </c>
      <c r="AG285" s="24">
        <v>0</v>
      </c>
      <c r="AH285" s="24">
        <v>0</v>
      </c>
      <c r="AI285" s="24">
        <v>0</v>
      </c>
      <c r="AJ285" s="24">
        <v>0</v>
      </c>
    </row>
    <row r="286" spans="1:36" ht="14.25" x14ac:dyDescent="0.2">
      <c r="A286" s="19">
        <v>90000704</v>
      </c>
      <c r="B286" s="19">
        <v>3</v>
      </c>
      <c r="C286" s="19" t="s">
        <v>219</v>
      </c>
      <c r="D286" s="19"/>
      <c r="E286" s="20"/>
      <c r="F286" s="19"/>
      <c r="G286" s="19">
        <v>1</v>
      </c>
      <c r="H286" s="19">
        <v>2</v>
      </c>
      <c r="I286" s="26" t="s">
        <v>81</v>
      </c>
      <c r="J286" s="19">
        <v>0</v>
      </c>
      <c r="K286" s="19" t="s">
        <v>115</v>
      </c>
      <c r="L286" s="19">
        <v>800001021</v>
      </c>
      <c r="M286" s="19">
        <v>1</v>
      </c>
      <c r="N286" s="21">
        <v>4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3">
        <v>20010001</v>
      </c>
      <c r="Z286" s="23">
        <v>0</v>
      </c>
      <c r="AA286" s="19">
        <v>1</v>
      </c>
      <c r="AB286" s="24" t="s">
        <v>83</v>
      </c>
      <c r="AC286" s="19">
        <v>10000</v>
      </c>
      <c r="AD286" s="19">
        <v>10000</v>
      </c>
      <c r="AE286" s="19">
        <v>0</v>
      </c>
      <c r="AF286" s="24">
        <v>40</v>
      </c>
      <c r="AG286" s="24">
        <v>0</v>
      </c>
      <c r="AH286" s="24">
        <v>0</v>
      </c>
      <c r="AI286" s="24">
        <v>0</v>
      </c>
      <c r="AJ286" s="24">
        <v>0</v>
      </c>
    </row>
    <row r="287" spans="1:36" ht="14.25" x14ac:dyDescent="0.2">
      <c r="A287" s="19">
        <v>90000705</v>
      </c>
      <c r="B287" s="19">
        <v>3</v>
      </c>
      <c r="C287" s="19" t="s">
        <v>220</v>
      </c>
      <c r="D287" s="19"/>
      <c r="E287" s="20"/>
      <c r="F287" s="19"/>
      <c r="G287" s="19">
        <v>1</v>
      </c>
      <c r="H287" s="19">
        <v>2</v>
      </c>
      <c r="I287" s="26" t="s">
        <v>81</v>
      </c>
      <c r="J287" s="19">
        <v>0</v>
      </c>
      <c r="K287" s="19" t="s">
        <v>115</v>
      </c>
      <c r="L287" s="19">
        <v>800001021</v>
      </c>
      <c r="M287" s="19">
        <v>1</v>
      </c>
      <c r="N287" s="21">
        <v>5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3">
        <v>20010001</v>
      </c>
      <c r="Z287" s="23">
        <v>0</v>
      </c>
      <c r="AA287" s="19">
        <v>1</v>
      </c>
      <c r="AB287" s="24" t="s">
        <v>83</v>
      </c>
      <c r="AC287" s="19">
        <v>10000</v>
      </c>
      <c r="AD287" s="19">
        <v>10000</v>
      </c>
      <c r="AE287" s="19">
        <v>0</v>
      </c>
      <c r="AF287" s="24">
        <v>40</v>
      </c>
      <c r="AG287" s="24">
        <v>0</v>
      </c>
      <c r="AH287" s="24">
        <v>0</v>
      </c>
      <c r="AI287" s="24">
        <v>0</v>
      </c>
      <c r="AJ287" s="24">
        <v>0</v>
      </c>
    </row>
    <row r="288" spans="1:36" ht="14.25" x14ac:dyDescent="0.2">
      <c r="A288" s="19">
        <v>90000706</v>
      </c>
      <c r="B288" s="19">
        <v>3</v>
      </c>
      <c r="C288" s="19" t="s">
        <v>221</v>
      </c>
      <c r="D288" s="19"/>
      <c r="E288" s="20"/>
      <c r="F288" s="19"/>
      <c r="G288" s="19">
        <v>1</v>
      </c>
      <c r="H288" s="19">
        <v>2</v>
      </c>
      <c r="I288" s="26" t="s">
        <v>81</v>
      </c>
      <c r="J288" s="19">
        <v>0</v>
      </c>
      <c r="K288" s="19" t="s">
        <v>115</v>
      </c>
      <c r="L288" s="19">
        <v>800001021</v>
      </c>
      <c r="M288" s="19">
        <v>1</v>
      </c>
      <c r="N288" s="21">
        <v>13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3">
        <v>20010001</v>
      </c>
      <c r="Z288" s="23">
        <v>0</v>
      </c>
      <c r="AA288" s="19">
        <v>1</v>
      </c>
      <c r="AB288" s="24" t="s">
        <v>83</v>
      </c>
      <c r="AC288" s="19">
        <v>10000</v>
      </c>
      <c r="AD288" s="19">
        <v>10000</v>
      </c>
      <c r="AE288" s="19">
        <v>0</v>
      </c>
      <c r="AF288" s="24">
        <v>40</v>
      </c>
      <c r="AG288" s="24">
        <v>0</v>
      </c>
      <c r="AH288" s="24">
        <v>0</v>
      </c>
      <c r="AI288" s="24">
        <v>0</v>
      </c>
      <c r="AJ288" s="24">
        <v>0</v>
      </c>
    </row>
    <row r="289" spans="1:36" ht="14.25" x14ac:dyDescent="0.2">
      <c r="A289" s="19">
        <v>90000707</v>
      </c>
      <c r="B289" s="19">
        <v>3</v>
      </c>
      <c r="C289" s="19" t="s">
        <v>222</v>
      </c>
      <c r="D289" s="19"/>
      <c r="E289" s="20"/>
      <c r="F289" s="19"/>
      <c r="G289" s="19">
        <v>1</v>
      </c>
      <c r="H289" s="19">
        <v>2</v>
      </c>
      <c r="I289" s="26" t="s">
        <v>81</v>
      </c>
      <c r="J289" s="19">
        <v>0</v>
      </c>
      <c r="K289" s="19" t="s">
        <v>115</v>
      </c>
      <c r="L289" s="19">
        <v>800001021</v>
      </c>
      <c r="M289" s="19">
        <v>1</v>
      </c>
      <c r="N289" s="21">
        <v>15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3">
        <v>20010001</v>
      </c>
      <c r="Z289" s="23">
        <v>0</v>
      </c>
      <c r="AA289" s="19">
        <v>1</v>
      </c>
      <c r="AB289" s="24" t="s">
        <v>83</v>
      </c>
      <c r="AC289" s="19">
        <v>10000</v>
      </c>
      <c r="AD289" s="19">
        <v>10000</v>
      </c>
      <c r="AE289" s="19">
        <v>0</v>
      </c>
      <c r="AF289" s="24">
        <v>40</v>
      </c>
      <c r="AG289" s="24">
        <v>0</v>
      </c>
      <c r="AH289" s="24">
        <v>0</v>
      </c>
      <c r="AI289" s="24">
        <v>0</v>
      </c>
      <c r="AJ289" s="24">
        <v>0</v>
      </c>
    </row>
    <row r="290" spans="1:36" ht="14.25" x14ac:dyDescent="0.2">
      <c r="A290" s="19">
        <v>90000708</v>
      </c>
      <c r="B290" s="19">
        <v>3</v>
      </c>
      <c r="C290" s="19" t="s">
        <v>223</v>
      </c>
      <c r="D290" s="19"/>
      <c r="E290" s="20"/>
      <c r="F290" s="19"/>
      <c r="G290" s="19">
        <v>1</v>
      </c>
      <c r="H290" s="19">
        <v>2</v>
      </c>
      <c r="I290" s="26" t="s">
        <v>81</v>
      </c>
      <c r="J290" s="19">
        <v>0</v>
      </c>
      <c r="K290" s="19" t="s">
        <v>155</v>
      </c>
      <c r="L290" s="19">
        <v>800011011</v>
      </c>
      <c r="M290" s="19">
        <v>1</v>
      </c>
      <c r="N290" s="21">
        <v>35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3">
        <v>20010001</v>
      </c>
      <c r="Z290" s="23">
        <v>0</v>
      </c>
      <c r="AA290" s="19">
        <v>1</v>
      </c>
      <c r="AB290" s="24" t="s">
        <v>83</v>
      </c>
      <c r="AC290" s="19">
        <v>10000</v>
      </c>
      <c r="AD290" s="19">
        <v>10000</v>
      </c>
      <c r="AE290" s="19">
        <v>0</v>
      </c>
      <c r="AF290" s="24">
        <v>40</v>
      </c>
      <c r="AG290" s="24">
        <v>0</v>
      </c>
      <c r="AH290" s="24">
        <v>0</v>
      </c>
      <c r="AI290" s="24">
        <v>0</v>
      </c>
      <c r="AJ290" s="24">
        <v>0</v>
      </c>
    </row>
    <row r="291" spans="1:36" ht="14.25" x14ac:dyDescent="0.2">
      <c r="A291" s="19">
        <v>90000709</v>
      </c>
      <c r="B291" s="19">
        <v>3</v>
      </c>
      <c r="C291" s="19" t="s">
        <v>224</v>
      </c>
      <c r="D291" s="19"/>
      <c r="E291" s="20"/>
      <c r="F291" s="19"/>
      <c r="G291" s="19">
        <v>1</v>
      </c>
      <c r="H291" s="19">
        <v>2</v>
      </c>
      <c r="I291" s="26" t="s">
        <v>81</v>
      </c>
      <c r="J291" s="19">
        <v>0</v>
      </c>
      <c r="K291" s="19" t="s">
        <v>155</v>
      </c>
      <c r="L291" s="19">
        <v>800011011</v>
      </c>
      <c r="M291" s="19">
        <v>1</v>
      </c>
      <c r="N291" s="21">
        <v>40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3">
        <v>20010001</v>
      </c>
      <c r="Z291" s="23">
        <v>0</v>
      </c>
      <c r="AA291" s="19">
        <v>1</v>
      </c>
      <c r="AB291" s="24" t="s">
        <v>83</v>
      </c>
      <c r="AC291" s="19">
        <v>10000</v>
      </c>
      <c r="AD291" s="19">
        <v>10000</v>
      </c>
      <c r="AE291" s="19">
        <v>0</v>
      </c>
      <c r="AF291" s="24">
        <v>40</v>
      </c>
      <c r="AG291" s="24">
        <v>0</v>
      </c>
      <c r="AH291" s="24">
        <v>0</v>
      </c>
      <c r="AI291" s="24">
        <v>0</v>
      </c>
      <c r="AJ291" s="24">
        <v>0</v>
      </c>
    </row>
    <row r="292" spans="1:36" ht="14.25" x14ac:dyDescent="0.2">
      <c r="A292" s="19">
        <v>90000710</v>
      </c>
      <c r="B292" s="19">
        <v>3</v>
      </c>
      <c r="C292" s="19" t="s">
        <v>225</v>
      </c>
      <c r="D292" s="19"/>
      <c r="E292" s="20"/>
      <c r="F292" s="19"/>
      <c r="G292" s="19">
        <v>1</v>
      </c>
      <c r="H292" s="19">
        <v>2</v>
      </c>
      <c r="I292" s="26" t="s">
        <v>81</v>
      </c>
      <c r="J292" s="19">
        <v>0</v>
      </c>
      <c r="K292" s="19" t="s">
        <v>155</v>
      </c>
      <c r="L292" s="19">
        <v>800011011</v>
      </c>
      <c r="M292" s="19">
        <v>1</v>
      </c>
      <c r="N292" s="21">
        <v>90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3">
        <v>20010001</v>
      </c>
      <c r="Z292" s="23">
        <v>0</v>
      </c>
      <c r="AA292" s="19">
        <v>1</v>
      </c>
      <c r="AB292" s="24" t="s">
        <v>83</v>
      </c>
      <c r="AC292" s="19">
        <v>10000</v>
      </c>
      <c r="AD292" s="19">
        <v>10000</v>
      </c>
      <c r="AE292" s="19">
        <v>0</v>
      </c>
      <c r="AF292" s="24">
        <v>40</v>
      </c>
      <c r="AG292" s="24">
        <v>0</v>
      </c>
      <c r="AH292" s="24">
        <v>0</v>
      </c>
      <c r="AI292" s="24">
        <v>0</v>
      </c>
      <c r="AJ292" s="24">
        <v>0</v>
      </c>
    </row>
    <row r="293" spans="1:36" ht="14.25" x14ac:dyDescent="0.2">
      <c r="A293" s="19">
        <v>90000711</v>
      </c>
      <c r="B293" s="19">
        <v>3</v>
      </c>
      <c r="C293" s="19" t="s">
        <v>226</v>
      </c>
      <c r="D293" s="19"/>
      <c r="E293" s="20"/>
      <c r="F293" s="19"/>
      <c r="G293" s="19">
        <v>1</v>
      </c>
      <c r="H293" s="19">
        <v>2</v>
      </c>
      <c r="I293" s="26" t="s">
        <v>81</v>
      </c>
      <c r="J293" s="19">
        <v>0</v>
      </c>
      <c r="K293" s="19" t="s">
        <v>155</v>
      </c>
      <c r="L293" s="19">
        <v>800011011</v>
      </c>
      <c r="M293" s="19">
        <v>1</v>
      </c>
      <c r="N293" s="21">
        <v>100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3">
        <v>20010001</v>
      </c>
      <c r="Z293" s="23">
        <v>0</v>
      </c>
      <c r="AA293" s="19">
        <v>1</v>
      </c>
      <c r="AB293" s="24" t="s">
        <v>83</v>
      </c>
      <c r="AC293" s="19">
        <v>10000</v>
      </c>
      <c r="AD293" s="19">
        <v>10000</v>
      </c>
      <c r="AE293" s="19">
        <v>0</v>
      </c>
      <c r="AF293" s="24">
        <v>40</v>
      </c>
      <c r="AG293" s="24">
        <v>0</v>
      </c>
      <c r="AH293" s="24">
        <v>0</v>
      </c>
      <c r="AI293" s="24">
        <v>0</v>
      </c>
      <c r="AJ293" s="24">
        <v>0</v>
      </c>
    </row>
    <row r="294" spans="1:36" ht="14.25" x14ac:dyDescent="0.2">
      <c r="A294" s="19">
        <v>90000712</v>
      </c>
      <c r="B294" s="19">
        <v>3</v>
      </c>
      <c r="C294" s="19" t="s">
        <v>227</v>
      </c>
      <c r="D294" s="19"/>
      <c r="E294" s="20"/>
      <c r="F294" s="19"/>
      <c r="G294" s="19">
        <v>1</v>
      </c>
      <c r="H294" s="19">
        <v>2</v>
      </c>
      <c r="I294" s="26" t="s">
        <v>81</v>
      </c>
      <c r="J294" s="19">
        <v>0</v>
      </c>
      <c r="K294" s="19" t="s">
        <v>156</v>
      </c>
      <c r="L294" s="19">
        <v>800011021</v>
      </c>
      <c r="M294" s="19">
        <v>1</v>
      </c>
      <c r="N294" s="21">
        <v>240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3">
        <v>20010001</v>
      </c>
      <c r="Z294" s="23">
        <v>0</v>
      </c>
      <c r="AA294" s="19">
        <v>1</v>
      </c>
      <c r="AB294" s="24" t="s">
        <v>83</v>
      </c>
      <c r="AC294" s="19">
        <v>10000</v>
      </c>
      <c r="AD294" s="19">
        <v>10000</v>
      </c>
      <c r="AE294" s="19">
        <v>0</v>
      </c>
      <c r="AF294" s="24">
        <v>40</v>
      </c>
      <c r="AG294" s="24">
        <v>0</v>
      </c>
      <c r="AH294" s="24">
        <v>0</v>
      </c>
      <c r="AI294" s="24">
        <v>0</v>
      </c>
      <c r="AJ294" s="24">
        <v>0</v>
      </c>
    </row>
    <row r="295" spans="1:36" ht="14.25" x14ac:dyDescent="0.2">
      <c r="A295" s="19">
        <v>90000713</v>
      </c>
      <c r="B295" s="19">
        <v>3</v>
      </c>
      <c r="C295" s="19" t="s">
        <v>228</v>
      </c>
      <c r="D295" s="19"/>
      <c r="E295" s="20"/>
      <c r="F295" s="19"/>
      <c r="G295" s="19">
        <v>1</v>
      </c>
      <c r="H295" s="19">
        <v>2</v>
      </c>
      <c r="I295" s="26" t="s">
        <v>81</v>
      </c>
      <c r="J295" s="19">
        <v>0</v>
      </c>
      <c r="K295" s="19" t="s">
        <v>156</v>
      </c>
      <c r="L295" s="19">
        <v>800011021</v>
      </c>
      <c r="M295" s="19">
        <v>1</v>
      </c>
      <c r="N295" s="21">
        <v>300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3">
        <v>20010001</v>
      </c>
      <c r="Z295" s="23">
        <v>0</v>
      </c>
      <c r="AA295" s="19">
        <v>1</v>
      </c>
      <c r="AB295" s="24" t="s">
        <v>83</v>
      </c>
      <c r="AC295" s="19">
        <v>10000</v>
      </c>
      <c r="AD295" s="19">
        <v>10000</v>
      </c>
      <c r="AE295" s="19">
        <v>0</v>
      </c>
      <c r="AF295" s="24">
        <v>40</v>
      </c>
      <c r="AG295" s="24">
        <v>0</v>
      </c>
      <c r="AH295" s="24">
        <v>0</v>
      </c>
      <c r="AI295" s="24">
        <v>0</v>
      </c>
      <c r="AJ295" s="24">
        <v>0</v>
      </c>
    </row>
    <row r="296" spans="1:36" ht="14.25" x14ac:dyDescent="0.2">
      <c r="A296" s="19">
        <v>90000714</v>
      </c>
      <c r="B296" s="19">
        <v>3</v>
      </c>
      <c r="C296" s="19" t="s">
        <v>229</v>
      </c>
      <c r="D296" s="19"/>
      <c r="E296" s="20"/>
      <c r="F296" s="19"/>
      <c r="G296" s="19">
        <v>1</v>
      </c>
      <c r="H296" s="19">
        <v>2</v>
      </c>
      <c r="I296" s="26" t="s">
        <v>81</v>
      </c>
      <c r="J296" s="19">
        <v>0</v>
      </c>
      <c r="K296" s="19" t="s">
        <v>156</v>
      </c>
      <c r="L296" s="19">
        <v>800011021</v>
      </c>
      <c r="M296" s="19">
        <v>1</v>
      </c>
      <c r="N296" s="21">
        <v>700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3">
        <v>20010001</v>
      </c>
      <c r="Z296" s="23">
        <v>0</v>
      </c>
      <c r="AA296" s="19">
        <v>1</v>
      </c>
      <c r="AB296" s="24" t="s">
        <v>83</v>
      </c>
      <c r="AC296" s="19">
        <v>10000</v>
      </c>
      <c r="AD296" s="19">
        <v>10000</v>
      </c>
      <c r="AE296" s="19">
        <v>0</v>
      </c>
      <c r="AF296" s="24">
        <v>40</v>
      </c>
      <c r="AG296" s="24">
        <v>0</v>
      </c>
      <c r="AH296" s="24">
        <v>0</v>
      </c>
      <c r="AI296" s="24">
        <v>0</v>
      </c>
      <c r="AJ296" s="24">
        <v>0</v>
      </c>
    </row>
    <row r="297" spans="1:36" ht="14.25" x14ac:dyDescent="0.2">
      <c r="A297" s="19">
        <v>90000715</v>
      </c>
      <c r="B297" s="19">
        <v>3</v>
      </c>
      <c r="C297" s="19" t="s">
        <v>230</v>
      </c>
      <c r="D297" s="19"/>
      <c r="E297" s="20"/>
      <c r="F297" s="19"/>
      <c r="G297" s="19">
        <v>1</v>
      </c>
      <c r="H297" s="19">
        <v>2</v>
      </c>
      <c r="I297" s="26" t="s">
        <v>81</v>
      </c>
      <c r="J297" s="19">
        <v>0</v>
      </c>
      <c r="K297" s="19" t="s">
        <v>156</v>
      </c>
      <c r="L297" s="19">
        <v>800011021</v>
      </c>
      <c r="M297" s="19">
        <v>1</v>
      </c>
      <c r="N297" s="21">
        <v>800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3">
        <v>20010001</v>
      </c>
      <c r="Z297" s="23">
        <v>0</v>
      </c>
      <c r="AA297" s="19">
        <v>1</v>
      </c>
      <c r="AB297" s="24" t="s">
        <v>83</v>
      </c>
      <c r="AC297" s="19">
        <v>10000</v>
      </c>
      <c r="AD297" s="19">
        <v>10000</v>
      </c>
      <c r="AE297" s="19">
        <v>0</v>
      </c>
      <c r="AF297" s="24">
        <v>40</v>
      </c>
      <c r="AG297" s="24">
        <v>0</v>
      </c>
      <c r="AH297" s="24">
        <v>0</v>
      </c>
      <c r="AI297" s="24">
        <v>0</v>
      </c>
      <c r="AJ297" s="24">
        <v>0</v>
      </c>
    </row>
    <row r="298" spans="1:36" ht="14.25" x14ac:dyDescent="0.2">
      <c r="A298" s="19">
        <v>90000716</v>
      </c>
      <c r="B298" s="19">
        <v>3</v>
      </c>
      <c r="C298" s="19" t="s">
        <v>231</v>
      </c>
      <c r="D298" s="19"/>
      <c r="E298" s="20"/>
      <c r="F298" s="19"/>
      <c r="G298" s="19">
        <v>1</v>
      </c>
      <c r="H298" s="19">
        <v>2</v>
      </c>
      <c r="I298" s="26" t="s">
        <v>81</v>
      </c>
      <c r="J298" s="19">
        <v>0</v>
      </c>
      <c r="K298" s="19" t="s">
        <v>156</v>
      </c>
      <c r="L298" s="19">
        <v>800011021</v>
      </c>
      <c r="M298" s="19">
        <v>1</v>
      </c>
      <c r="N298" s="21">
        <v>1500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3">
        <v>20010001</v>
      </c>
      <c r="Z298" s="23">
        <v>0</v>
      </c>
      <c r="AA298" s="19">
        <v>1</v>
      </c>
      <c r="AB298" s="24" t="s">
        <v>83</v>
      </c>
      <c r="AC298" s="19">
        <v>10000</v>
      </c>
      <c r="AD298" s="19">
        <v>10000</v>
      </c>
      <c r="AE298" s="19">
        <v>0</v>
      </c>
      <c r="AF298" s="24">
        <v>40</v>
      </c>
      <c r="AG298" s="24">
        <v>0</v>
      </c>
      <c r="AH298" s="24">
        <v>0</v>
      </c>
      <c r="AI298" s="24">
        <v>0</v>
      </c>
      <c r="AJ298" s="24">
        <v>0</v>
      </c>
    </row>
    <row r="299" spans="1:36" ht="14.25" x14ac:dyDescent="0.2">
      <c r="A299" s="19">
        <v>90000717</v>
      </c>
      <c r="B299" s="19">
        <v>3</v>
      </c>
      <c r="C299" s="19" t="s">
        <v>232</v>
      </c>
      <c r="D299" s="19"/>
      <c r="E299" s="20"/>
      <c r="F299" s="19"/>
      <c r="G299" s="19">
        <v>1</v>
      </c>
      <c r="H299" s="19">
        <v>2</v>
      </c>
      <c r="I299" s="26" t="s">
        <v>81</v>
      </c>
      <c r="J299" s="19">
        <v>0</v>
      </c>
      <c r="K299" s="19" t="s">
        <v>156</v>
      </c>
      <c r="L299" s="19">
        <v>800011021</v>
      </c>
      <c r="M299" s="19">
        <v>1</v>
      </c>
      <c r="N299" s="21">
        <v>3000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3">
        <v>20010001</v>
      </c>
      <c r="Z299" s="23">
        <v>0</v>
      </c>
      <c r="AA299" s="19">
        <v>1</v>
      </c>
      <c r="AB299" s="24" t="s">
        <v>83</v>
      </c>
      <c r="AC299" s="19">
        <v>10000</v>
      </c>
      <c r="AD299" s="19">
        <v>10000</v>
      </c>
      <c r="AE299" s="19">
        <v>0</v>
      </c>
      <c r="AF299" s="24">
        <v>40</v>
      </c>
      <c r="AG299" s="24">
        <v>0</v>
      </c>
      <c r="AH299" s="24">
        <v>0</v>
      </c>
      <c r="AI299" s="24">
        <v>0</v>
      </c>
      <c r="AJ299" s="24">
        <v>0</v>
      </c>
    </row>
    <row r="300" spans="1:36" ht="14.25" x14ac:dyDescent="0.2">
      <c r="A300" s="19">
        <v>90000718</v>
      </c>
      <c r="B300" s="19">
        <v>3</v>
      </c>
      <c r="C300" s="19" t="s">
        <v>233</v>
      </c>
      <c r="D300" s="19"/>
      <c r="E300" s="20"/>
      <c r="F300" s="19"/>
      <c r="G300" s="19">
        <v>1</v>
      </c>
      <c r="H300" s="19">
        <v>2</v>
      </c>
      <c r="I300" s="26" t="s">
        <v>81</v>
      </c>
      <c r="J300" s="19">
        <v>0</v>
      </c>
      <c r="K300" s="19" t="s">
        <v>156</v>
      </c>
      <c r="L300" s="19">
        <v>800011021</v>
      </c>
      <c r="M300" s="19">
        <v>1</v>
      </c>
      <c r="N300" s="21">
        <v>4800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3">
        <v>20010001</v>
      </c>
      <c r="Z300" s="23">
        <v>0</v>
      </c>
      <c r="AA300" s="19">
        <v>1</v>
      </c>
      <c r="AB300" s="24" t="s">
        <v>83</v>
      </c>
      <c r="AC300" s="19">
        <v>10000</v>
      </c>
      <c r="AD300" s="19">
        <v>10000</v>
      </c>
      <c r="AE300" s="19">
        <v>0</v>
      </c>
      <c r="AF300" s="24">
        <v>40</v>
      </c>
      <c r="AG300" s="24">
        <v>0</v>
      </c>
      <c r="AH300" s="24">
        <v>0</v>
      </c>
      <c r="AI300" s="24">
        <v>0</v>
      </c>
      <c r="AJ300" s="24">
        <v>0</v>
      </c>
    </row>
    <row r="301" spans="1:36" ht="14.25" x14ac:dyDescent="0.2">
      <c r="A301" s="19">
        <v>90000719</v>
      </c>
      <c r="B301" s="19">
        <v>3</v>
      </c>
      <c r="C301" s="19" t="s">
        <v>234</v>
      </c>
      <c r="D301" s="19"/>
      <c r="E301" s="20"/>
      <c r="F301" s="19"/>
      <c r="G301" s="19">
        <v>1</v>
      </c>
      <c r="H301" s="19">
        <v>2</v>
      </c>
      <c r="I301" s="26" t="s">
        <v>81</v>
      </c>
      <c r="J301" s="19">
        <v>0</v>
      </c>
      <c r="K301" s="19" t="s">
        <v>156</v>
      </c>
      <c r="L301" s="19">
        <v>800011021</v>
      </c>
      <c r="M301" s="19">
        <v>1</v>
      </c>
      <c r="N301" s="21">
        <v>8000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3">
        <v>20010001</v>
      </c>
      <c r="Z301" s="23">
        <v>0</v>
      </c>
      <c r="AA301" s="19">
        <v>1</v>
      </c>
      <c r="AB301" s="24" t="s">
        <v>83</v>
      </c>
      <c r="AC301" s="19">
        <v>10000</v>
      </c>
      <c r="AD301" s="19">
        <v>10000</v>
      </c>
      <c r="AE301" s="19">
        <v>0</v>
      </c>
      <c r="AF301" s="24">
        <v>40</v>
      </c>
      <c r="AG301" s="24">
        <v>0</v>
      </c>
      <c r="AH301" s="24">
        <v>0</v>
      </c>
      <c r="AI301" s="24">
        <v>0</v>
      </c>
      <c r="AJ301" s="24">
        <v>0</v>
      </c>
    </row>
  </sheetData>
  <sortState xmlns:xlrd2="http://schemas.microsoft.com/office/spreadsheetml/2017/richdata2" ref="A5:AD211">
    <sortCondition ref="A5:A211"/>
  </sortState>
  <phoneticPr fontId="14" type="noConversion"/>
  <conditionalFormatting sqref="A221:A1048576 A1:A215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177</v>
      </c>
      <c r="D6"/>
      <c r="E6"/>
      <c r="F6"/>
      <c r="G6" t="s">
        <v>178</v>
      </c>
      <c r="J6" t="s">
        <v>179</v>
      </c>
      <c r="K6"/>
      <c r="L6"/>
      <c r="M6"/>
      <c r="N6" s="1" t="s">
        <v>180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181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182</v>
      </c>
      <c r="J7">
        <v>990101</v>
      </c>
      <c r="K7" t="s">
        <v>183</v>
      </c>
      <c r="L7" t="s">
        <v>184</v>
      </c>
      <c r="M7">
        <v>1</v>
      </c>
      <c r="N7" s="4">
        <v>20010001</v>
      </c>
      <c r="O7" s="5" t="s">
        <v>184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185</v>
      </c>
      <c r="E8" t="str">
        <f t="shared" si="0"/>
        <v>乌龟怪</v>
      </c>
      <c r="F8">
        <f>VLOOKUP(E8,备注资源组与动作id!$L$7:$M$16,2,FALSE)</f>
        <v>3</v>
      </c>
      <c r="G8" t="s">
        <v>182</v>
      </c>
      <c r="J8">
        <v>990102</v>
      </c>
      <c r="K8" t="s">
        <v>183</v>
      </c>
      <c r="L8" t="s">
        <v>184</v>
      </c>
      <c r="M8">
        <v>1</v>
      </c>
      <c r="N8" s="4">
        <v>20010002</v>
      </c>
      <c r="O8" s="5" t="s">
        <v>184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186</v>
      </c>
      <c r="E9" t="str">
        <f t="shared" si="0"/>
        <v>乌龟怪</v>
      </c>
      <c r="F9">
        <f>VLOOKUP(E9,备注资源组与动作id!$L$7:$M$16,2,FALSE)</f>
        <v>3</v>
      </c>
      <c r="G9" t="s">
        <v>182</v>
      </c>
      <c r="J9">
        <v>990201</v>
      </c>
      <c r="K9" t="s">
        <v>183</v>
      </c>
      <c r="L9" t="s">
        <v>187</v>
      </c>
      <c r="M9">
        <v>2</v>
      </c>
      <c r="N9" s="4">
        <v>20020001</v>
      </c>
      <c r="O9" s="5" t="s">
        <v>188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189</v>
      </c>
      <c r="E10" t="str">
        <f t="shared" si="0"/>
        <v>乌龟怪</v>
      </c>
      <c r="F10">
        <f>VLOOKUP(E10,备注资源组与动作id!$L$7:$M$16,2,FALSE)</f>
        <v>3</v>
      </c>
      <c r="G10" t="s">
        <v>182</v>
      </c>
      <c r="J10">
        <v>990202</v>
      </c>
      <c r="K10" t="s">
        <v>183</v>
      </c>
      <c r="L10" t="s">
        <v>187</v>
      </c>
      <c r="M10">
        <v>2</v>
      </c>
      <c r="N10" s="4">
        <v>20020002</v>
      </c>
      <c r="O10" s="5" t="s">
        <v>188</v>
      </c>
    </row>
    <row r="11" spans="1:15" ht="14.25" x14ac:dyDescent="0.2">
      <c r="A11" s="3" t="s">
        <v>125</v>
      </c>
      <c r="B11">
        <v>1000007</v>
      </c>
      <c r="C11">
        <f t="shared" si="1"/>
        <v>20040001</v>
      </c>
      <c r="D11" t="s">
        <v>190</v>
      </c>
      <c r="E11" t="str">
        <f t="shared" si="0"/>
        <v>野狼怪</v>
      </c>
      <c r="F11">
        <f>VLOOKUP(E11,备注资源组与动作id!$L$7:$M$16,2,FALSE)</f>
        <v>4</v>
      </c>
      <c r="G11" t="s">
        <v>191</v>
      </c>
      <c r="J11">
        <v>990301</v>
      </c>
      <c r="K11" t="s">
        <v>183</v>
      </c>
      <c r="L11" t="s">
        <v>192</v>
      </c>
      <c r="M11">
        <v>3</v>
      </c>
      <c r="N11" s="4">
        <v>20030001</v>
      </c>
      <c r="O11" s="5" t="s">
        <v>192</v>
      </c>
    </row>
    <row r="12" spans="1:15" ht="14.25" x14ac:dyDescent="0.2">
      <c r="A12" s="3" t="s">
        <v>125</v>
      </c>
      <c r="B12">
        <v>1000008</v>
      </c>
      <c r="C12">
        <f t="shared" si="1"/>
        <v>20040001</v>
      </c>
      <c r="D12" t="s">
        <v>193</v>
      </c>
      <c r="E12" t="str">
        <f t="shared" si="0"/>
        <v>野狼怪</v>
      </c>
      <c r="F12">
        <f>VLOOKUP(E12,备注资源组与动作id!$L$7:$M$16,2,FALSE)</f>
        <v>4</v>
      </c>
      <c r="G12" t="s">
        <v>191</v>
      </c>
      <c r="J12">
        <v>990302</v>
      </c>
      <c r="K12" t="s">
        <v>183</v>
      </c>
      <c r="L12" t="s">
        <v>192</v>
      </c>
      <c r="M12">
        <v>3</v>
      </c>
      <c r="N12" s="4">
        <v>20030002</v>
      </c>
      <c r="O12" s="5" t="s">
        <v>192</v>
      </c>
    </row>
    <row r="13" spans="1:15" ht="14.25" x14ac:dyDescent="0.2">
      <c r="A13" s="3" t="s">
        <v>125</v>
      </c>
      <c r="B13">
        <v>1000009</v>
      </c>
      <c r="C13">
        <f t="shared" si="1"/>
        <v>20040001</v>
      </c>
      <c r="D13" t="s">
        <v>194</v>
      </c>
      <c r="E13" t="str">
        <f t="shared" si="0"/>
        <v>野狼怪</v>
      </c>
      <c r="F13">
        <f>VLOOKUP(E13,备注资源组与动作id!$L$7:$M$16,2,FALSE)</f>
        <v>4</v>
      </c>
      <c r="G13" t="s">
        <v>191</v>
      </c>
      <c r="J13">
        <v>990401</v>
      </c>
      <c r="K13" t="s">
        <v>183</v>
      </c>
      <c r="L13" t="s">
        <v>195</v>
      </c>
      <c r="M13">
        <v>4</v>
      </c>
      <c r="N13" s="4">
        <v>20040001</v>
      </c>
      <c r="O13" s="5" t="s">
        <v>196</v>
      </c>
    </row>
    <row r="14" spans="1:15" ht="14.25" x14ac:dyDescent="0.2">
      <c r="A14" s="3" t="s">
        <v>125</v>
      </c>
      <c r="B14">
        <v>1000010</v>
      </c>
      <c r="C14">
        <f t="shared" si="1"/>
        <v>20040001</v>
      </c>
      <c r="D14" t="s">
        <v>197</v>
      </c>
      <c r="E14" t="str">
        <f t="shared" si="0"/>
        <v>野狼怪</v>
      </c>
      <c r="F14">
        <f>VLOOKUP(E14,备注资源组与动作id!$L$7:$M$16,2,FALSE)</f>
        <v>4</v>
      </c>
      <c r="G14" t="s">
        <v>191</v>
      </c>
      <c r="J14">
        <v>990402</v>
      </c>
      <c r="K14" t="s">
        <v>183</v>
      </c>
      <c r="L14" t="s">
        <v>195</v>
      </c>
      <c r="M14">
        <v>4</v>
      </c>
      <c r="N14" s="4">
        <v>20040002</v>
      </c>
      <c r="O14" s="5" t="s">
        <v>196</v>
      </c>
    </row>
    <row r="15" spans="1:15" ht="14.25" x14ac:dyDescent="0.2">
      <c r="A15" s="2" t="s">
        <v>140</v>
      </c>
      <c r="B15">
        <v>1000011</v>
      </c>
      <c r="C15">
        <f t="shared" si="1"/>
        <v>20050001</v>
      </c>
      <c r="D15" t="s">
        <v>198</v>
      </c>
      <c r="E15" t="s">
        <v>199</v>
      </c>
      <c r="F15">
        <f>VLOOKUP(E15,备注资源组与动作id!$L$7:$M$16,2,FALSE)</f>
        <v>5</v>
      </c>
      <c r="G15" t="s">
        <v>200</v>
      </c>
      <c r="J15">
        <v>990501</v>
      </c>
      <c r="K15" t="s">
        <v>183</v>
      </c>
      <c r="L15" t="s">
        <v>199</v>
      </c>
      <c r="M15">
        <v>5</v>
      </c>
      <c r="N15" s="4">
        <v>20050001</v>
      </c>
      <c r="O15" s="5" t="s">
        <v>199</v>
      </c>
    </row>
    <row r="16" spans="1:15" ht="14.25" x14ac:dyDescent="0.2">
      <c r="A16" s="2" t="s">
        <v>140</v>
      </c>
      <c r="B16">
        <v>1000012</v>
      </c>
      <c r="C16">
        <f t="shared" si="1"/>
        <v>20050001</v>
      </c>
      <c r="D16" t="s">
        <v>201</v>
      </c>
      <c r="E16" t="s">
        <v>199</v>
      </c>
      <c r="F16">
        <f>VLOOKUP(E16,备注资源组与动作id!$L$7:$M$16,2,FALSE)</f>
        <v>5</v>
      </c>
      <c r="G16" t="s">
        <v>200</v>
      </c>
      <c r="J16">
        <v>990502</v>
      </c>
      <c r="K16" t="s">
        <v>183</v>
      </c>
      <c r="L16" t="s">
        <v>199</v>
      </c>
      <c r="M16">
        <v>5</v>
      </c>
      <c r="N16" s="4">
        <v>20050002</v>
      </c>
      <c r="O16" s="5" t="s">
        <v>199</v>
      </c>
    </row>
    <row r="17" spans="1:7" ht="14.25" x14ac:dyDescent="0.2">
      <c r="A17" s="2" t="s">
        <v>140</v>
      </c>
      <c r="B17">
        <v>1000013</v>
      </c>
      <c r="C17">
        <f t="shared" si="1"/>
        <v>20050001</v>
      </c>
      <c r="D17" t="s">
        <v>202</v>
      </c>
      <c r="E17" t="s">
        <v>199</v>
      </c>
      <c r="F17">
        <f>VLOOKUP(E17,备注资源组与动作id!$L$7:$M$16,2,FALSE)</f>
        <v>5</v>
      </c>
      <c r="G17" t="s">
        <v>200</v>
      </c>
    </row>
    <row r="18" spans="1:7" ht="14.25" x14ac:dyDescent="0.2">
      <c r="A18" s="2" t="s">
        <v>140</v>
      </c>
      <c r="B18">
        <v>1000014</v>
      </c>
      <c r="C18">
        <f t="shared" si="1"/>
        <v>20050001</v>
      </c>
      <c r="D18" t="s">
        <v>203</v>
      </c>
      <c r="E18" t="s">
        <v>199</v>
      </c>
      <c r="F18">
        <f>VLOOKUP(E18,备注资源组与动作id!$L$7:$M$16,2,FALSE)</f>
        <v>5</v>
      </c>
      <c r="G18" t="s">
        <v>200</v>
      </c>
    </row>
    <row r="19" spans="1:7" ht="14.25" x14ac:dyDescent="0.2">
      <c r="A19" s="2" t="s">
        <v>204</v>
      </c>
      <c r="B19">
        <v>1000101</v>
      </c>
      <c r="C19">
        <f t="shared" si="1"/>
        <v>20010001</v>
      </c>
      <c r="D19" t="s">
        <v>205</v>
      </c>
      <c r="E19" t="str">
        <f>LEFT(D19,3)</f>
        <v>蜥蜴怪</v>
      </c>
      <c r="F19">
        <f>VLOOKUP(E19,备注资源组与动作id!$L$7:$M$16,2,FALSE)</f>
        <v>1</v>
      </c>
      <c r="G19" t="s">
        <v>206</v>
      </c>
    </row>
    <row r="20" spans="1:7" ht="14.25" x14ac:dyDescent="0.2">
      <c r="A20" s="2" t="s">
        <v>204</v>
      </c>
      <c r="B20">
        <v>1000102</v>
      </c>
      <c r="C20">
        <f t="shared" si="1"/>
        <v>20010001</v>
      </c>
      <c r="D20" t="s">
        <v>207</v>
      </c>
      <c r="E20" t="str">
        <f>LEFT(D20,3)</f>
        <v>蜥蜴怪</v>
      </c>
      <c r="F20">
        <f>VLOOKUP(E20,备注资源组与动作id!$L$7:$M$16,2,FALSE)</f>
        <v>1</v>
      </c>
      <c r="G20" t="s">
        <v>206</v>
      </c>
    </row>
    <row r="21" spans="1:7" ht="14.25" x14ac:dyDescent="0.2">
      <c r="A21" s="2" t="s">
        <v>132</v>
      </c>
      <c r="B21">
        <v>1000103</v>
      </c>
      <c r="C21">
        <f t="shared" si="1"/>
        <v>20020001</v>
      </c>
      <c r="D21" t="s">
        <v>208</v>
      </c>
      <c r="E21" t="str">
        <f>LEFT(D21,3)</f>
        <v>青蛙怪</v>
      </c>
      <c r="F21">
        <f>VLOOKUP(E21,备注资源组与动作id!$L$7:$M$16,2,FALSE)</f>
        <v>2</v>
      </c>
      <c r="G21" t="s">
        <v>209</v>
      </c>
    </row>
    <row r="22" spans="1:7" ht="14.25" x14ac:dyDescent="0.2">
      <c r="A22" s="2" t="s">
        <v>132</v>
      </c>
      <c r="B22">
        <v>1000104</v>
      </c>
      <c r="C22">
        <f t="shared" si="1"/>
        <v>20020001</v>
      </c>
      <c r="D22" t="s">
        <v>210</v>
      </c>
      <c r="E22" t="str">
        <f>LEFT(D22,3)</f>
        <v>青蛙怪</v>
      </c>
      <c r="F22">
        <f>VLOOKUP(E22,备注资源组与动作id!$L$7:$M$16,2,FALSE)</f>
        <v>2</v>
      </c>
      <c r="G22" t="s">
        <v>209</v>
      </c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2025-07-31T03:22:31Z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