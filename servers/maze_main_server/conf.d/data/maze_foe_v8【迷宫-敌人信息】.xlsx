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8800" windowHeight="12375"/>
  </bookViews>
  <sheets>
    <sheet name="maze_foe_v8" sheetId="1" r:id="rId1"/>
    <sheet name="怪物难度" sheetId="5" r:id="rId2"/>
    <sheet name="备注资源组与动作id" sheetId="2" r:id="rId3"/>
    <sheet name="掉落" sheetId="3" r:id="rId4"/>
  </sheets>
  <definedNames>
    <definedName name="_xlnm._FilterDatabase" localSheetId="0" hidden="1">maze_foe_v8!$A$2:$AF$211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<sst xmlns="http://schemas.openxmlformats.org/spreadsheetml/2006/main" count="2223" uniqueCount="235">
  <si>
    <t>paipaiworld_config</t>
  </si>
  <si>
    <t>INT_K</t>
  </si>
  <si>
    <t>STRING</t>
  </si>
  <si>
    <t>INT_C_S</t>
  </si>
  <si>
    <t>MAP&lt;INT:LONG&gt;_C_S</t>
  </si>
  <si>
    <t>LIST&lt;INT&gt;_C_S</t>
  </si>
  <si>
    <t>STRING_C_S</t>
  </si>
  <si>
    <t>INT_S_C</t>
  </si>
  <si>
    <t>MAP&lt;LONG:INT&gt;_S</t>
  </si>
  <si>
    <t>order</t>
  </si>
  <si>
    <t>desc0</t>
  </si>
  <si>
    <t>desc1</t>
  </si>
  <si>
    <t>desc2</t>
  </si>
  <si>
    <t>desc3</t>
  </si>
  <si>
    <t>desc4</t>
  </si>
  <si>
    <t>in_barries_id</t>
  </si>
  <si>
    <t>foe_type</t>
  </si>
  <si>
    <t>drop_item</t>
  </si>
  <si>
    <t>drop_equip</t>
  </si>
  <si>
    <t>name</t>
  </si>
  <si>
    <t>model_id</t>
  </si>
  <si>
    <t>level</t>
  </si>
  <si>
    <t>kongfu</t>
  </si>
  <si>
    <t>hp_lose_type</t>
  </si>
  <si>
    <t>attack_max</t>
  </si>
  <si>
    <t>def_max</t>
  </si>
  <si>
    <t>hp_max</t>
  </si>
  <si>
    <t>speed</t>
  </si>
  <si>
    <t>hp_num</t>
  </si>
  <si>
    <t>tough_max</t>
  </si>
  <si>
    <t>drop_exp_num</t>
  </si>
  <si>
    <t>drop_coin_num</t>
  </si>
  <si>
    <t>drop_equip_score_num</t>
  </si>
  <si>
    <t>nor_attack_skill_id</t>
  </si>
  <si>
    <t>passive_skill_id</t>
  </si>
  <si>
    <t>drop_energy_num</t>
  </si>
  <si>
    <t>tough_borke_raitio</t>
  </si>
  <si>
    <t>attack_speed_pro</t>
  </si>
  <si>
    <t>be_attack_recovery_speed_pro</t>
  </si>
  <si>
    <t>tough_deplete</t>
  </si>
  <si>
    <t>search_for_scope</t>
  </si>
  <si>
    <t>attacked_back_range</t>
  </si>
  <si>
    <t>attacked_back_range_after</t>
  </si>
  <si>
    <t>threat_value</t>
  </si>
  <si>
    <t>arrow_threat_value</t>
  </si>
  <si>
    <t>怪物id</t>
  </si>
  <si>
    <t>关卡数</t>
  </si>
  <si>
    <t>怪物类型</t>
  </si>
  <si>
    <t>模型名称索引</t>
  </si>
  <si>
    <t>是否有模型</t>
  </si>
  <si>
    <t>所属关卡id</t>
  </si>
  <si>
    <t>怪物类型（1-小怪 2-守关boss 3-巡逻守卫 4-精英怪</t>
  </si>
  <si>
    <t>怪物掉落物品</t>
  </si>
  <si>
    <t>怪物掉落装备</t>
  </si>
  <si>
    <t>怪物名称</t>
  </si>
  <si>
    <t>资源组id</t>
  </si>
  <si>
    <t>怪物等级</t>
  </si>
  <si>
    <t>怪物武力值</t>
  </si>
  <si>
    <t>损血类型</t>
  </si>
  <si>
    <t>怪物攻击</t>
  </si>
  <si>
    <t>怪物防御</t>
  </si>
  <si>
    <t>怪物血量</t>
  </si>
  <si>
    <t>移动速度(万分比）</t>
  </si>
  <si>
    <t>血条数量</t>
  </si>
  <si>
    <t>怪物韧性上限</t>
  </si>
  <si>
    <t>冒险等级:掉落经验数量</t>
  </si>
  <si>
    <t>冒险等级:掉落钱币数量</t>
  </si>
  <si>
    <t>冒险等级:掉落装备分数量</t>
  </si>
  <si>
    <t>普通攻击技能id</t>
  </si>
  <si>
    <t>被动技能id</t>
  </si>
  <si>
    <t>死亡后掉落的能量点数</t>
  </si>
  <si>
    <t>武力对应削韧倍率（万分比）</t>
  </si>
  <si>
    <t>怪物攻击速度系数（&gt;10000加速 ,&lt;10000减速</t>
  </si>
  <si>
    <t>受击回复动作播放速度系数（&gt;10000加速 ,&lt;10000减速</t>
  </si>
  <si>
    <t>韧性被打空时释放技能</t>
  </si>
  <si>
    <t>寻敌范围调整值（默认10米）</t>
  </si>
  <si>
    <t>被击退距离系数（万分比）</t>
  </si>
  <si>
    <t>被击退距离系数（破除韧性后）（万分比）</t>
  </si>
  <si>
    <t>威胁值</t>
  </si>
  <si>
    <t>远程威胁值</t>
  </si>
  <si>
    <t>守卫1</t>
  </si>
  <si>
    <t>0:0</t>
  </si>
  <si>
    <t>1:0_2:0_3:0_4:0_5:0_6:0_7:0_8:0_9:0_10:0_11:0_12:0_13:0_14:0_15:0_16:0_17:0_18:0_19:0_20:0_21:0_22:0_23:0_24:0_25:0_26:0_27:0_28:0_29:0_30:0_31:0_32:0_33:0_34:0_35:0_36:0_37:0_38:0_39:0_40:0_41:0_42:0_43:0_44:0_45:0_46:0_47:0_48:0_49:0_50:0_51:0_52:0_53:0_54:0_55:0_56:0_57:0_58:0_59:0_60:0_61:0_62:0_63:0_64:0_65:0_66:0_67:0_68:0_69:0_70:0_71:0_72:0_73:0_74:0_75:0_76:0_77:0_78:0_79:0_80:0_81:0_82:0_83:0_84:0_85:0_86:0_87:0_88:0_89:0_90:0_91:0_92:0_93:0_94:0_95:0_96:0_97:0_98:0_99:0_100:0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</si>
  <si>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0:2500_50:5000_80:10000_125:15000_160:30000</t>
  </si>
  <si>
    <t>守卫2</t>
  </si>
  <si>
    <t>守卫3</t>
  </si>
  <si>
    <t>守卫4</t>
  </si>
  <si>
    <t>守卫5</t>
  </si>
  <si>
    <t>守卫6</t>
  </si>
  <si>
    <t>守卫7</t>
  </si>
  <si>
    <t>守卫8</t>
  </si>
  <si>
    <t>守卫9</t>
  </si>
  <si>
    <t>守卫10</t>
  </si>
  <si>
    <t>守卫11</t>
  </si>
  <si>
    <t>卫兵</t>
  </si>
  <si>
    <t>0:2500_2:5000_3:10000_5:15000_6:30000</t>
  </si>
  <si>
    <t>雷霆魔头</t>
  </si>
  <si>
    <t>1:2_2:635_3:635_4:635_5:405_6:405_7:315_8:315_9:315_10:315_11:315_12:315_13:315_14:315_15:315_16:315_17:315_18:315_19:315_20:315_21:315_22:315_23:315_24:315_25:315_26:315_27:315_28:315_29:315_30:315_31:315_32:315_33:315_34:315_35:315_36:315_37:315_38:315_39:315_40:315_41:315_42:315_43:315_44:315_45:315_46:315_47:315_48:315_49:315_50:315_51:315_52:315_53:315_54:315_55:315_56:315_57:315_58:315_59:315_60:315_61:315_62:315_63:315_64:315_65:315_66:315_67:315_68:315_69:315_70:315_71:315_72:315_73:315_74:315_75:315_76:315_77:315_78:315_79:315_80:315_81:315_82:315_83:315_84:315_85:315_86:315_87:315_88:315_89:315_90:315_91:315_92:315_93:315_94:315_95:315_96:315_97:315_98:315_99:315_100:315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</si>
  <si>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獠牙霸主</t>
  </si>
  <si>
    <t>喷火恶龙</t>
  </si>
  <si>
    <t>爆裂悍匪</t>
  </si>
  <si>
    <t>斯巴达勇士</t>
  </si>
  <si>
    <t>变异暴徒</t>
  </si>
  <si>
    <t>铠甲战士</t>
  </si>
  <si>
    <t>第1关守卫</t>
  </si>
  <si>
    <t>守卫？1</t>
  </si>
  <si>
    <t>守卫？2</t>
  </si>
  <si>
    <t>守卫？3</t>
  </si>
  <si>
    <t>小怪1</t>
  </si>
  <si>
    <t>骷髅等级1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</si>
  <si>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1_102:1_103:1_104:1_105:1_106:1_107:1_108:1_109:1_110:1_111:1_112:1_113:1_114:1_115:1_116:1_117:1_118:1_119:1_120:1_121:1_122:1_123:1_124:1_125:1_126:1_127:1_128:1_129:1_130:1_131:1_132:1_133:1_134:1_135:1_136:1_137:1_138:1_139:1_140:1_141:1_142:1_143:1_144:1_145:1_146:1_147:1_148:1_149:1_150:1_151:1_152:1_153:1_154:1_155:1_156:1_157:1_158:1_159:1_160:1</t>
  </si>
  <si>
    <t>1:1_2:1_3:1_4:1_5:1_6:1_7:1_8:1_9:1_10:1_11:1_12:1_13:1_14:1_15:1_16:1_17:1_18:1_19:1_20:1_21:1_22:1_23:1_24:1_25:1_26:1_27:1_28:1_29:1_30:1_31:1_32:1_33:1_34:1_35:1_36:1_37:1_38:1_39:1_40:1_41:1_42:1_43:1_44:1_45:1_46:1_47:1_48:1_49:1_50:1_51:1_52:1_53:1_54:1_55:1_56:1_57:1_58:1_59:1_60:1_61:1_62:1_63:1_64:1_65:1_66:1_67:1_68:1_69:1_70:1_71:1_72:1_73:1_74:1_75:1_76:1_77:1_78:1_79:1_80:1_81:1_82:1_83:1_84:1_85:1_86:1_87:1_88:1_89:1_90:1_91:1_92:1_93:1_94:1_95:1_96:1_97:1_98:1_99:1_100:1_101:0_102:0_103:0_104:0_105:0_106:0_107:0_108:0_109:0_110:0_111:0_112:0_113:0_114:0_115:0_116:0_117:0_118:0_119:0_120:0_121:0_122:0_123:0_124:0_125:0_126:0_127:0_128:0_129:0_130:0_131:0_132:0_133:0_134:0_135:0_136:0_137:0_138:0_139:0_140:0_141:0_142:0_143:0_144:0_145:0_146:0_147:0_148:0_149:0_150:0_151:0_152:0_153:0_154:0_155:0_156:0_157:0_158:0_159:0_160:0</t>
  </si>
  <si>
    <t>1:32_2:32_3:32_4:32_5:32_6:32_7:32_8:32_9:32_10:32_11:32_12:32_13:32_14:32_15:32_16:32_17:32_18:32_19:32_20:32_21:32_22:32_23:32_24:32_25:32_26:32_27:32_28:32_29:32_30:32_31:32_32:32_33:32_34:32_35:32_36:32_37:32_38:32_39:32_40:32_41:32_42:32_43:32_44:32_45:32_46:32_47:32_48:32_49:32_50:32_51:32_52:32_53:32_54:32_55:32_56:32_57:32_58:32_59:32_60:32_61:32_62:32_63:32_64:32_65:32_66:32_67:32_68:32_69:32_70:32_71:32_72:32_73:32_74:32_75:32_76:32_77:32_78:32_79:32_80:32_81:32_82:32_83:32_84:32_85:32_86:32_87:32_88:32_89:32_90:32_91:32_92:32_93:32_94:32_95:32_96:32_97:32_98:32_99:32_100:32_101:32_102:32_103:32_104:32_105:32_106:32_107:32_108:32_109:32_110:32_111:32_112:32_113:32_114:32_115:32_116:32_117:32_118:32_119:32_120:32_121:32_122:32_123:32_124:32_125:32_126:32_127:32_128:32_129:32_130:32_131:32_132:32_133:32_134:32_135:32_136:32_137:32_138:32_139:32_140:32_141:32_142:32_143:32_144:32_145:32_146:32_147:32_148:32_149:32_150:32_151:32_152:32_153:32_154:32_155:32_156:32_157:32_158:32_159:32_160:32</t>
  </si>
  <si>
    <t>0:2500_35:5000_56:10000_88:15000_112:30000</t>
  </si>
  <si>
    <t>小怪2</t>
  </si>
  <si>
    <t>骷髅等级2</t>
  </si>
  <si>
    <t>0:2500_100:5000_160:10000_250:15000_320:30000</t>
  </si>
  <si>
    <t>小怪3</t>
  </si>
  <si>
    <t>小怪4</t>
  </si>
  <si>
    <t>弓箭骷髅等级4</t>
  </si>
  <si>
    <t>小怪5</t>
  </si>
  <si>
    <t>蜘蛛等级1</t>
  </si>
  <si>
    <t>0:2500_63:5000_100:10000_156:15000_200:30000</t>
  </si>
  <si>
    <t>小怪6</t>
  </si>
  <si>
    <t>1:209_2:209_3:209_4:209_5:209_6:209_7:209_8:209_9:209_10:209_11:209_12:209_13:209_14:209_15:209_16:209_17:209_18:209_19:209_20:209_21:209_22:209_23:209_24:209_25:209_26:209_27:209_28:209_29:209_30:209_31:209_32:209_33:209_34:209_35:209_36:209_37:209_38:209_39:209_40:209_41:209_42:209_43:209_44:209_45:209_46:209_47:209_48:209_49:209_50:209_51:209_52:209_53:209_54:209_55:209_56:209_57:209_58:209_59:209_60:209_61:209_62:209_63:209_64:209_65:209_66:209_67:209_68:209_69:209_70:209_71:209_72:209_73:209_74:209_75:209_76:209_77:209_78:209_79:209_80:209_81:209_82:209_83:209_84:209_85:209_86:209_87:209_88:209_89:209_90:209_91:209_92:209_93:209_94:209_95:209_96:209_97:209_98:209_99:209_100:209_101:209_102:209_103:209_104:209_105:209_106:209_107:209_108:209_109:209_110:209_111:209_112:209_113:209_114:209_115:209_116:209_117:209_118:209_119:209_120:209_121:209_122:209_123:209_124:209_125:209_126:209_127:209_128:209_129:209_130:209_131:209_132:209_133:209_134:209_135:209_136:209_137:209_138:209_139:209_140:209_141:209_142:209_143:209_144:209_145:209_146:209_147:209_148:209_149:209_150:209_151:209_152:209_153:209_154:209_155:209_156:209_157:209_158:209_159:209_160:209</t>
  </si>
  <si>
    <t>小怪7</t>
  </si>
  <si>
    <t>小怪8</t>
  </si>
  <si>
    <t>狼等级1</t>
  </si>
  <si>
    <t>小怪9</t>
  </si>
  <si>
    <t>狼等级2</t>
  </si>
  <si>
    <t>小怪10</t>
  </si>
  <si>
    <t>沉沦魔等级1</t>
  </si>
  <si>
    <t>小怪11</t>
  </si>
  <si>
    <t>沉沦魔等级2</t>
  </si>
  <si>
    <t>小怪12</t>
  </si>
  <si>
    <t>僵尸等级1</t>
  </si>
  <si>
    <t>小怪13</t>
  </si>
  <si>
    <t>僵尸等级2</t>
  </si>
  <si>
    <t>1:10000_2:10000_3:10000_4:10000_5:10000_6:10000_7:10000_8:10000_9:10000_10:10000_11:10000_12:10000_13:10000_14:10000_15:10000_16:10000_17:10000_18:10000_19:10000_20:10000_21:10000_22:10000_23:10000_24:10000_25:10000_26:10000_27:10000_28:10000_29:10000_30:10000_31:10000_32:10000_33:10000_34:10000_35:10000_36:10000_37:10000_38:10000_39:10000_40:10000_41:10000_42:10000_43:10000_44:10000_45:10000_46:10000_47:10000_48:10000_49:10000_50:10000_51:10000_52:10000_53:10000_54:10000_55:10000_56:10000_57:10000_58:10000_59:10000_60:10000_61:10000_62:10000_63:10000_64:10000_65:10000_66:10000_67:10000_68:10000_69:10000_70:10000_71:10000_72:10000_73:10000_74:10000_75:10000_76:10000_77:10000_78:10000_79:10000_80:10000_81:10000_82:10000_83:10000_84:10000_85:10000_86:10000_87:10000_88:10000_89:10000_90:10000_91:10000_92:10000_93:10000_94:10000_95:10000_96:10000_97:10000_98:10000_99:10000_100:10000_101:10000_102:10000_103:10000_104:10000_105:10000_106:10000_107:10000_108:10000_109:10000_110:10000_111:10000_112:10000_113:10000_114:10000_115:10000_116:10000_117:10000_118:10000_119:10000_120:10000_121:10000_122:10000_123:10000_124:10000_125:10000_126:10000_127:10000_128:10000_129:10000_130:10000_131:10000_132:10000_133:10000_134:10000_135:10000_136:10000_137:10000_138:10000_139:10000_140:10000_141:10000_142:10000_143:10000_144:10000_145:10000_146:10000_147:10000_148:10000_149:10000_150:10000_151:10000_152:10000_153:10000_154:10000_155:10000_156:10000_157:10000_158:10000_159:10000_160:10000</t>
  </si>
  <si>
    <t>0:2500_250:5000_400:10000_625:15000_800:30000</t>
  </si>
  <si>
    <t>小怪14</t>
  </si>
  <si>
    <t>僵尸等级3</t>
  </si>
  <si>
    <t>小怪15</t>
  </si>
  <si>
    <t>1:9_2:9_3:9_4:9_5:9_6:9_7:9_8:9_9:9_10:9_11:9_12:9_13:9_14:9_15:9_16:9_17:9_18:9_19:9_20:9_21:9_22:9_23:9_24:9_25:9_26:9_27:9_28:9_29:9_30:9_31:9_32:9_33:9_34:9_35:9_36:9_37:9_38:9_39:9_40:9_41:9_42:9_43:9_44:9_45:9_46:9_47:9_48:9_49:9_50:9_51:9_52:9_53:9_54:9_55:9_56:9_57:9_58:9_59:9_60:9_61:9_62:9_63:9_64:9_65:9_66:9_67:9_68:9_69:9_70:9_71:9_72:9_73:9_74:9_75:9_76:9_77:9_78:9_79:9_80:9_81:9_82:9_83:9_84:9_85:9_86:9_87:9_88:9_89:9_90:9_91:9_92:9_93:9_94:9_95:9_96:9_97:9_98:9_99:9_100:9_101:9_102:9_103:9_104:9_105:9_106:9_107:9_108:9_109:9_110:9_111:9_112:9_113:9_114:9_115:9_116:9_117:9_118:9_119:9_120:9_121:9_122:9_123:9_124:9_125:9_126:9_127:9_128:9_129:9_130:9_131:9_132:9_133:9_134:9_135:9_136:9_137:9_138:9_139:9_140:9_141:9_142:9_143:9_144:9_145:9_146:9_147:9_148:9_149:9_150:9_151:9_152:9_153:9_154:9_155:9_156:9_157:9_158:9_159:9_160:9</t>
  </si>
  <si>
    <t>骷髅等级3</t>
  </si>
  <si>
    <t>战甲斑狼</t>
  </si>
  <si>
    <t>甲壳狂徒</t>
  </si>
  <si>
    <t>长矛蛙兵</t>
  </si>
  <si>
    <t>寄居炮蟹</t>
  </si>
  <si>
    <t>测试怪远程</t>
  </si>
  <si>
    <t>1:1087_2:1087_3:1087_4:1087_5:1087_6:1087_7:1087_8:1087_9:1087_10:1087_11:1087_12:1087_13:1087_14:1087_15:1087_16:1087_17:1087_18:1087_19:1087_20:1087_21:1087_22:1087_23:1087_24:1087_25:1087_26:1087_27:1087_28:1087_29:1087_30:1087_31:1087_32:1087_33:1087_34:1087_35:1087_36:1087_37:1087_38:1087_39:1087_40:1087_41:1087_42:1087_43:1087_44:1087_45:1087_46:1087_47:1087_48:1087_49:1087_50:1087_51:1087_52:1087_53:1087_54:1087_55:1087_56:1087_57:1087_58:1087_59:1087_60:1087_61:1087_62:1087_63:1087_64:1087_65:1087_66:1087_67:1087_68:1087_69:1087_70:1087_71:1087_72:1087_73:1087_74:1087_75:1087_76:1087_77:1087_78:1087_79:1087_80:1087_81:1087_82:1087_83:1087_84:1087_85:1087_86:1087_87:1087_88:1087_89:1087_90:1087_91:1087_92:1087_93:1087_94:1087_95:1087_96:1087_97:1087_98:1087_99:1087_100:1087_101:1087_102:1087_103:1087_104:1087_105:1087_106:1087_107:1087_108:1087_109:1087_110:1087_111:1087_112:1087_113:1087_114:1087_115:1087_116:1087_117:1087_118:1087_119:1087_120:1087_121:1087_122:1087_123:1087_124:1087_125:1087_126:1087_127:1087_128:1087_129:1087_130:1087_131:1087_132:1087_133:1087_134:1087_135:1087_136:1087_137:1087_138:1087_139:1087_140:1087_141:1087_142:1087_143:1087_144:1087_145:1087_146:1087_147:1087_148:1087_149:1087_150:1087_151:1087_152:1087_153:1087_154:1087_155:1087_156:1087_157:1087_158:1087_159:1087_160:1087</t>
  </si>
  <si>
    <t>测试怪近战</t>
  </si>
  <si>
    <t>测试怪远程2</t>
  </si>
  <si>
    <t>测试怪近战2</t>
  </si>
  <si>
    <t>测试怪1</t>
  </si>
  <si>
    <t>测试怪2</t>
  </si>
  <si>
    <t>测试怪3</t>
  </si>
  <si>
    <t>测试怪4</t>
  </si>
  <si>
    <t>僵尸精英</t>
  </si>
  <si>
    <t>1:18_2:18_3:18_4:18_5:18_6:18_7:18_8:18_9:18_10:18_11:18_12:18_13:18_14:18_15:18_16:18_17:18_18:18_19:18_20:18_21:18_22:18_23:18_24:18_25:18_26:18_27:18_28:18_29:18_30:18_31:18_32:18_33:18_34:18_35:18_36:18_37:18_38:18_39:18_40:18_41:18_42:18_43:18_44:18_45:18_46:18_47:18_48:18_49:18_50:18_51:18_52:18_53:18_54:18_55:18_56:18_57:18_58:18_59:18_60:18_61:18_62:18_63:18_64:18_65:18_66:18_67:18_68:18_69:18_70:18_71:18_72:18_73:18_74:18_75:18_76:18_77:18_78:18_79:18_80:18_81:18_82:18_83:18_84:18_85:18_86:18_87:18_88:18_89:18_90:18_91:18_92:18_93:18_94:18_95:18_96:18_97:18_98:18_99:18_100:18_101:18_102:18_103:18_104:18_105:18_106:18_107:18_108:18_109:18_110:18_111:18_112:18_113:18_114:18_115:18_116:18_117:18_118:18_119:18_120:18_121:18_122:18_123:18_124:18_125:18_126:18_127:18_128:18_129:18_130:18_131:18_132:18_133:18_134:18_135:18_136:18_137:18_138:18_139:18_140:18_141:18_142:18_143:18_144:18_145:18_146:18_147:18_148:18_149:18_150:18_151:18_152:18_153:18_154:18_155:18_156:18_157:18_158:18_159:18_160:18</t>
  </si>
  <si>
    <t>1:22_2:22_3:22_4:22_5:22_6:22_7:22_8:22_9:22_10:22_11:22_12:22_13:22_14:22_15:22_16:22_17:22_18:22_19:22_20:22_21:22_22:22_23:22_24:22_25:22_26:22_27:22_28:22_29:22_30:22_31:22_32:22_33:22_34:22_35:22_36:22_37:22_38:22_39:22_40:22_41:22_42:22_43:22_44:22_45:22_46:22_47:22_48:22_49:22_50:22_51:22_52:22_53:22_54:22_55:22_56:22_57:22_58:22_59:22_60:22_61:22_62:22_63:22_64:22_65:22_66:22_67:22_68:22_69:22_70:22_71:22_72:22_73:22_74:22_75:22_76:22_77:22_78:22_79:22_80:22_81:22_82:22_83:22_84:22_85:22_86:22_87:22_88:22_89:22_90:22_91:22_92:22_93:22_94:22_95:22_96:22_97:22_98:22_99:22_100:22_101:22_102:22_103:22_104:22_105:22_106:22_107:22_108:22_109:22_110:22_111:22_112:22_113:22_114:22_115:22_116:22_117:22_118:22_119:22_120:22_121:22_122:22_123:22_124:22_125:22_126:22_127:22_128:22_129:22_130:22_131:22_132:22_133:22_134:22_135:22_136:22_137:22_138:22_139:22_140:22_141:22_142:22_143:22_144:22_145:22_146:22_147:22_148:22_149:22_150:22_151:22_152:22_153:22_154:22_155:22_156:22_157:22_158:22_159:22_160:22</t>
  </si>
  <si>
    <t>石像鬼精英</t>
  </si>
  <si>
    <t>2-守卫1</t>
  </si>
  <si>
    <t>3-守卫1</t>
  </si>
  <si>
    <t>3-守卫2</t>
  </si>
  <si>
    <t>4-守卫1</t>
  </si>
  <si>
    <t>4-守卫2</t>
  </si>
  <si>
    <t>5-守卫1</t>
  </si>
  <si>
    <t>5-守卫2</t>
  </si>
  <si>
    <t>5-守卫3</t>
  </si>
  <si>
    <t>5-守卫4</t>
  </si>
  <si>
    <t>6-守卫1</t>
  </si>
  <si>
    <t>6-守卫2</t>
  </si>
  <si>
    <t>6-守卫3</t>
  </si>
  <si>
    <t>6-守卫4</t>
  </si>
  <si>
    <t>6-守卫5</t>
  </si>
  <si>
    <t>6-守卫6</t>
  </si>
  <si>
    <t>6-守卫7</t>
  </si>
  <si>
    <t>6-守卫8</t>
  </si>
  <si>
    <t>7-守卫1</t>
  </si>
  <si>
    <t>7-守卫2</t>
  </si>
  <si>
    <t>7-守卫3</t>
  </si>
  <si>
    <t>7-守卫4</t>
  </si>
  <si>
    <t>7-守卫5</t>
  </si>
  <si>
    <t>7-守卫6</t>
  </si>
  <si>
    <t>7-守卫7</t>
  </si>
  <si>
    <t>7-守卫8</t>
  </si>
  <si>
    <t>7-守卫9</t>
  </si>
  <si>
    <t>7-守卫10</t>
  </si>
  <si>
    <t>7-守卫11</t>
  </si>
  <si>
    <t>7-守卫12</t>
  </si>
  <si>
    <t>7-守卫13</t>
  </si>
  <si>
    <t>7-守卫14</t>
  </si>
  <si>
    <t>7-守卫15</t>
  </si>
  <si>
    <t>7-守卫16</t>
  </si>
  <si>
    <t>7-守卫17</t>
  </si>
  <si>
    <t>7-守卫18</t>
  </si>
  <si>
    <t>7-守卫19</t>
  </si>
  <si>
    <t>攻击技能</t>
  </si>
  <si>
    <t>对应动作</t>
  </si>
  <si>
    <t>动作id</t>
  </si>
  <si>
    <t>动作对应的技能id</t>
  </si>
  <si>
    <t>乌龟怪1</t>
  </si>
  <si>
    <t>990301,990302</t>
  </si>
  <si>
    <t>普通技能</t>
  </si>
  <si>
    <t>蜥蜴怪</t>
  </si>
  <si>
    <t>乌龟怪2</t>
  </si>
  <si>
    <t>乌龟怪3</t>
  </si>
  <si>
    <t>青蛙怪</t>
  </si>
  <si>
    <t>青蛙</t>
  </si>
  <si>
    <t>乌龟怪4</t>
  </si>
  <si>
    <t>野狼怪1</t>
  </si>
  <si>
    <t>990401,990402</t>
  </si>
  <si>
    <t>乌龟怪</t>
  </si>
  <si>
    <t>野狼怪2</t>
  </si>
  <si>
    <t>野狼怪3</t>
  </si>
  <si>
    <t>野狼怪</t>
  </si>
  <si>
    <t>狼</t>
  </si>
  <si>
    <t>野狼怪4</t>
  </si>
  <si>
    <t>寄居蟹1</t>
  </si>
  <si>
    <t>寄居蟹</t>
  </si>
  <si>
    <t>990501,990502</t>
  </si>
  <si>
    <t>寄居蟹2</t>
  </si>
  <si>
    <t>寄居蟹3</t>
  </si>
  <si>
    <t>寄居蟹4</t>
  </si>
  <si>
    <t>狂暴蜥蜴</t>
  </si>
  <si>
    <t>蜥蜴怪1</t>
  </si>
  <si>
    <t>990101,990102</t>
  </si>
  <si>
    <t>蜥蜴怪2</t>
  </si>
  <si>
    <t>青蛙怪1</t>
  </si>
  <si>
    <t>990201,990202</t>
  </si>
  <si>
    <t>青蛙怪2</t>
  </si>
  <si>
    <t>经验</t>
  </si>
  <si>
    <t>金币</t>
  </si>
  <si>
    <t>装备分数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</si>
</sst>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sz val="11"/>
      <name val="宋体"/>
      <charset val="134"/>
    </font>
    <font>
      <sz val="9"/>
      <color rgb="FF3F3F76"/>
      <name val="宋体"/>
      <charset val="134"/>
    </font>
    <font>
      <sz val="9"/>
      <name val="宋体"/>
      <charset val="134"/>
    </font>
    <font>
      <sz val="11"/>
      <color theme="5" tint="0.799920651875362"/>
      <name val="宋体"/>
      <charset val="134"/>
    </font>
    <font>
      <sz val="11"/>
      <color rgb="FFEE0000"/>
      <name val="宋体"/>
      <charset val="134"/>
    </font>
    <font>
      <sz val="11"/>
      <color rgb="FFFF0000"/>
      <name val="宋体"/>
      <charset val="134"/>
    </font>
    <font>
      <sz val="11"/>
      <color rgb="FF3F3F76"/>
      <name val="宋体"/>
      <charset val="134"/>
    </font>
    <font>
      <sz val="11"/>
      <color rgb="FF3F3F76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0" tint="-0.349986266670736"/>
        <bgColor indexed="64"/>
      </patternFill>
    </fill>
    <fill>
      <patternFill patternType="solid">
        <fgColor theme="5" tint="0.799737540818506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Dashed">
        <color auto="1"/>
      </bottom>
      <diagonal/>
    </border>
    <border>
      <left/>
      <right/>
      <top style="mediumDashed">
        <color auto="1"/>
      </top>
      <bottom style="mediumDashed">
        <color auto="1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3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8" fillId="8" borderId="1" applyNumberFormat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9" fillId="9" borderId="1" applyNumberFormat="0" applyAlignment="0" applyProtection="0">
      <alignment vertical="center"/>
    </xf>
    <xf numFmtId="0" fontId="20" fillId="10" borderId="9" applyNumberFormat="0" applyAlignment="0" applyProtection="0">
      <alignment vertical="center"/>
    </xf>
    <xf numFmtId="0" fontId="21" fillId="0" borderId="10" applyNumberFormat="0" applyFill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0" fillId="0" borderId="0"/>
    <xf numFmtId="0" fontId="8" fillId="8" borderId="1" applyNumberFormat="0" applyAlignment="0" applyProtection="0">
      <alignment vertical="center"/>
    </xf>
  </cellStyleXfs>
  <cellXfs count="2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3" borderId="1" xfId="16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1" fillId="0" borderId="0" xfId="49">
      <alignment vertical="center"/>
    </xf>
    <xf numFmtId="0" fontId="1" fillId="0" borderId="0" xfId="49" applyAlignment="1"/>
    <xf numFmtId="0" fontId="1" fillId="0" borderId="0" xfId="0" applyFont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16" applyFill="1" applyAlignment="1">
      <alignment horizontal="center" vertical="center"/>
    </xf>
    <xf numFmtId="0" fontId="8" fillId="2" borderId="1" xfId="16" applyFill="1" applyAlignment="1">
      <alignment horizontal="center" vertical="center"/>
    </xf>
    <xf numFmtId="0" fontId="0" fillId="0" borderId="4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0" fillId="0" borderId="0" xfId="51"/>
    <xf numFmtId="0" fontId="6" fillId="0" borderId="0" xfId="51" applyFont="1" applyAlignment="1">
      <alignment horizontal="center" vertical="center"/>
    </xf>
    <xf numFmtId="0" fontId="8" fillId="0" borderId="1" xfId="52" applyFont="1" applyFill="1" applyAlignment="1">
      <alignment horizontal="center" vertical="center"/>
    </xf>
    <xf numFmtId="0" fontId="1" fillId="0" borderId="0" xfId="51" applyFont="1" applyAlignment="1">
      <alignment horizontal="center" vertical="center"/>
    </xf>
    <xf numFmtId="0" fontId="2" fillId="0" borderId="0" xfId="0" applyFont="1" applyAlignment="1" quotePrefix="1">
      <alignment horizontal="center" vertical="center"/>
    </xf>
    <xf numFmtId="0" fontId="2" fillId="0" borderId="0" xfId="51" applyFont="1" applyAlignment="1" quotePrefix="1">
      <alignment horizontal="center" vertical="center"/>
    </xf>
  </cellXfs>
  <cellStyles count="53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3" xfId="51"/>
    <cellStyle name="输入 2" xf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AJ301"/>
  <sheetViews>
    <sheetView tabSelected="1" zoomScale="85" zoomScaleNormal="85" topLeftCell="B1" workbookViewId="0">
      <pane ySplit="4" topLeftCell="A184" activePane="bottomLeft" state="frozen"/>
      <selection/>
      <selection pane="bottomLeft" activeCell="R198" sqref="R198"/>
    </sheetView>
  </sheetViews>
  <sheetFormatPr defaultColWidth="9" defaultRowHeight="13.5"/>
  <cols>
    <col min="1" max="1" width="20.125" style="8" customWidth="1"/>
    <col min="2" max="2" width="10.625" style="8" customWidth="1"/>
    <col min="3" max="3" width="12.125" style="8" customWidth="1"/>
    <col min="4" max="7" width="10.625" style="8" customWidth="1"/>
    <col min="8" max="8" width="40.875" style="8" customWidth="1"/>
    <col min="9" max="9" width="10.625" style="8" customWidth="1"/>
    <col min="10" max="10" width="19.375" style="8" customWidth="1"/>
    <col min="11" max="11" width="14.125" style="8" customWidth="1"/>
    <col min="12" max="20" width="10.625" style="8" customWidth="1"/>
    <col min="21" max="21" width="13.375" style="8" customWidth="1"/>
    <col min="22" max="23" width="10.625" style="8" customWidth="1"/>
    <col min="24" max="24" width="29.25" style="8" customWidth="1"/>
    <col min="25" max="27" width="10.625" style="8" customWidth="1"/>
    <col min="28" max="28" width="49.875" style="8" customWidth="1"/>
    <col min="29" max="29" width="44.625" style="8" customWidth="1"/>
    <col min="30" max="31" width="53" style="8" customWidth="1"/>
    <col min="32" max="33" width="27.75" style="8" customWidth="1"/>
    <col min="34" max="34" width="40.125" style="8" customWidth="1"/>
    <col min="35" max="35" width="13.875" style="8" customWidth="1"/>
    <col min="36" max="36" width="20.5" style="8" customWidth="1"/>
    <col min="37" max="16384" width="9" style="8"/>
  </cols>
  <sheetData>
    <row r="1" spans="1:31">
      <c r="A1" s="3" t="s">
        <v>0</v>
      </c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AC1" s="3"/>
      <c r="AD1" s="3"/>
      <c r="AE1" s="3"/>
    </row>
    <row r="2" ht="14.25" spans="1:36">
      <c r="A2" s="9" t="s">
        <v>1</v>
      </c>
      <c r="B2" s="10" t="s">
        <v>2</v>
      </c>
      <c r="C2" s="10" t="s">
        <v>2</v>
      </c>
      <c r="D2" s="10" t="s">
        <v>2</v>
      </c>
      <c r="E2" s="10" t="s">
        <v>2</v>
      </c>
      <c r="F2" s="10" t="s">
        <v>2</v>
      </c>
      <c r="G2" s="9" t="s">
        <v>3</v>
      </c>
      <c r="H2" s="9" t="s">
        <v>3</v>
      </c>
      <c r="I2" s="9" t="s">
        <v>4</v>
      </c>
      <c r="J2" s="9" t="s">
        <v>5</v>
      </c>
      <c r="K2" s="9" t="s">
        <v>6</v>
      </c>
      <c r="L2" s="9" t="s">
        <v>3</v>
      </c>
      <c r="M2" s="9" t="s">
        <v>3</v>
      </c>
      <c r="N2" s="9" t="s">
        <v>3</v>
      </c>
      <c r="O2" s="9" t="s">
        <v>3</v>
      </c>
      <c r="P2" s="9" t="s">
        <v>3</v>
      </c>
      <c r="Q2" s="9" t="s">
        <v>3</v>
      </c>
      <c r="R2" s="9" t="s">
        <v>3</v>
      </c>
      <c r="S2" s="9" t="s">
        <v>3</v>
      </c>
      <c r="T2" s="9" t="s">
        <v>3</v>
      </c>
      <c r="U2" s="9" t="s">
        <v>3</v>
      </c>
      <c r="V2" s="9" t="s">
        <v>4</v>
      </c>
      <c r="W2" s="9" t="s">
        <v>4</v>
      </c>
      <c r="X2" s="9" t="s">
        <v>4</v>
      </c>
      <c r="Y2" s="9" t="s">
        <v>3</v>
      </c>
      <c r="Z2" s="9" t="s">
        <v>5</v>
      </c>
      <c r="AA2" s="9" t="s">
        <v>7</v>
      </c>
      <c r="AB2" s="9" t="s">
        <v>8</v>
      </c>
      <c r="AC2" s="9" t="s">
        <v>3</v>
      </c>
      <c r="AD2" s="9" t="s">
        <v>3</v>
      </c>
      <c r="AE2" s="9" t="s">
        <v>3</v>
      </c>
      <c r="AF2" s="9" t="s">
        <v>3</v>
      </c>
      <c r="AG2" s="9" t="s">
        <v>3</v>
      </c>
      <c r="AH2" s="9" t="s">
        <v>3</v>
      </c>
      <c r="AI2" s="9" t="s">
        <v>3</v>
      </c>
      <c r="AJ2" s="9" t="s">
        <v>3</v>
      </c>
    </row>
    <row r="3" ht="14.25" spans="1:36">
      <c r="A3" s="11" t="s">
        <v>9</v>
      </c>
      <c r="B3" s="10" t="s">
        <v>10</v>
      </c>
      <c r="C3" s="10" t="s">
        <v>11</v>
      </c>
      <c r="D3" s="10" t="s">
        <v>12</v>
      </c>
      <c r="E3" s="10" t="s">
        <v>13</v>
      </c>
      <c r="F3" s="10" t="s">
        <v>14</v>
      </c>
      <c r="G3" s="11" t="s">
        <v>15</v>
      </c>
      <c r="H3" s="11" t="s">
        <v>16</v>
      </c>
      <c r="I3" s="11" t="s">
        <v>17</v>
      </c>
      <c r="J3" s="11" t="s">
        <v>18</v>
      </c>
      <c r="K3" s="11" t="s">
        <v>19</v>
      </c>
      <c r="L3" s="11" t="s">
        <v>20</v>
      </c>
      <c r="M3" s="11" t="s">
        <v>21</v>
      </c>
      <c r="N3" s="11" t="s">
        <v>22</v>
      </c>
      <c r="O3" s="11" t="s">
        <v>23</v>
      </c>
      <c r="P3" s="11" t="s">
        <v>24</v>
      </c>
      <c r="Q3" s="11" t="s">
        <v>25</v>
      </c>
      <c r="R3" s="11" t="s">
        <v>26</v>
      </c>
      <c r="S3" s="11" t="s">
        <v>27</v>
      </c>
      <c r="T3" s="11" t="s">
        <v>28</v>
      </c>
      <c r="U3" s="11" t="s">
        <v>29</v>
      </c>
      <c r="V3" s="11" t="s">
        <v>30</v>
      </c>
      <c r="W3" s="11" t="s">
        <v>31</v>
      </c>
      <c r="X3" s="11" t="s">
        <v>32</v>
      </c>
      <c r="Y3" s="11" t="s">
        <v>33</v>
      </c>
      <c r="Z3" s="11" t="s">
        <v>34</v>
      </c>
      <c r="AA3" s="11" t="s">
        <v>35</v>
      </c>
      <c r="AB3" s="11" t="s">
        <v>36</v>
      </c>
      <c r="AC3" s="11" t="s">
        <v>37</v>
      </c>
      <c r="AD3" s="11" t="s">
        <v>38</v>
      </c>
      <c r="AE3" s="11" t="s">
        <v>39</v>
      </c>
      <c r="AF3" s="11" t="s">
        <v>40</v>
      </c>
      <c r="AG3" s="11" t="s">
        <v>41</v>
      </c>
      <c r="AH3" s="11" t="s">
        <v>42</v>
      </c>
      <c r="AI3" s="8" t="s">
        <v>43</v>
      </c>
      <c r="AJ3" s="8" t="s">
        <v>44</v>
      </c>
    </row>
    <row r="4" ht="25.5" customHeight="1" spans="1:36">
      <c r="A4" s="11" t="s">
        <v>45</v>
      </c>
      <c r="B4" s="10" t="s">
        <v>46</v>
      </c>
      <c r="C4" s="10" t="s">
        <v>47</v>
      </c>
      <c r="D4" s="10" t="s">
        <v>47</v>
      </c>
      <c r="E4" s="10" t="s">
        <v>48</v>
      </c>
      <c r="F4" s="10" t="s">
        <v>49</v>
      </c>
      <c r="G4" s="11" t="s">
        <v>50</v>
      </c>
      <c r="H4" s="11" t="s">
        <v>51</v>
      </c>
      <c r="I4" s="11" t="s">
        <v>52</v>
      </c>
      <c r="J4" s="11" t="s">
        <v>53</v>
      </c>
      <c r="K4" s="11" t="s">
        <v>54</v>
      </c>
      <c r="L4" s="11" t="s">
        <v>55</v>
      </c>
      <c r="M4" s="11" t="s">
        <v>56</v>
      </c>
      <c r="N4" s="11" t="s">
        <v>57</v>
      </c>
      <c r="O4" s="11" t="s">
        <v>58</v>
      </c>
      <c r="P4" s="11" t="s">
        <v>59</v>
      </c>
      <c r="Q4" s="11" t="s">
        <v>60</v>
      </c>
      <c r="R4" s="11" t="s">
        <v>61</v>
      </c>
      <c r="S4" s="11" t="s">
        <v>62</v>
      </c>
      <c r="T4" s="11" t="s">
        <v>63</v>
      </c>
      <c r="U4" s="11" t="s">
        <v>64</v>
      </c>
      <c r="V4" s="11" t="s">
        <v>65</v>
      </c>
      <c r="W4" s="11" t="s">
        <v>66</v>
      </c>
      <c r="X4" s="11" t="s">
        <v>67</v>
      </c>
      <c r="Y4" s="11" t="s">
        <v>68</v>
      </c>
      <c r="Z4" s="11" t="s">
        <v>69</v>
      </c>
      <c r="AA4" s="11" t="s">
        <v>70</v>
      </c>
      <c r="AB4" s="11" t="s">
        <v>71</v>
      </c>
      <c r="AC4" s="11" t="s">
        <v>72</v>
      </c>
      <c r="AD4" s="11" t="s">
        <v>73</v>
      </c>
      <c r="AE4" s="11" t="s">
        <v>74</v>
      </c>
      <c r="AF4" s="11" t="s">
        <v>75</v>
      </c>
      <c r="AG4" s="11" t="s">
        <v>76</v>
      </c>
      <c r="AH4" s="11" t="s">
        <v>77</v>
      </c>
      <c r="AI4" s="8" t="s">
        <v>78</v>
      </c>
      <c r="AJ4" s="8" t="s">
        <v>79</v>
      </c>
    </row>
    <row r="5" spans="1:36">
      <c r="A5" s="3">
        <v>10201</v>
      </c>
      <c r="B5" s="3">
        <v>1</v>
      </c>
      <c r="C5" s="3" t="s">
        <v>80</v>
      </c>
      <c r="D5" s="3"/>
      <c r="F5" s="3"/>
      <c r="G5" s="3">
        <v>1</v>
      </c>
      <c r="H5" s="3">
        <v>2</v>
      </c>
      <c r="I5" s="25" t="s">
        <v>81</v>
      </c>
      <c r="J5" s="3">
        <v>0</v>
      </c>
      <c r="K5" s="3">
        <v>800001021</v>
      </c>
      <c r="L5" s="3">
        <v>800001021</v>
      </c>
      <c r="M5" s="3">
        <v>1</v>
      </c>
      <c r="N5" s="13">
        <v>1</v>
      </c>
      <c r="O5" s="3">
        <v>1</v>
      </c>
      <c r="P5" s="3">
        <v>8</v>
      </c>
      <c r="Q5" s="3">
        <v>0</v>
      </c>
      <c r="R5" s="3">
        <v>25</v>
      </c>
      <c r="S5" s="3">
        <v>-5000</v>
      </c>
      <c r="T5" s="3">
        <v>1</v>
      </c>
      <c r="U5" s="3">
        <v>0</v>
      </c>
      <c r="V5" s="3" t="s">
        <v>82</v>
      </c>
      <c r="W5" s="3" t="s">
        <v>82</v>
      </c>
      <c r="X5" s="3" t="s">
        <v>82</v>
      </c>
      <c r="Y5" s="16">
        <v>20010001</v>
      </c>
      <c r="Z5" s="16">
        <v>0</v>
      </c>
      <c r="AA5" s="3">
        <v>1</v>
      </c>
      <c r="AB5" s="8" t="s">
        <v>83</v>
      </c>
      <c r="AC5" s="3">
        <v>10000</v>
      </c>
      <c r="AD5" s="3">
        <v>10000</v>
      </c>
      <c r="AE5" s="3">
        <v>0</v>
      </c>
      <c r="AF5" s="8">
        <v>40</v>
      </c>
      <c r="AG5" s="8">
        <v>0</v>
      </c>
      <c r="AH5" s="8">
        <v>0</v>
      </c>
      <c r="AI5" s="8">
        <v>0</v>
      </c>
      <c r="AJ5" s="8">
        <v>0</v>
      </c>
    </row>
    <row r="6" spans="1:36">
      <c r="A6" s="3">
        <v>10301</v>
      </c>
      <c r="B6" s="3">
        <v>1</v>
      </c>
      <c r="C6" s="3" t="s">
        <v>84</v>
      </c>
      <c r="D6" s="3"/>
      <c r="F6" s="3"/>
      <c r="G6" s="3">
        <v>1</v>
      </c>
      <c r="H6" s="3">
        <v>2</v>
      </c>
      <c r="I6" s="25" t="s">
        <v>81</v>
      </c>
      <c r="J6" s="3">
        <v>0</v>
      </c>
      <c r="K6" s="3">
        <v>800001021</v>
      </c>
      <c r="L6" s="3">
        <v>800001021</v>
      </c>
      <c r="M6" s="3">
        <v>1</v>
      </c>
      <c r="N6" s="13">
        <v>2</v>
      </c>
      <c r="O6" s="3">
        <v>2</v>
      </c>
      <c r="P6" s="3">
        <v>8</v>
      </c>
      <c r="Q6" s="3">
        <v>0</v>
      </c>
      <c r="R6" s="3">
        <v>25</v>
      </c>
      <c r="S6" s="3">
        <v>-5000</v>
      </c>
      <c r="T6" s="3">
        <v>1</v>
      </c>
      <c r="U6" s="3">
        <v>0</v>
      </c>
      <c r="V6" s="3" t="s">
        <v>82</v>
      </c>
      <c r="W6" s="3" t="s">
        <v>82</v>
      </c>
      <c r="X6" s="3" t="s">
        <v>82</v>
      </c>
      <c r="Y6" s="16">
        <v>20010001</v>
      </c>
      <c r="Z6" s="16">
        <v>0</v>
      </c>
      <c r="AA6" s="3">
        <v>1</v>
      </c>
      <c r="AB6" s="8" t="s">
        <v>83</v>
      </c>
      <c r="AC6" s="3">
        <v>10000</v>
      </c>
      <c r="AD6" s="3">
        <v>10000</v>
      </c>
      <c r="AE6" s="3">
        <v>0</v>
      </c>
      <c r="AF6" s="8">
        <v>40</v>
      </c>
      <c r="AG6" s="8">
        <v>0</v>
      </c>
      <c r="AH6" s="8">
        <v>0</v>
      </c>
      <c r="AI6" s="8">
        <v>0</v>
      </c>
      <c r="AJ6" s="8">
        <v>0</v>
      </c>
    </row>
    <row r="7" spans="1:36">
      <c r="A7" s="3">
        <v>10302</v>
      </c>
      <c r="B7" s="3">
        <v>1</v>
      </c>
      <c r="C7" s="3" t="s">
        <v>85</v>
      </c>
      <c r="D7" s="3"/>
      <c r="F7" s="3"/>
      <c r="G7" s="3">
        <v>1</v>
      </c>
      <c r="H7" s="3">
        <v>2</v>
      </c>
      <c r="I7" s="25" t="s">
        <v>81</v>
      </c>
      <c r="J7" s="3">
        <v>0</v>
      </c>
      <c r="K7" s="3">
        <v>800001021</v>
      </c>
      <c r="L7" s="3">
        <v>800001021</v>
      </c>
      <c r="M7" s="3">
        <v>1</v>
      </c>
      <c r="N7" s="13">
        <v>3</v>
      </c>
      <c r="O7" s="3">
        <v>2</v>
      </c>
      <c r="P7" s="3">
        <v>8</v>
      </c>
      <c r="Q7" s="3">
        <v>0</v>
      </c>
      <c r="R7" s="3">
        <v>25</v>
      </c>
      <c r="S7" s="3">
        <v>-5000</v>
      </c>
      <c r="T7" s="3">
        <v>1</v>
      </c>
      <c r="U7" s="3">
        <v>0</v>
      </c>
      <c r="V7" s="3" t="s">
        <v>82</v>
      </c>
      <c r="W7" s="3" t="s">
        <v>82</v>
      </c>
      <c r="X7" s="3" t="s">
        <v>82</v>
      </c>
      <c r="Y7" s="16">
        <v>20010001</v>
      </c>
      <c r="Z7" s="16">
        <v>0</v>
      </c>
      <c r="AA7" s="3">
        <v>1</v>
      </c>
      <c r="AB7" s="8" t="s">
        <v>83</v>
      </c>
      <c r="AC7" s="3">
        <v>10000</v>
      </c>
      <c r="AD7" s="3">
        <v>10000</v>
      </c>
      <c r="AE7" s="3">
        <v>0</v>
      </c>
      <c r="AF7" s="8">
        <v>40</v>
      </c>
      <c r="AG7" s="8">
        <v>0</v>
      </c>
      <c r="AH7" s="8">
        <v>0</v>
      </c>
      <c r="AI7" s="8">
        <v>0</v>
      </c>
      <c r="AJ7" s="8">
        <v>0</v>
      </c>
    </row>
    <row r="8" spans="1:36">
      <c r="A8" s="3">
        <v>10303</v>
      </c>
      <c r="B8" s="3">
        <v>1</v>
      </c>
      <c r="C8" s="3" t="s">
        <v>86</v>
      </c>
      <c r="D8" s="3"/>
      <c r="F8" s="3"/>
      <c r="G8" s="3">
        <v>1</v>
      </c>
      <c r="H8" s="3">
        <v>2</v>
      </c>
      <c r="I8" s="25" t="s">
        <v>81</v>
      </c>
      <c r="J8" s="3">
        <v>0</v>
      </c>
      <c r="K8" s="3">
        <v>800001021</v>
      </c>
      <c r="L8" s="3">
        <v>800001021</v>
      </c>
      <c r="M8" s="3">
        <v>1</v>
      </c>
      <c r="N8" s="13">
        <v>4</v>
      </c>
      <c r="O8" s="3">
        <v>2</v>
      </c>
      <c r="P8" s="3">
        <v>8</v>
      </c>
      <c r="Q8" s="3">
        <v>0</v>
      </c>
      <c r="R8" s="3">
        <v>25</v>
      </c>
      <c r="S8" s="3">
        <v>-5000</v>
      </c>
      <c r="T8" s="3">
        <v>1</v>
      </c>
      <c r="U8" s="3">
        <v>0</v>
      </c>
      <c r="V8" s="3" t="s">
        <v>82</v>
      </c>
      <c r="W8" s="3" t="s">
        <v>82</v>
      </c>
      <c r="X8" s="3" t="s">
        <v>82</v>
      </c>
      <c r="Y8" s="16">
        <v>20010001</v>
      </c>
      <c r="Z8" s="16">
        <v>0</v>
      </c>
      <c r="AA8" s="3">
        <v>1</v>
      </c>
      <c r="AB8" s="8" t="s">
        <v>83</v>
      </c>
      <c r="AC8" s="3">
        <v>10000</v>
      </c>
      <c r="AD8" s="3">
        <v>10000</v>
      </c>
      <c r="AE8" s="3">
        <v>0</v>
      </c>
      <c r="AF8" s="8">
        <v>40</v>
      </c>
      <c r="AG8" s="8">
        <v>0</v>
      </c>
      <c r="AH8" s="8">
        <v>0</v>
      </c>
      <c r="AI8" s="8">
        <v>0</v>
      </c>
      <c r="AJ8" s="8">
        <v>0</v>
      </c>
    </row>
    <row r="9" spans="1:36">
      <c r="A9" s="3">
        <v>10304</v>
      </c>
      <c r="B9" s="3">
        <v>1</v>
      </c>
      <c r="C9" s="3" t="s">
        <v>87</v>
      </c>
      <c r="D9" s="3"/>
      <c r="F9" s="3"/>
      <c r="G9" s="3">
        <v>1</v>
      </c>
      <c r="H9" s="3">
        <v>2</v>
      </c>
      <c r="I9" s="25" t="s">
        <v>81</v>
      </c>
      <c r="J9" s="3">
        <v>0</v>
      </c>
      <c r="K9" s="3">
        <v>800001021</v>
      </c>
      <c r="L9" s="3">
        <v>800001021</v>
      </c>
      <c r="M9" s="3">
        <v>1</v>
      </c>
      <c r="N9" s="13">
        <v>4</v>
      </c>
      <c r="O9" s="3">
        <v>2</v>
      </c>
      <c r="P9" s="3">
        <v>8</v>
      </c>
      <c r="Q9" s="3">
        <v>0</v>
      </c>
      <c r="R9" s="3">
        <v>25</v>
      </c>
      <c r="S9" s="3">
        <v>-5000</v>
      </c>
      <c r="T9" s="3">
        <v>1</v>
      </c>
      <c r="U9" s="3">
        <v>0</v>
      </c>
      <c r="V9" s="3" t="s">
        <v>82</v>
      </c>
      <c r="W9" s="3" t="s">
        <v>82</v>
      </c>
      <c r="X9" s="3" t="s">
        <v>82</v>
      </c>
      <c r="Y9" s="16">
        <v>20010001</v>
      </c>
      <c r="Z9" s="16">
        <v>0</v>
      </c>
      <c r="AA9" s="3">
        <v>1</v>
      </c>
      <c r="AB9" s="8" t="s">
        <v>83</v>
      </c>
      <c r="AC9" s="3">
        <v>10000</v>
      </c>
      <c r="AD9" s="3">
        <v>10000</v>
      </c>
      <c r="AE9" s="3">
        <v>0</v>
      </c>
      <c r="AF9" s="8">
        <v>40</v>
      </c>
      <c r="AG9" s="8">
        <v>0</v>
      </c>
      <c r="AH9" s="8">
        <v>0</v>
      </c>
      <c r="AI9" s="8">
        <v>0</v>
      </c>
      <c r="AJ9" s="8">
        <v>0</v>
      </c>
    </row>
    <row r="10" spans="1:36">
      <c r="A10" s="3">
        <v>10305</v>
      </c>
      <c r="B10" s="3">
        <v>1</v>
      </c>
      <c r="C10" s="3" t="s">
        <v>88</v>
      </c>
      <c r="D10" s="3"/>
      <c r="F10" s="3"/>
      <c r="G10" s="3">
        <v>1</v>
      </c>
      <c r="H10" s="3">
        <v>2</v>
      </c>
      <c r="I10" s="25" t="s">
        <v>81</v>
      </c>
      <c r="J10" s="3">
        <v>0</v>
      </c>
      <c r="K10" s="3">
        <v>800001021</v>
      </c>
      <c r="L10" s="3">
        <v>800001021</v>
      </c>
      <c r="M10" s="3">
        <v>1</v>
      </c>
      <c r="N10" s="13">
        <v>13</v>
      </c>
      <c r="O10" s="3">
        <v>2</v>
      </c>
      <c r="P10" s="3">
        <v>8</v>
      </c>
      <c r="Q10" s="3">
        <v>0</v>
      </c>
      <c r="R10" s="3">
        <v>25</v>
      </c>
      <c r="S10" s="3">
        <v>-5000</v>
      </c>
      <c r="T10" s="3">
        <v>1</v>
      </c>
      <c r="U10" s="3">
        <v>0</v>
      </c>
      <c r="V10" s="3" t="s">
        <v>82</v>
      </c>
      <c r="W10" s="3" t="s">
        <v>82</v>
      </c>
      <c r="X10" s="3" t="s">
        <v>82</v>
      </c>
      <c r="Y10" s="16">
        <v>20010001</v>
      </c>
      <c r="Z10" s="16">
        <v>0</v>
      </c>
      <c r="AA10" s="3">
        <v>1</v>
      </c>
      <c r="AB10" s="8" t="s">
        <v>83</v>
      </c>
      <c r="AC10" s="3">
        <v>10000</v>
      </c>
      <c r="AD10" s="3">
        <v>10000</v>
      </c>
      <c r="AE10" s="3">
        <v>0</v>
      </c>
      <c r="AF10" s="8">
        <v>40</v>
      </c>
      <c r="AG10" s="8">
        <v>0</v>
      </c>
      <c r="AH10" s="8">
        <v>0</v>
      </c>
      <c r="AI10" s="8">
        <v>0</v>
      </c>
      <c r="AJ10" s="8">
        <v>0</v>
      </c>
    </row>
    <row r="11" spans="1:36">
      <c r="A11" s="3">
        <v>10306</v>
      </c>
      <c r="B11" s="3">
        <v>1</v>
      </c>
      <c r="C11" s="3" t="s">
        <v>89</v>
      </c>
      <c r="D11" s="3"/>
      <c r="F11" s="3"/>
      <c r="G11" s="3">
        <v>1</v>
      </c>
      <c r="H11" s="3">
        <v>2</v>
      </c>
      <c r="I11" s="25" t="s">
        <v>81</v>
      </c>
      <c r="J11" s="3">
        <v>0</v>
      </c>
      <c r="K11" s="3">
        <v>800001021</v>
      </c>
      <c r="L11" s="3">
        <v>800001021</v>
      </c>
      <c r="M11" s="3">
        <v>1</v>
      </c>
      <c r="N11" s="13">
        <v>15</v>
      </c>
      <c r="O11" s="3">
        <v>2</v>
      </c>
      <c r="P11" s="3">
        <v>8</v>
      </c>
      <c r="Q11" s="3">
        <v>0</v>
      </c>
      <c r="R11" s="3">
        <v>25</v>
      </c>
      <c r="S11" s="3">
        <v>-5000</v>
      </c>
      <c r="T11" s="3">
        <v>1</v>
      </c>
      <c r="U11" s="3">
        <v>0</v>
      </c>
      <c r="V11" s="3" t="s">
        <v>82</v>
      </c>
      <c r="W11" s="3" t="s">
        <v>82</v>
      </c>
      <c r="X11" s="3" t="s">
        <v>82</v>
      </c>
      <c r="Y11" s="16">
        <v>20010001</v>
      </c>
      <c r="Z11" s="16">
        <v>0</v>
      </c>
      <c r="AA11" s="3">
        <v>1</v>
      </c>
      <c r="AB11" s="8" t="s">
        <v>83</v>
      </c>
      <c r="AC11" s="3">
        <v>10000</v>
      </c>
      <c r="AD11" s="3">
        <v>10000</v>
      </c>
      <c r="AE11" s="3">
        <v>0</v>
      </c>
      <c r="AF11" s="8">
        <v>40</v>
      </c>
      <c r="AG11" s="8">
        <v>0</v>
      </c>
      <c r="AH11" s="8">
        <v>0</v>
      </c>
      <c r="AI11" s="8">
        <v>0</v>
      </c>
      <c r="AJ11" s="8">
        <v>0</v>
      </c>
    </row>
    <row r="12" spans="1:36">
      <c r="A12" s="3">
        <v>10307</v>
      </c>
      <c r="B12" s="3">
        <v>1</v>
      </c>
      <c r="C12" s="3" t="s">
        <v>90</v>
      </c>
      <c r="D12" s="3"/>
      <c r="F12" s="3"/>
      <c r="G12" s="3">
        <v>1</v>
      </c>
      <c r="H12" s="3">
        <v>2</v>
      </c>
      <c r="I12" s="25" t="s">
        <v>81</v>
      </c>
      <c r="J12" s="3">
        <v>0</v>
      </c>
      <c r="K12" s="3">
        <v>800001021</v>
      </c>
      <c r="L12" s="3">
        <v>800001021</v>
      </c>
      <c r="M12" s="3">
        <v>1</v>
      </c>
      <c r="N12" s="13">
        <v>35</v>
      </c>
      <c r="O12" s="3">
        <v>2</v>
      </c>
      <c r="P12" s="3">
        <v>8</v>
      </c>
      <c r="Q12" s="3">
        <v>0</v>
      </c>
      <c r="R12" s="3">
        <v>25</v>
      </c>
      <c r="S12" s="3">
        <v>-5000</v>
      </c>
      <c r="T12" s="3">
        <v>1</v>
      </c>
      <c r="U12" s="3">
        <v>0</v>
      </c>
      <c r="V12" s="3" t="s">
        <v>82</v>
      </c>
      <c r="W12" s="3" t="s">
        <v>82</v>
      </c>
      <c r="X12" s="3" t="s">
        <v>82</v>
      </c>
      <c r="Y12" s="16">
        <v>20010001</v>
      </c>
      <c r="Z12" s="16">
        <v>0</v>
      </c>
      <c r="AA12" s="3">
        <v>1</v>
      </c>
      <c r="AB12" s="8" t="s">
        <v>83</v>
      </c>
      <c r="AC12" s="3">
        <v>10000</v>
      </c>
      <c r="AD12" s="3">
        <v>10000</v>
      </c>
      <c r="AE12" s="3">
        <v>0</v>
      </c>
      <c r="AF12" s="8">
        <v>40</v>
      </c>
      <c r="AG12" s="8">
        <v>0</v>
      </c>
      <c r="AH12" s="8">
        <v>0</v>
      </c>
      <c r="AI12" s="8">
        <v>0</v>
      </c>
      <c r="AJ12" s="8">
        <v>0</v>
      </c>
    </row>
    <row r="13" spans="1:36">
      <c r="A13" s="3">
        <v>10308</v>
      </c>
      <c r="B13" s="3">
        <v>1</v>
      </c>
      <c r="C13" s="3" t="s">
        <v>91</v>
      </c>
      <c r="D13" s="3"/>
      <c r="F13" s="3"/>
      <c r="G13" s="3">
        <v>1</v>
      </c>
      <c r="H13" s="3">
        <v>2</v>
      </c>
      <c r="I13" s="25" t="s">
        <v>81</v>
      </c>
      <c r="J13" s="3">
        <v>0</v>
      </c>
      <c r="K13" s="3">
        <v>800001021</v>
      </c>
      <c r="L13" s="3">
        <v>800001021</v>
      </c>
      <c r="M13" s="3">
        <v>1</v>
      </c>
      <c r="N13" s="13">
        <v>40</v>
      </c>
      <c r="O13" s="3">
        <v>2</v>
      </c>
      <c r="P13" s="3">
        <v>8</v>
      </c>
      <c r="Q13" s="3">
        <v>0</v>
      </c>
      <c r="R13" s="3">
        <v>25</v>
      </c>
      <c r="S13" s="3">
        <v>-5000</v>
      </c>
      <c r="T13" s="3">
        <v>1</v>
      </c>
      <c r="U13" s="3">
        <v>0</v>
      </c>
      <c r="V13" s="3" t="s">
        <v>82</v>
      </c>
      <c r="W13" s="3" t="s">
        <v>82</v>
      </c>
      <c r="X13" s="3" t="s">
        <v>82</v>
      </c>
      <c r="Y13" s="16">
        <v>20010001</v>
      </c>
      <c r="Z13" s="16">
        <v>0</v>
      </c>
      <c r="AA13" s="3">
        <v>1</v>
      </c>
      <c r="AB13" s="8" t="s">
        <v>83</v>
      </c>
      <c r="AC13" s="3">
        <v>10000</v>
      </c>
      <c r="AD13" s="3">
        <v>10000</v>
      </c>
      <c r="AE13" s="3">
        <v>0</v>
      </c>
      <c r="AF13" s="8">
        <v>40</v>
      </c>
      <c r="AG13" s="8">
        <v>0</v>
      </c>
      <c r="AH13" s="8">
        <v>0</v>
      </c>
      <c r="AI13" s="8">
        <v>0</v>
      </c>
      <c r="AJ13" s="8">
        <v>0</v>
      </c>
    </row>
    <row r="14" spans="1:36">
      <c r="A14" s="3">
        <v>10309</v>
      </c>
      <c r="B14" s="3">
        <v>1</v>
      </c>
      <c r="C14" s="3" t="s">
        <v>92</v>
      </c>
      <c r="D14" s="3"/>
      <c r="F14" s="3"/>
      <c r="G14" s="3">
        <v>1</v>
      </c>
      <c r="H14" s="3">
        <v>2</v>
      </c>
      <c r="I14" s="25" t="s">
        <v>81</v>
      </c>
      <c r="J14" s="3">
        <v>0</v>
      </c>
      <c r="K14" s="3">
        <v>800001021</v>
      </c>
      <c r="L14" s="3">
        <v>800001021</v>
      </c>
      <c r="M14" s="3">
        <v>1</v>
      </c>
      <c r="N14" s="13">
        <v>90</v>
      </c>
      <c r="O14" s="3">
        <v>2</v>
      </c>
      <c r="P14" s="3">
        <v>8</v>
      </c>
      <c r="Q14" s="3">
        <v>0</v>
      </c>
      <c r="R14" s="3">
        <v>25</v>
      </c>
      <c r="S14" s="3">
        <v>-5000</v>
      </c>
      <c r="T14" s="3">
        <v>1</v>
      </c>
      <c r="U14" s="3">
        <v>0</v>
      </c>
      <c r="V14" s="3" t="s">
        <v>82</v>
      </c>
      <c r="W14" s="3" t="s">
        <v>82</v>
      </c>
      <c r="X14" s="3" t="s">
        <v>82</v>
      </c>
      <c r="Y14" s="16">
        <v>20010001</v>
      </c>
      <c r="Z14" s="16">
        <v>0</v>
      </c>
      <c r="AA14" s="3">
        <v>1</v>
      </c>
      <c r="AB14" s="8" t="s">
        <v>83</v>
      </c>
      <c r="AC14" s="3">
        <v>10000</v>
      </c>
      <c r="AD14" s="3">
        <v>10000</v>
      </c>
      <c r="AE14" s="3">
        <v>0</v>
      </c>
      <c r="AF14" s="8">
        <v>40</v>
      </c>
      <c r="AG14" s="8">
        <v>0</v>
      </c>
      <c r="AH14" s="8">
        <v>0</v>
      </c>
      <c r="AI14" s="8">
        <v>0</v>
      </c>
      <c r="AJ14" s="8">
        <v>0</v>
      </c>
    </row>
    <row r="15" spans="1:36">
      <c r="A15" s="3">
        <v>10310</v>
      </c>
      <c r="B15" s="3">
        <v>1</v>
      </c>
      <c r="C15" s="3" t="s">
        <v>93</v>
      </c>
      <c r="D15" s="3"/>
      <c r="F15" s="3"/>
      <c r="G15" s="3">
        <v>1</v>
      </c>
      <c r="H15" s="3">
        <v>2</v>
      </c>
      <c r="I15" s="25" t="s">
        <v>81</v>
      </c>
      <c r="J15" s="3">
        <v>0</v>
      </c>
      <c r="K15" s="3">
        <v>800001021</v>
      </c>
      <c r="L15" s="3">
        <v>800001021</v>
      </c>
      <c r="M15" s="3">
        <v>1</v>
      </c>
      <c r="N15" s="13">
        <v>100</v>
      </c>
      <c r="O15" s="3">
        <v>2</v>
      </c>
      <c r="P15" s="3">
        <v>8</v>
      </c>
      <c r="Q15" s="3">
        <v>0</v>
      </c>
      <c r="R15" s="3">
        <v>25</v>
      </c>
      <c r="S15" s="3">
        <v>-5000</v>
      </c>
      <c r="T15" s="3">
        <v>1</v>
      </c>
      <c r="U15" s="3">
        <v>0</v>
      </c>
      <c r="V15" s="3" t="s">
        <v>82</v>
      </c>
      <c r="W15" s="3" t="s">
        <v>82</v>
      </c>
      <c r="X15" s="3" t="s">
        <v>82</v>
      </c>
      <c r="Y15" s="16">
        <v>20010001</v>
      </c>
      <c r="Z15" s="16">
        <v>0</v>
      </c>
      <c r="AA15" s="3">
        <v>1</v>
      </c>
      <c r="AB15" s="8" t="s">
        <v>83</v>
      </c>
      <c r="AC15" s="3">
        <v>10000</v>
      </c>
      <c r="AD15" s="3">
        <v>10000</v>
      </c>
      <c r="AE15" s="3">
        <v>0</v>
      </c>
      <c r="AF15" s="8">
        <v>40</v>
      </c>
      <c r="AG15" s="8">
        <v>0</v>
      </c>
      <c r="AH15" s="8">
        <v>0</v>
      </c>
      <c r="AI15" s="8">
        <v>0</v>
      </c>
      <c r="AJ15" s="8">
        <v>0</v>
      </c>
    </row>
    <row r="16" spans="1:36">
      <c r="A16" s="3">
        <v>10401</v>
      </c>
      <c r="B16" s="3">
        <v>1</v>
      </c>
      <c r="C16" s="3" t="s">
        <v>94</v>
      </c>
      <c r="D16" s="3"/>
      <c r="F16" s="3"/>
      <c r="G16" s="3">
        <v>1</v>
      </c>
      <c r="H16" s="3">
        <v>2</v>
      </c>
      <c r="I16" s="25" t="s">
        <v>81</v>
      </c>
      <c r="J16" s="3">
        <v>0</v>
      </c>
      <c r="K16" s="3">
        <v>800001021</v>
      </c>
      <c r="L16" s="3">
        <v>800001021</v>
      </c>
      <c r="M16" s="3">
        <v>1</v>
      </c>
      <c r="N16" s="3">
        <v>100</v>
      </c>
      <c r="O16" s="3">
        <v>2</v>
      </c>
      <c r="P16" s="3">
        <v>8</v>
      </c>
      <c r="Q16" s="3">
        <v>0</v>
      </c>
      <c r="R16" s="3">
        <v>25</v>
      </c>
      <c r="S16" s="3">
        <v>-5000</v>
      </c>
      <c r="T16" s="3">
        <v>1</v>
      </c>
      <c r="U16" s="3">
        <v>0</v>
      </c>
      <c r="V16" s="3" t="s">
        <v>82</v>
      </c>
      <c r="W16" s="3" t="s">
        <v>82</v>
      </c>
      <c r="X16" s="3" t="s">
        <v>82</v>
      </c>
      <c r="Y16" s="16">
        <v>20010001</v>
      </c>
      <c r="Z16" s="16">
        <v>0</v>
      </c>
      <c r="AA16" s="3">
        <v>1</v>
      </c>
      <c r="AB16" s="8" t="s">
        <v>95</v>
      </c>
      <c r="AC16" s="3">
        <v>10000</v>
      </c>
      <c r="AD16" s="3">
        <v>10000</v>
      </c>
      <c r="AE16" s="3">
        <v>0</v>
      </c>
      <c r="AF16" s="8">
        <v>40</v>
      </c>
      <c r="AG16" s="8">
        <v>0</v>
      </c>
      <c r="AH16" s="8">
        <v>0</v>
      </c>
      <c r="AI16" s="8">
        <v>0</v>
      </c>
      <c r="AJ16" s="8">
        <v>0</v>
      </c>
    </row>
    <row r="17" spans="1:36">
      <c r="A17" s="3">
        <v>10402</v>
      </c>
      <c r="B17" s="3">
        <v>1</v>
      </c>
      <c r="C17" s="3" t="s">
        <v>94</v>
      </c>
      <c r="D17" s="3"/>
      <c r="F17" s="3"/>
      <c r="G17" s="3">
        <v>1</v>
      </c>
      <c r="H17" s="3">
        <v>2</v>
      </c>
      <c r="I17" s="25" t="s">
        <v>81</v>
      </c>
      <c r="J17" s="3">
        <v>0</v>
      </c>
      <c r="K17" s="3">
        <v>800001021</v>
      </c>
      <c r="L17" s="3">
        <v>800001021</v>
      </c>
      <c r="M17" s="3">
        <v>1</v>
      </c>
      <c r="N17" s="3">
        <v>100</v>
      </c>
      <c r="O17" s="3">
        <v>2</v>
      </c>
      <c r="P17" s="3">
        <v>8</v>
      </c>
      <c r="Q17" s="3">
        <v>0</v>
      </c>
      <c r="R17" s="3">
        <v>25</v>
      </c>
      <c r="S17" s="3">
        <v>-5000</v>
      </c>
      <c r="T17" s="3">
        <v>1</v>
      </c>
      <c r="U17" s="3">
        <v>0</v>
      </c>
      <c r="V17" s="3" t="s">
        <v>82</v>
      </c>
      <c r="W17" s="3" t="s">
        <v>82</v>
      </c>
      <c r="X17" s="3" t="s">
        <v>82</v>
      </c>
      <c r="Y17" s="16">
        <v>20010001</v>
      </c>
      <c r="Z17" s="16">
        <v>0</v>
      </c>
      <c r="AA17" s="3">
        <v>1</v>
      </c>
      <c r="AB17" s="8" t="s">
        <v>95</v>
      </c>
      <c r="AC17" s="3">
        <v>10000</v>
      </c>
      <c r="AD17" s="3">
        <v>10000</v>
      </c>
      <c r="AE17" s="3">
        <v>0</v>
      </c>
      <c r="AF17" s="8">
        <v>40</v>
      </c>
      <c r="AG17" s="8">
        <v>0</v>
      </c>
      <c r="AH17" s="8">
        <v>0</v>
      </c>
      <c r="AI17" s="8">
        <v>0</v>
      </c>
      <c r="AJ17" s="8">
        <v>0</v>
      </c>
    </row>
    <row r="18" spans="1:36">
      <c r="A18" s="3">
        <v>10403</v>
      </c>
      <c r="B18" s="3">
        <v>1</v>
      </c>
      <c r="C18" s="3" t="s">
        <v>94</v>
      </c>
      <c r="D18" s="3"/>
      <c r="F18" s="3"/>
      <c r="G18" s="3">
        <v>1</v>
      </c>
      <c r="H18" s="3">
        <v>2</v>
      </c>
      <c r="I18" s="25" t="s">
        <v>81</v>
      </c>
      <c r="J18" s="3">
        <v>0</v>
      </c>
      <c r="K18" s="3">
        <v>800001021</v>
      </c>
      <c r="L18" s="3">
        <v>800001021</v>
      </c>
      <c r="M18" s="3">
        <v>1</v>
      </c>
      <c r="N18" s="3">
        <v>100</v>
      </c>
      <c r="O18" s="3">
        <v>2</v>
      </c>
      <c r="P18" s="3">
        <v>8</v>
      </c>
      <c r="Q18" s="3">
        <v>0</v>
      </c>
      <c r="R18" s="3">
        <v>25</v>
      </c>
      <c r="S18" s="3">
        <v>-5000</v>
      </c>
      <c r="T18" s="3">
        <v>1</v>
      </c>
      <c r="U18" s="3">
        <v>0</v>
      </c>
      <c r="V18" s="3" t="s">
        <v>82</v>
      </c>
      <c r="W18" s="3" t="s">
        <v>82</v>
      </c>
      <c r="X18" s="3" t="s">
        <v>82</v>
      </c>
      <c r="Y18" s="16">
        <v>20010001</v>
      </c>
      <c r="Z18" s="16">
        <v>0</v>
      </c>
      <c r="AA18" s="3">
        <v>1</v>
      </c>
      <c r="AB18" s="8" t="s">
        <v>95</v>
      </c>
      <c r="AC18" s="3">
        <v>10000</v>
      </c>
      <c r="AD18" s="3">
        <v>10000</v>
      </c>
      <c r="AE18" s="3">
        <v>0</v>
      </c>
      <c r="AF18" s="8">
        <v>40</v>
      </c>
      <c r="AG18" s="8">
        <v>0</v>
      </c>
      <c r="AH18" s="8">
        <v>0</v>
      </c>
      <c r="AI18" s="8">
        <v>0</v>
      </c>
      <c r="AJ18" s="8">
        <v>0</v>
      </c>
    </row>
    <row r="19" spans="1:36">
      <c r="A19" s="3">
        <v>20201</v>
      </c>
      <c r="B19" s="3">
        <v>2</v>
      </c>
      <c r="C19" s="3" t="s">
        <v>80</v>
      </c>
      <c r="D19" s="3"/>
      <c r="F19" s="3"/>
      <c r="G19" s="3">
        <v>2</v>
      </c>
      <c r="H19" s="3">
        <v>2</v>
      </c>
      <c r="I19" s="25" t="s">
        <v>81</v>
      </c>
      <c r="J19" s="3">
        <v>0</v>
      </c>
      <c r="K19" s="3" t="s">
        <v>96</v>
      </c>
      <c r="L19" s="3">
        <v>800001021</v>
      </c>
      <c r="M19" s="3">
        <v>2</v>
      </c>
      <c r="N19" s="13">
        <v>240</v>
      </c>
      <c r="O19" s="3">
        <v>1</v>
      </c>
      <c r="P19" s="3">
        <v>12</v>
      </c>
      <c r="Q19" s="3">
        <v>0</v>
      </c>
      <c r="R19" s="3">
        <v>36</v>
      </c>
      <c r="S19" s="3">
        <v>-5000</v>
      </c>
      <c r="T19" s="3">
        <v>1</v>
      </c>
      <c r="U19" s="3">
        <v>80</v>
      </c>
      <c r="V19" s="3" t="s">
        <v>82</v>
      </c>
      <c r="W19" s="3" t="s">
        <v>82</v>
      </c>
      <c r="X19" s="3" t="s">
        <v>97</v>
      </c>
      <c r="Y19" s="16">
        <v>20010001</v>
      </c>
      <c r="Z19" s="16">
        <v>0</v>
      </c>
      <c r="AA19" s="3">
        <v>1</v>
      </c>
      <c r="AB19" s="8" t="s">
        <v>83</v>
      </c>
      <c r="AC19" s="3">
        <v>10000</v>
      </c>
      <c r="AD19" s="3">
        <v>10000</v>
      </c>
      <c r="AE19" s="3">
        <v>25010001</v>
      </c>
      <c r="AF19" s="8">
        <v>40</v>
      </c>
      <c r="AG19" s="8">
        <v>0</v>
      </c>
      <c r="AH19" s="8">
        <v>0</v>
      </c>
      <c r="AI19" s="8">
        <v>0</v>
      </c>
      <c r="AJ19" s="8">
        <v>0</v>
      </c>
    </row>
    <row r="20" spans="1:36">
      <c r="A20" s="3">
        <v>20301</v>
      </c>
      <c r="B20" s="3">
        <v>2</v>
      </c>
      <c r="C20" s="3" t="s">
        <v>84</v>
      </c>
      <c r="D20" s="3"/>
      <c r="F20" s="3"/>
      <c r="G20" s="3">
        <v>2</v>
      </c>
      <c r="H20" s="3">
        <v>2</v>
      </c>
      <c r="I20" s="25" t="s">
        <v>81</v>
      </c>
      <c r="J20" s="3">
        <v>0</v>
      </c>
      <c r="K20" s="3" t="s">
        <v>98</v>
      </c>
      <c r="L20" s="3">
        <v>800001021</v>
      </c>
      <c r="M20" s="3">
        <v>2</v>
      </c>
      <c r="N20" s="13">
        <v>300</v>
      </c>
      <c r="O20" s="3">
        <v>2</v>
      </c>
      <c r="P20" s="3">
        <v>13</v>
      </c>
      <c r="Q20" s="3">
        <v>0</v>
      </c>
      <c r="R20" s="3">
        <v>40</v>
      </c>
      <c r="S20" s="3">
        <v>-5000</v>
      </c>
      <c r="T20" s="3">
        <v>1</v>
      </c>
      <c r="U20" s="3">
        <v>80</v>
      </c>
      <c r="V20" s="3" t="s">
        <v>82</v>
      </c>
      <c r="W20" s="3" t="s">
        <v>82</v>
      </c>
      <c r="X20" s="3" t="s">
        <v>97</v>
      </c>
      <c r="Y20" s="16">
        <v>20010001</v>
      </c>
      <c r="Z20" s="16">
        <v>0</v>
      </c>
      <c r="AA20" s="3">
        <v>1</v>
      </c>
      <c r="AB20" s="8" t="s">
        <v>83</v>
      </c>
      <c r="AC20" s="3">
        <v>10000</v>
      </c>
      <c r="AD20" s="3">
        <v>10000</v>
      </c>
      <c r="AE20" s="3">
        <v>25010001</v>
      </c>
      <c r="AF20" s="8">
        <v>40</v>
      </c>
      <c r="AG20" s="8">
        <v>0</v>
      </c>
      <c r="AH20" s="8">
        <v>0</v>
      </c>
      <c r="AI20" s="8">
        <v>0</v>
      </c>
      <c r="AJ20" s="8">
        <v>0</v>
      </c>
    </row>
    <row r="21" spans="1:36">
      <c r="A21" s="3">
        <v>20302</v>
      </c>
      <c r="B21" s="3">
        <v>2</v>
      </c>
      <c r="C21" s="3" t="s">
        <v>85</v>
      </c>
      <c r="D21" s="3"/>
      <c r="F21" s="3"/>
      <c r="G21" s="3">
        <v>2</v>
      </c>
      <c r="H21" s="3">
        <v>2</v>
      </c>
      <c r="I21" s="25" t="s">
        <v>81</v>
      </c>
      <c r="J21" s="3">
        <v>0</v>
      </c>
      <c r="K21" s="3" t="s">
        <v>99</v>
      </c>
      <c r="L21" s="3">
        <v>800001021</v>
      </c>
      <c r="M21" s="3">
        <v>2</v>
      </c>
      <c r="N21" s="13">
        <v>700</v>
      </c>
      <c r="O21" s="3">
        <v>2</v>
      </c>
      <c r="P21" s="3">
        <v>14</v>
      </c>
      <c r="Q21" s="3">
        <v>0</v>
      </c>
      <c r="R21" s="3">
        <v>44</v>
      </c>
      <c r="S21" s="3">
        <v>-5000</v>
      </c>
      <c r="T21" s="3">
        <v>1</v>
      </c>
      <c r="U21" s="3">
        <v>80</v>
      </c>
      <c r="V21" s="3" t="s">
        <v>82</v>
      </c>
      <c r="W21" s="3" t="s">
        <v>82</v>
      </c>
      <c r="X21" s="3" t="s">
        <v>97</v>
      </c>
      <c r="Y21" s="16">
        <v>20010001</v>
      </c>
      <c r="Z21" s="16">
        <v>0</v>
      </c>
      <c r="AA21" s="3">
        <v>1</v>
      </c>
      <c r="AB21" s="8" t="s">
        <v>83</v>
      </c>
      <c r="AC21" s="3">
        <v>10000</v>
      </c>
      <c r="AD21" s="3">
        <v>10000</v>
      </c>
      <c r="AE21" s="3">
        <v>25010001</v>
      </c>
      <c r="AF21" s="8">
        <v>40</v>
      </c>
      <c r="AG21" s="8">
        <v>0</v>
      </c>
      <c r="AH21" s="8">
        <v>0</v>
      </c>
      <c r="AI21" s="8">
        <v>0</v>
      </c>
      <c r="AJ21" s="8">
        <v>0</v>
      </c>
    </row>
    <row r="22" spans="1:36">
      <c r="A22" s="3">
        <v>20303</v>
      </c>
      <c r="B22" s="3">
        <v>2</v>
      </c>
      <c r="C22" s="3" t="s">
        <v>86</v>
      </c>
      <c r="D22" s="3"/>
      <c r="F22" s="3"/>
      <c r="G22" s="3">
        <v>2</v>
      </c>
      <c r="H22" s="3">
        <v>2</v>
      </c>
      <c r="I22" s="25" t="s">
        <v>81</v>
      </c>
      <c r="J22" s="3">
        <v>0</v>
      </c>
      <c r="K22" s="3" t="s">
        <v>100</v>
      </c>
      <c r="L22" s="3">
        <v>800001021</v>
      </c>
      <c r="M22" s="3">
        <v>2</v>
      </c>
      <c r="N22" s="13">
        <v>800</v>
      </c>
      <c r="O22" s="3">
        <v>2</v>
      </c>
      <c r="P22" s="3">
        <v>11</v>
      </c>
      <c r="Q22" s="3">
        <v>0</v>
      </c>
      <c r="R22" s="3">
        <v>45</v>
      </c>
      <c r="S22" s="3">
        <v>-5000</v>
      </c>
      <c r="T22" s="3">
        <v>1</v>
      </c>
      <c r="U22" s="3">
        <v>100</v>
      </c>
      <c r="V22" s="3" t="s">
        <v>82</v>
      </c>
      <c r="W22" s="3" t="s">
        <v>82</v>
      </c>
      <c r="X22" s="3" t="s">
        <v>97</v>
      </c>
      <c r="Y22" s="16">
        <v>20010001</v>
      </c>
      <c r="Z22" s="16">
        <v>0</v>
      </c>
      <c r="AA22" s="3">
        <v>1</v>
      </c>
      <c r="AB22" s="8" t="s">
        <v>83</v>
      </c>
      <c r="AC22" s="3">
        <v>10000</v>
      </c>
      <c r="AD22" s="3">
        <v>10000</v>
      </c>
      <c r="AE22" s="3">
        <v>25010001</v>
      </c>
      <c r="AF22" s="8">
        <v>40</v>
      </c>
      <c r="AG22" s="8">
        <v>0</v>
      </c>
      <c r="AH22" s="8">
        <v>0</v>
      </c>
      <c r="AI22" s="8">
        <v>0</v>
      </c>
      <c r="AJ22" s="8">
        <v>0</v>
      </c>
    </row>
    <row r="23" spans="1:36">
      <c r="A23" s="3">
        <v>20304</v>
      </c>
      <c r="B23" s="3">
        <v>2</v>
      </c>
      <c r="C23" s="3" t="s">
        <v>87</v>
      </c>
      <c r="D23" s="3"/>
      <c r="F23" s="3"/>
      <c r="G23" s="3">
        <v>2</v>
      </c>
      <c r="H23" s="3">
        <v>2</v>
      </c>
      <c r="I23" s="25" t="s">
        <v>81</v>
      </c>
      <c r="J23" s="3">
        <v>0</v>
      </c>
      <c r="K23" s="3" t="s">
        <v>101</v>
      </c>
      <c r="L23" s="3">
        <v>800001021</v>
      </c>
      <c r="M23" s="3">
        <v>2</v>
      </c>
      <c r="N23" s="13">
        <v>1500</v>
      </c>
      <c r="O23" s="3">
        <v>2</v>
      </c>
      <c r="P23" s="3">
        <v>12</v>
      </c>
      <c r="Q23" s="3">
        <v>0</v>
      </c>
      <c r="R23" s="3">
        <v>50</v>
      </c>
      <c r="S23" s="3">
        <v>-5000</v>
      </c>
      <c r="T23" s="3">
        <v>1</v>
      </c>
      <c r="U23" s="3">
        <v>100</v>
      </c>
      <c r="V23" s="3" t="s">
        <v>82</v>
      </c>
      <c r="W23" s="3" t="s">
        <v>82</v>
      </c>
      <c r="X23" s="3" t="s">
        <v>97</v>
      </c>
      <c r="Y23" s="16">
        <v>20010001</v>
      </c>
      <c r="Z23" s="16">
        <v>0</v>
      </c>
      <c r="AA23" s="3">
        <v>1</v>
      </c>
      <c r="AB23" s="8" t="s">
        <v>83</v>
      </c>
      <c r="AC23" s="3">
        <v>10000</v>
      </c>
      <c r="AD23" s="3">
        <v>10000</v>
      </c>
      <c r="AE23" s="3">
        <v>25010001</v>
      </c>
      <c r="AF23" s="8">
        <v>40</v>
      </c>
      <c r="AG23" s="8">
        <v>0</v>
      </c>
      <c r="AH23" s="8">
        <v>0</v>
      </c>
      <c r="AI23" s="8">
        <v>0</v>
      </c>
      <c r="AJ23" s="8">
        <v>0</v>
      </c>
    </row>
    <row r="24" spans="1:36">
      <c r="A24" s="3">
        <v>20305</v>
      </c>
      <c r="B24" s="3">
        <v>2</v>
      </c>
      <c r="C24" s="3" t="s">
        <v>88</v>
      </c>
      <c r="D24" s="3"/>
      <c r="F24" s="3"/>
      <c r="G24" s="3">
        <v>2</v>
      </c>
      <c r="H24" s="3">
        <v>2</v>
      </c>
      <c r="I24" s="25" t="s">
        <v>81</v>
      </c>
      <c r="J24" s="3">
        <v>0</v>
      </c>
      <c r="K24" s="3" t="s">
        <v>102</v>
      </c>
      <c r="L24" s="3">
        <v>800001021</v>
      </c>
      <c r="M24" s="3">
        <v>2</v>
      </c>
      <c r="N24" s="13">
        <v>3000</v>
      </c>
      <c r="O24" s="3">
        <v>2</v>
      </c>
      <c r="P24" s="3">
        <v>13</v>
      </c>
      <c r="Q24" s="3">
        <v>0</v>
      </c>
      <c r="R24" s="3">
        <v>55</v>
      </c>
      <c r="S24" s="3">
        <v>-5000</v>
      </c>
      <c r="T24" s="3">
        <v>1</v>
      </c>
      <c r="U24" s="3">
        <v>100</v>
      </c>
      <c r="V24" s="3" t="s">
        <v>82</v>
      </c>
      <c r="W24" s="3" t="s">
        <v>82</v>
      </c>
      <c r="X24" s="3" t="s">
        <v>97</v>
      </c>
      <c r="Y24" s="16">
        <v>20010001</v>
      </c>
      <c r="Z24" s="16">
        <v>0</v>
      </c>
      <c r="AA24" s="3">
        <v>1</v>
      </c>
      <c r="AB24" s="8" t="s">
        <v>83</v>
      </c>
      <c r="AC24" s="3">
        <v>10000</v>
      </c>
      <c r="AD24" s="3">
        <v>10000</v>
      </c>
      <c r="AE24" s="3">
        <v>25010001</v>
      </c>
      <c r="AF24" s="8">
        <v>40</v>
      </c>
      <c r="AG24" s="8">
        <v>0</v>
      </c>
      <c r="AH24" s="8">
        <v>0</v>
      </c>
      <c r="AI24" s="8">
        <v>0</v>
      </c>
      <c r="AJ24" s="8">
        <v>0</v>
      </c>
    </row>
    <row r="25" spans="1:36">
      <c r="A25" s="3">
        <v>20306</v>
      </c>
      <c r="B25" s="3">
        <v>2</v>
      </c>
      <c r="C25" s="3" t="s">
        <v>89</v>
      </c>
      <c r="D25" s="3"/>
      <c r="F25" s="3"/>
      <c r="G25" s="3">
        <v>2</v>
      </c>
      <c r="H25" s="3">
        <v>2</v>
      </c>
      <c r="I25" s="25" t="s">
        <v>81</v>
      </c>
      <c r="J25" s="3">
        <v>0</v>
      </c>
      <c r="K25" s="3" t="s">
        <v>103</v>
      </c>
      <c r="L25" s="3">
        <v>800001021</v>
      </c>
      <c r="M25" s="3">
        <v>2</v>
      </c>
      <c r="N25" s="13">
        <v>4800</v>
      </c>
      <c r="O25" s="3">
        <v>2</v>
      </c>
      <c r="P25" s="3">
        <v>14</v>
      </c>
      <c r="Q25" s="3">
        <v>0</v>
      </c>
      <c r="R25" s="3">
        <v>160</v>
      </c>
      <c r="S25" s="3">
        <v>-5000</v>
      </c>
      <c r="T25" s="3">
        <v>1</v>
      </c>
      <c r="U25" s="3">
        <v>500</v>
      </c>
      <c r="V25" s="3" t="s">
        <v>82</v>
      </c>
      <c r="W25" s="3" t="s">
        <v>82</v>
      </c>
      <c r="X25" s="3" t="s">
        <v>97</v>
      </c>
      <c r="Y25" s="16">
        <v>20010001</v>
      </c>
      <c r="Z25" s="16">
        <v>0</v>
      </c>
      <c r="AA25" s="3">
        <v>1</v>
      </c>
      <c r="AB25" s="8" t="s">
        <v>83</v>
      </c>
      <c r="AC25" s="3">
        <v>10000</v>
      </c>
      <c r="AD25" s="3">
        <v>10000</v>
      </c>
      <c r="AE25" s="3">
        <v>25010001</v>
      </c>
      <c r="AF25" s="8">
        <v>40</v>
      </c>
      <c r="AG25" s="8">
        <v>0</v>
      </c>
      <c r="AH25" s="8">
        <v>0</v>
      </c>
      <c r="AI25" s="8">
        <v>0</v>
      </c>
      <c r="AJ25" s="8">
        <v>0</v>
      </c>
    </row>
    <row r="26" spans="1:36">
      <c r="A26" s="3">
        <v>20307</v>
      </c>
      <c r="B26" s="3">
        <v>2</v>
      </c>
      <c r="C26" s="3" t="s">
        <v>90</v>
      </c>
      <c r="D26" s="3"/>
      <c r="F26" s="3"/>
      <c r="G26" s="3">
        <v>2</v>
      </c>
      <c r="H26" s="3">
        <v>2</v>
      </c>
      <c r="I26" s="25" t="s">
        <v>81</v>
      </c>
      <c r="J26" s="3">
        <v>0</v>
      </c>
      <c r="K26" s="3" t="s">
        <v>104</v>
      </c>
      <c r="L26" s="3">
        <v>800001021</v>
      </c>
      <c r="M26" s="3">
        <v>2</v>
      </c>
      <c r="N26" s="13">
        <v>8000</v>
      </c>
      <c r="O26" s="3">
        <v>2</v>
      </c>
      <c r="P26" s="3">
        <v>18</v>
      </c>
      <c r="Q26" s="3">
        <v>0</v>
      </c>
      <c r="R26" s="3">
        <v>200</v>
      </c>
      <c r="S26" s="3">
        <v>-5000</v>
      </c>
      <c r="T26" s="3">
        <v>1</v>
      </c>
      <c r="U26" s="3">
        <v>500</v>
      </c>
      <c r="V26" s="3" t="s">
        <v>82</v>
      </c>
      <c r="W26" s="3" t="s">
        <v>82</v>
      </c>
      <c r="X26" s="3" t="s">
        <v>97</v>
      </c>
      <c r="Y26" s="16">
        <v>20010001</v>
      </c>
      <c r="Z26" s="16">
        <v>0</v>
      </c>
      <c r="AA26" s="3">
        <v>1</v>
      </c>
      <c r="AB26" s="8" t="s">
        <v>83</v>
      </c>
      <c r="AC26" s="3">
        <v>10000</v>
      </c>
      <c r="AD26" s="3">
        <v>10000</v>
      </c>
      <c r="AE26" s="3">
        <v>25010001</v>
      </c>
      <c r="AF26" s="8">
        <v>40</v>
      </c>
      <c r="AG26" s="8">
        <v>0</v>
      </c>
      <c r="AH26" s="8">
        <v>0</v>
      </c>
      <c r="AI26" s="8">
        <v>0</v>
      </c>
      <c r="AJ26" s="8">
        <v>0</v>
      </c>
    </row>
    <row r="27" spans="1:36">
      <c r="A27" s="3">
        <v>20308</v>
      </c>
      <c r="B27" s="3">
        <v>2</v>
      </c>
      <c r="C27" s="3" t="s">
        <v>91</v>
      </c>
      <c r="D27" s="3"/>
      <c r="F27" s="3"/>
      <c r="G27" s="3">
        <v>2</v>
      </c>
      <c r="H27" s="3">
        <v>2</v>
      </c>
      <c r="I27" s="25" t="s">
        <v>81</v>
      </c>
      <c r="J27" s="3">
        <v>0</v>
      </c>
      <c r="K27" s="3" t="s">
        <v>104</v>
      </c>
      <c r="L27" s="3">
        <v>800001021</v>
      </c>
      <c r="M27" s="3">
        <v>2</v>
      </c>
      <c r="N27" s="3">
        <v>100</v>
      </c>
      <c r="O27" s="3">
        <v>2</v>
      </c>
      <c r="P27" s="3">
        <v>22</v>
      </c>
      <c r="Q27" s="3">
        <v>0</v>
      </c>
      <c r="R27" s="3">
        <v>240</v>
      </c>
      <c r="S27" s="3">
        <v>-5000</v>
      </c>
      <c r="T27" s="3">
        <v>1</v>
      </c>
      <c r="U27" s="3">
        <v>500</v>
      </c>
      <c r="V27" s="3" t="s">
        <v>82</v>
      </c>
      <c r="W27" s="3" t="s">
        <v>82</v>
      </c>
      <c r="X27" s="3" t="s">
        <v>97</v>
      </c>
      <c r="Y27" s="16">
        <v>20010001</v>
      </c>
      <c r="Z27" s="16">
        <v>0</v>
      </c>
      <c r="AA27" s="3">
        <v>1</v>
      </c>
      <c r="AB27" s="8" t="s">
        <v>83</v>
      </c>
      <c r="AC27" s="3">
        <v>10000</v>
      </c>
      <c r="AD27" s="3">
        <v>10000</v>
      </c>
      <c r="AE27" s="3">
        <v>25010001</v>
      </c>
      <c r="AF27" s="8">
        <v>40</v>
      </c>
      <c r="AG27" s="8">
        <v>0</v>
      </c>
      <c r="AH27" s="8">
        <v>0</v>
      </c>
      <c r="AI27" s="8">
        <v>0</v>
      </c>
      <c r="AJ27" s="8">
        <v>0</v>
      </c>
    </row>
    <row r="28" spans="1:36">
      <c r="A28" s="3">
        <v>20309</v>
      </c>
      <c r="B28" s="3">
        <v>2</v>
      </c>
      <c r="C28" s="3" t="s">
        <v>92</v>
      </c>
      <c r="D28" s="3"/>
      <c r="F28" s="3"/>
      <c r="G28" s="3">
        <v>2</v>
      </c>
      <c r="H28" s="3">
        <v>2</v>
      </c>
      <c r="I28" s="25" t="s">
        <v>81</v>
      </c>
      <c r="J28" s="3">
        <v>0</v>
      </c>
      <c r="K28" s="3" t="s">
        <v>104</v>
      </c>
      <c r="L28" s="3">
        <v>800001021</v>
      </c>
      <c r="M28" s="3">
        <v>2</v>
      </c>
      <c r="N28" s="3">
        <v>100</v>
      </c>
      <c r="O28" s="3">
        <v>2</v>
      </c>
      <c r="P28" s="3">
        <v>24</v>
      </c>
      <c r="Q28" s="3">
        <v>0</v>
      </c>
      <c r="R28" s="3">
        <v>720</v>
      </c>
      <c r="S28" s="3">
        <v>-5000</v>
      </c>
      <c r="T28" s="3">
        <v>1</v>
      </c>
      <c r="U28" s="3">
        <v>1200</v>
      </c>
      <c r="V28" s="3" t="s">
        <v>82</v>
      </c>
      <c r="W28" s="3" t="s">
        <v>82</v>
      </c>
      <c r="X28" s="3" t="s">
        <v>97</v>
      </c>
      <c r="Y28" s="16">
        <v>20010001</v>
      </c>
      <c r="Z28" s="16">
        <v>0</v>
      </c>
      <c r="AA28" s="3">
        <v>1</v>
      </c>
      <c r="AB28" s="8" t="s">
        <v>83</v>
      </c>
      <c r="AC28" s="3">
        <v>10000</v>
      </c>
      <c r="AD28" s="3">
        <v>10000</v>
      </c>
      <c r="AE28" s="3">
        <v>25010001</v>
      </c>
      <c r="AF28" s="8">
        <v>40</v>
      </c>
      <c r="AG28" s="8">
        <v>0</v>
      </c>
      <c r="AH28" s="8">
        <v>0</v>
      </c>
      <c r="AI28" s="8">
        <v>0</v>
      </c>
      <c r="AJ28" s="8">
        <v>0</v>
      </c>
    </row>
    <row r="29" spans="1:36">
      <c r="A29" s="3">
        <v>20310</v>
      </c>
      <c r="B29" s="3">
        <v>2</v>
      </c>
      <c r="C29" s="3" t="s">
        <v>93</v>
      </c>
      <c r="D29" s="3"/>
      <c r="F29" s="3"/>
      <c r="G29" s="3">
        <v>2</v>
      </c>
      <c r="H29" s="3">
        <v>2</v>
      </c>
      <c r="I29" s="25" t="s">
        <v>81</v>
      </c>
      <c r="J29" s="3">
        <v>0</v>
      </c>
      <c r="K29" s="3" t="s">
        <v>104</v>
      </c>
      <c r="L29" s="3">
        <v>800001021</v>
      </c>
      <c r="M29" s="3">
        <v>2</v>
      </c>
      <c r="N29" s="3">
        <v>100</v>
      </c>
      <c r="O29" s="3">
        <v>2</v>
      </c>
      <c r="P29" s="3">
        <v>27</v>
      </c>
      <c r="Q29" s="3">
        <v>0</v>
      </c>
      <c r="R29" s="3">
        <v>800</v>
      </c>
      <c r="S29" s="3">
        <v>-5000</v>
      </c>
      <c r="T29" s="3">
        <v>1</v>
      </c>
      <c r="U29" s="3">
        <v>1200</v>
      </c>
      <c r="V29" s="3" t="s">
        <v>82</v>
      </c>
      <c r="W29" s="3" t="s">
        <v>82</v>
      </c>
      <c r="X29" s="3" t="s">
        <v>97</v>
      </c>
      <c r="Y29" s="16">
        <v>20010001</v>
      </c>
      <c r="Z29" s="16">
        <v>0</v>
      </c>
      <c r="AA29" s="3">
        <v>1</v>
      </c>
      <c r="AB29" s="8" t="s">
        <v>83</v>
      </c>
      <c r="AC29" s="3">
        <v>10000</v>
      </c>
      <c r="AD29" s="3">
        <v>10000</v>
      </c>
      <c r="AE29" s="3">
        <v>25010001</v>
      </c>
      <c r="AF29" s="8">
        <v>40</v>
      </c>
      <c r="AG29" s="8">
        <v>0</v>
      </c>
      <c r="AH29" s="8">
        <v>0</v>
      </c>
      <c r="AI29" s="8">
        <v>0</v>
      </c>
      <c r="AJ29" s="8">
        <v>0</v>
      </c>
    </row>
    <row r="30" spans="1:36">
      <c r="A30" s="3">
        <v>20401</v>
      </c>
      <c r="B30" s="3">
        <v>2</v>
      </c>
      <c r="C30" s="3" t="s">
        <v>94</v>
      </c>
      <c r="D30" s="3"/>
      <c r="F30" s="3"/>
      <c r="G30" s="3">
        <v>2</v>
      </c>
      <c r="H30" s="3">
        <v>2</v>
      </c>
      <c r="I30" s="25" t="s">
        <v>81</v>
      </c>
      <c r="J30" s="3">
        <v>0</v>
      </c>
      <c r="K30" s="3" t="s">
        <v>96</v>
      </c>
      <c r="L30" s="3">
        <v>800001021</v>
      </c>
      <c r="M30" s="3">
        <v>2</v>
      </c>
      <c r="N30" s="3">
        <v>100</v>
      </c>
      <c r="O30" s="3">
        <v>2</v>
      </c>
      <c r="P30" s="3">
        <v>30</v>
      </c>
      <c r="Q30" s="3">
        <v>0</v>
      </c>
      <c r="R30" s="3">
        <v>880</v>
      </c>
      <c r="S30" s="3">
        <v>-5000</v>
      </c>
      <c r="T30" s="3">
        <v>1</v>
      </c>
      <c r="U30" s="3">
        <v>1200</v>
      </c>
      <c r="V30" s="3" t="s">
        <v>82</v>
      </c>
      <c r="W30" s="3" t="s">
        <v>82</v>
      </c>
      <c r="X30" s="3" t="s">
        <v>97</v>
      </c>
      <c r="Y30" s="16">
        <v>20010001</v>
      </c>
      <c r="Z30" s="16">
        <v>0</v>
      </c>
      <c r="AA30" s="3">
        <v>1</v>
      </c>
      <c r="AB30" s="8" t="s">
        <v>83</v>
      </c>
      <c r="AC30" s="3">
        <v>10000</v>
      </c>
      <c r="AD30" s="3">
        <v>10000</v>
      </c>
      <c r="AE30" s="3">
        <v>25010001</v>
      </c>
      <c r="AF30" s="8">
        <v>40</v>
      </c>
      <c r="AG30" s="8">
        <v>0</v>
      </c>
      <c r="AH30" s="8">
        <v>0</v>
      </c>
      <c r="AI30" s="8">
        <v>0</v>
      </c>
      <c r="AJ30" s="8">
        <v>0</v>
      </c>
    </row>
    <row r="31" spans="1:36">
      <c r="A31" s="3">
        <v>20402</v>
      </c>
      <c r="B31" s="3">
        <v>2</v>
      </c>
      <c r="C31" s="3" t="s">
        <v>94</v>
      </c>
      <c r="D31" s="3"/>
      <c r="F31" s="3"/>
      <c r="G31" s="3">
        <v>2</v>
      </c>
      <c r="H31" s="3">
        <v>2</v>
      </c>
      <c r="I31" s="25" t="s">
        <v>81</v>
      </c>
      <c r="J31" s="3">
        <v>0</v>
      </c>
      <c r="K31" s="3" t="s">
        <v>96</v>
      </c>
      <c r="L31" s="3">
        <v>800001021</v>
      </c>
      <c r="M31" s="3">
        <v>2</v>
      </c>
      <c r="N31" s="3">
        <v>100</v>
      </c>
      <c r="O31" s="3">
        <v>2</v>
      </c>
      <c r="P31" s="3">
        <v>8</v>
      </c>
      <c r="Q31" s="3">
        <v>0</v>
      </c>
      <c r="R31" s="3">
        <v>25</v>
      </c>
      <c r="S31" s="3">
        <v>-5000</v>
      </c>
      <c r="T31" s="3">
        <v>1</v>
      </c>
      <c r="U31" s="3">
        <v>0</v>
      </c>
      <c r="V31" s="3" t="s">
        <v>82</v>
      </c>
      <c r="W31" s="3" t="s">
        <v>82</v>
      </c>
      <c r="X31" s="3" t="s">
        <v>97</v>
      </c>
      <c r="Y31" s="16">
        <v>20010001</v>
      </c>
      <c r="Z31" s="16">
        <v>0</v>
      </c>
      <c r="AA31" s="3">
        <v>1</v>
      </c>
      <c r="AB31" s="8" t="s">
        <v>83</v>
      </c>
      <c r="AC31" s="3">
        <v>10000</v>
      </c>
      <c r="AD31" s="3">
        <v>10000</v>
      </c>
      <c r="AE31" s="3">
        <v>0</v>
      </c>
      <c r="AF31" s="8">
        <v>40</v>
      </c>
      <c r="AG31" s="8">
        <v>0</v>
      </c>
      <c r="AH31" s="8">
        <v>0</v>
      </c>
      <c r="AI31" s="8">
        <v>0</v>
      </c>
      <c r="AJ31" s="8">
        <v>0</v>
      </c>
    </row>
    <row r="32" spans="1:36">
      <c r="A32" s="3">
        <v>20403</v>
      </c>
      <c r="B32" s="3">
        <v>2</v>
      </c>
      <c r="C32" s="3" t="s">
        <v>94</v>
      </c>
      <c r="D32" s="3"/>
      <c r="F32" s="3"/>
      <c r="G32" s="3">
        <v>2</v>
      </c>
      <c r="H32" s="3">
        <v>2</v>
      </c>
      <c r="I32" s="25" t="s">
        <v>81</v>
      </c>
      <c r="J32" s="3">
        <v>0</v>
      </c>
      <c r="K32" s="3" t="s">
        <v>96</v>
      </c>
      <c r="L32" s="3">
        <v>800001021</v>
      </c>
      <c r="M32" s="3">
        <v>2</v>
      </c>
      <c r="N32" s="3">
        <v>100</v>
      </c>
      <c r="O32" s="3">
        <v>2</v>
      </c>
      <c r="P32" s="3">
        <v>8</v>
      </c>
      <c r="Q32" s="3">
        <v>0</v>
      </c>
      <c r="R32" s="3">
        <v>25</v>
      </c>
      <c r="S32" s="3">
        <v>-5000</v>
      </c>
      <c r="T32" s="3">
        <v>1</v>
      </c>
      <c r="U32" s="3">
        <v>0</v>
      </c>
      <c r="V32" s="3" t="s">
        <v>82</v>
      </c>
      <c r="W32" s="3" t="s">
        <v>82</v>
      </c>
      <c r="X32" s="3" t="s">
        <v>97</v>
      </c>
      <c r="Y32" s="16">
        <v>20010001</v>
      </c>
      <c r="Z32" s="16">
        <v>0</v>
      </c>
      <c r="AA32" s="3">
        <v>1</v>
      </c>
      <c r="AB32" s="8" t="s">
        <v>83</v>
      </c>
      <c r="AC32" s="3">
        <v>10000</v>
      </c>
      <c r="AD32" s="3">
        <v>10000</v>
      </c>
      <c r="AE32" s="3">
        <v>0</v>
      </c>
      <c r="AF32" s="8">
        <v>40</v>
      </c>
      <c r="AG32" s="8">
        <v>0</v>
      </c>
      <c r="AH32" s="8">
        <v>0</v>
      </c>
      <c r="AI32" s="8">
        <v>0</v>
      </c>
      <c r="AJ32" s="8">
        <v>0</v>
      </c>
    </row>
    <row r="33" spans="1:36">
      <c r="A33" s="3">
        <v>110201</v>
      </c>
      <c r="B33" s="3">
        <v>1</v>
      </c>
      <c r="C33" s="3" t="s">
        <v>80</v>
      </c>
      <c r="D33" s="3"/>
      <c r="F33" s="3"/>
      <c r="G33" s="3">
        <v>1</v>
      </c>
      <c r="H33" s="3">
        <v>2</v>
      </c>
      <c r="I33" s="25" t="s">
        <v>81</v>
      </c>
      <c r="J33" s="3">
        <v>0</v>
      </c>
      <c r="K33" s="3">
        <v>800001021</v>
      </c>
      <c r="L33" s="3">
        <v>800001021</v>
      </c>
      <c r="M33" s="3">
        <v>1</v>
      </c>
      <c r="N33" s="14">
        <v>120</v>
      </c>
      <c r="O33" s="3">
        <v>1</v>
      </c>
      <c r="P33" s="3">
        <v>8</v>
      </c>
      <c r="Q33" s="3">
        <v>0</v>
      </c>
      <c r="R33" s="3">
        <v>25</v>
      </c>
      <c r="S33" s="3">
        <v>-5000</v>
      </c>
      <c r="T33" s="3">
        <v>1</v>
      </c>
      <c r="U33" s="3">
        <v>0</v>
      </c>
      <c r="V33" s="3" t="s">
        <v>82</v>
      </c>
      <c r="W33" s="3" t="s">
        <v>82</v>
      </c>
      <c r="X33" s="3" t="s">
        <v>82</v>
      </c>
      <c r="Y33" s="16">
        <v>20010001</v>
      </c>
      <c r="Z33" s="16">
        <v>0</v>
      </c>
      <c r="AA33" s="3">
        <v>1</v>
      </c>
      <c r="AB33" s="8" t="s">
        <v>83</v>
      </c>
      <c r="AC33" s="3">
        <v>10000</v>
      </c>
      <c r="AD33" s="3">
        <v>10000</v>
      </c>
      <c r="AE33" s="3">
        <v>0</v>
      </c>
      <c r="AF33" s="8">
        <v>40</v>
      </c>
      <c r="AG33" s="8">
        <v>0</v>
      </c>
      <c r="AH33" s="8">
        <v>0</v>
      </c>
      <c r="AI33" s="8">
        <v>0</v>
      </c>
      <c r="AJ33" s="8">
        <v>0</v>
      </c>
    </row>
    <row r="34" spans="1:36">
      <c r="A34" s="3">
        <v>110301</v>
      </c>
      <c r="B34" s="3">
        <v>1</v>
      </c>
      <c r="C34" s="3" t="s">
        <v>84</v>
      </c>
      <c r="D34" s="3"/>
      <c r="F34" s="3"/>
      <c r="G34" s="3">
        <v>1</v>
      </c>
      <c r="H34" s="3">
        <v>2</v>
      </c>
      <c r="I34" s="25" t="s">
        <v>81</v>
      </c>
      <c r="J34" s="3">
        <v>0</v>
      </c>
      <c r="K34" s="3">
        <v>800001021</v>
      </c>
      <c r="L34" s="3">
        <v>800001021</v>
      </c>
      <c r="M34" s="3">
        <v>1</v>
      </c>
      <c r="N34" s="14">
        <v>310</v>
      </c>
      <c r="O34" s="3">
        <v>2</v>
      </c>
      <c r="P34" s="3">
        <v>8</v>
      </c>
      <c r="Q34" s="3">
        <v>0</v>
      </c>
      <c r="R34" s="3">
        <v>25</v>
      </c>
      <c r="S34" s="3">
        <v>-5000</v>
      </c>
      <c r="T34" s="3">
        <v>1</v>
      </c>
      <c r="U34" s="3">
        <v>0</v>
      </c>
      <c r="V34" s="3" t="s">
        <v>82</v>
      </c>
      <c r="W34" s="3" t="s">
        <v>82</v>
      </c>
      <c r="X34" s="3" t="s">
        <v>82</v>
      </c>
      <c r="Y34" s="16">
        <v>20010001</v>
      </c>
      <c r="Z34" s="16">
        <v>0</v>
      </c>
      <c r="AA34" s="3">
        <v>1</v>
      </c>
      <c r="AB34" s="8" t="s">
        <v>83</v>
      </c>
      <c r="AC34" s="3">
        <v>10000</v>
      </c>
      <c r="AD34" s="3">
        <v>10000</v>
      </c>
      <c r="AE34" s="3">
        <v>0</v>
      </c>
      <c r="AF34" s="8">
        <v>40</v>
      </c>
      <c r="AG34" s="8">
        <v>0</v>
      </c>
      <c r="AH34" s="8">
        <v>0</v>
      </c>
      <c r="AI34" s="8">
        <v>0</v>
      </c>
      <c r="AJ34" s="8">
        <v>0</v>
      </c>
    </row>
    <row r="35" spans="1:36">
      <c r="A35" s="3">
        <v>110302</v>
      </c>
      <c r="B35" s="3">
        <v>1</v>
      </c>
      <c r="C35" s="3" t="s">
        <v>85</v>
      </c>
      <c r="D35" s="3"/>
      <c r="F35" s="3"/>
      <c r="G35" s="3">
        <v>1</v>
      </c>
      <c r="H35" s="3">
        <v>2</v>
      </c>
      <c r="I35" s="25" t="s">
        <v>81</v>
      </c>
      <c r="J35" s="3">
        <v>0</v>
      </c>
      <c r="K35" s="3">
        <v>800001021</v>
      </c>
      <c r="L35" s="3">
        <v>800001021</v>
      </c>
      <c r="M35" s="3">
        <v>1</v>
      </c>
      <c r="N35" s="14">
        <v>700</v>
      </c>
      <c r="O35" s="3">
        <v>2</v>
      </c>
      <c r="P35" s="3">
        <v>8</v>
      </c>
      <c r="Q35" s="3">
        <v>0</v>
      </c>
      <c r="R35" s="3">
        <v>25</v>
      </c>
      <c r="S35" s="3">
        <v>-5000</v>
      </c>
      <c r="T35" s="3">
        <v>1</v>
      </c>
      <c r="U35" s="3">
        <v>0</v>
      </c>
      <c r="V35" s="3" t="s">
        <v>82</v>
      </c>
      <c r="W35" s="3" t="s">
        <v>82</v>
      </c>
      <c r="X35" s="3" t="s">
        <v>82</v>
      </c>
      <c r="Y35" s="16">
        <v>20010001</v>
      </c>
      <c r="Z35" s="16">
        <v>0</v>
      </c>
      <c r="AA35" s="3">
        <v>1</v>
      </c>
      <c r="AB35" s="8" t="s">
        <v>83</v>
      </c>
      <c r="AC35" s="3">
        <v>10000</v>
      </c>
      <c r="AD35" s="3">
        <v>10000</v>
      </c>
      <c r="AE35" s="3">
        <v>0</v>
      </c>
      <c r="AF35" s="8">
        <v>40</v>
      </c>
      <c r="AG35" s="8">
        <v>0</v>
      </c>
      <c r="AH35" s="8">
        <v>0</v>
      </c>
      <c r="AI35" s="8">
        <v>0</v>
      </c>
      <c r="AJ35" s="8">
        <v>0</v>
      </c>
    </row>
    <row r="36" spans="1:36">
      <c r="A36" s="3">
        <v>110303</v>
      </c>
      <c r="B36" s="3">
        <v>1</v>
      </c>
      <c r="C36" s="3" t="s">
        <v>86</v>
      </c>
      <c r="D36" s="3"/>
      <c r="F36" s="3"/>
      <c r="G36" s="3">
        <v>1</v>
      </c>
      <c r="H36" s="3">
        <v>2</v>
      </c>
      <c r="I36" s="25" t="s">
        <v>81</v>
      </c>
      <c r="J36" s="3">
        <v>0</v>
      </c>
      <c r="K36" s="3">
        <v>800001021</v>
      </c>
      <c r="L36" s="3">
        <v>800001021</v>
      </c>
      <c r="M36" s="3">
        <v>1</v>
      </c>
      <c r="N36" s="14">
        <v>2150</v>
      </c>
      <c r="O36" s="3">
        <v>2</v>
      </c>
      <c r="P36" s="3">
        <v>8</v>
      </c>
      <c r="Q36" s="3">
        <v>0</v>
      </c>
      <c r="R36" s="3">
        <v>25</v>
      </c>
      <c r="S36" s="3">
        <v>-5000</v>
      </c>
      <c r="T36" s="3">
        <v>1</v>
      </c>
      <c r="U36" s="3">
        <v>0</v>
      </c>
      <c r="V36" s="3" t="s">
        <v>82</v>
      </c>
      <c r="W36" s="3" t="s">
        <v>82</v>
      </c>
      <c r="X36" s="3" t="s">
        <v>82</v>
      </c>
      <c r="Y36" s="16">
        <v>20010001</v>
      </c>
      <c r="Z36" s="16">
        <v>0</v>
      </c>
      <c r="AA36" s="3">
        <v>1</v>
      </c>
      <c r="AB36" s="8" t="s">
        <v>83</v>
      </c>
      <c r="AC36" s="3">
        <v>10000</v>
      </c>
      <c r="AD36" s="3">
        <v>10000</v>
      </c>
      <c r="AE36" s="3">
        <v>0</v>
      </c>
      <c r="AF36" s="8">
        <v>40</v>
      </c>
      <c r="AG36" s="8">
        <v>0</v>
      </c>
      <c r="AH36" s="8">
        <v>0</v>
      </c>
      <c r="AI36" s="8">
        <v>0</v>
      </c>
      <c r="AJ36" s="8">
        <v>0</v>
      </c>
    </row>
    <row r="37" spans="1:36">
      <c r="A37" s="3">
        <v>110304</v>
      </c>
      <c r="B37" s="3">
        <v>1</v>
      </c>
      <c r="C37" s="3" t="s">
        <v>87</v>
      </c>
      <c r="D37" s="3"/>
      <c r="F37" s="3"/>
      <c r="G37" s="3">
        <v>1</v>
      </c>
      <c r="H37" s="3">
        <v>2</v>
      </c>
      <c r="I37" s="25" t="s">
        <v>81</v>
      </c>
      <c r="J37" s="3">
        <v>0</v>
      </c>
      <c r="K37" s="3">
        <v>800001021</v>
      </c>
      <c r="L37" s="3">
        <v>800001021</v>
      </c>
      <c r="M37" s="3">
        <v>1</v>
      </c>
      <c r="N37" s="14">
        <v>6000</v>
      </c>
      <c r="O37" s="3">
        <v>2</v>
      </c>
      <c r="P37" s="3">
        <v>8</v>
      </c>
      <c r="Q37" s="3">
        <v>0</v>
      </c>
      <c r="R37" s="3">
        <v>25</v>
      </c>
      <c r="S37" s="3">
        <v>-5000</v>
      </c>
      <c r="T37" s="3">
        <v>1</v>
      </c>
      <c r="U37" s="3">
        <v>0</v>
      </c>
      <c r="V37" s="3" t="s">
        <v>82</v>
      </c>
      <c r="W37" s="3" t="s">
        <v>82</v>
      </c>
      <c r="X37" s="3" t="s">
        <v>82</v>
      </c>
      <c r="Y37" s="16">
        <v>20010001</v>
      </c>
      <c r="Z37" s="16">
        <v>0</v>
      </c>
      <c r="AA37" s="3">
        <v>1</v>
      </c>
      <c r="AB37" s="8" t="s">
        <v>83</v>
      </c>
      <c r="AC37" s="3">
        <v>10000</v>
      </c>
      <c r="AD37" s="3">
        <v>10000</v>
      </c>
      <c r="AE37" s="3">
        <v>0</v>
      </c>
      <c r="AF37" s="8">
        <v>40</v>
      </c>
      <c r="AG37" s="8">
        <v>0</v>
      </c>
      <c r="AH37" s="8">
        <v>0</v>
      </c>
      <c r="AI37" s="8">
        <v>0</v>
      </c>
      <c r="AJ37" s="8">
        <v>0</v>
      </c>
    </row>
    <row r="38" spans="1:36">
      <c r="A38" s="3">
        <v>110305</v>
      </c>
      <c r="B38" s="3">
        <v>1</v>
      </c>
      <c r="C38" s="3" t="s">
        <v>88</v>
      </c>
      <c r="D38" s="3"/>
      <c r="F38" s="3"/>
      <c r="G38" s="3">
        <v>1</v>
      </c>
      <c r="H38" s="3">
        <v>2</v>
      </c>
      <c r="I38" s="25" t="s">
        <v>81</v>
      </c>
      <c r="J38" s="3">
        <v>0</v>
      </c>
      <c r="K38" s="3">
        <v>800001021</v>
      </c>
      <c r="L38" s="3">
        <v>800001021</v>
      </c>
      <c r="M38" s="3">
        <v>1</v>
      </c>
      <c r="N38" s="14">
        <v>13200</v>
      </c>
      <c r="O38" s="3">
        <v>2</v>
      </c>
      <c r="P38" s="3">
        <v>8</v>
      </c>
      <c r="Q38" s="3">
        <v>0</v>
      </c>
      <c r="R38" s="3">
        <v>25</v>
      </c>
      <c r="S38" s="3">
        <v>-5000</v>
      </c>
      <c r="T38" s="3">
        <v>1</v>
      </c>
      <c r="U38" s="3">
        <v>0</v>
      </c>
      <c r="V38" s="3" t="s">
        <v>82</v>
      </c>
      <c r="W38" s="3" t="s">
        <v>82</v>
      </c>
      <c r="X38" s="3" t="s">
        <v>82</v>
      </c>
      <c r="Y38" s="16">
        <v>20010001</v>
      </c>
      <c r="Z38" s="16">
        <v>0</v>
      </c>
      <c r="AA38" s="3">
        <v>1</v>
      </c>
      <c r="AB38" s="8" t="s">
        <v>83</v>
      </c>
      <c r="AC38" s="3">
        <v>10000</v>
      </c>
      <c r="AD38" s="3">
        <v>10000</v>
      </c>
      <c r="AE38" s="3">
        <v>0</v>
      </c>
      <c r="AF38" s="8">
        <v>40</v>
      </c>
      <c r="AG38" s="8">
        <v>0</v>
      </c>
      <c r="AH38" s="8">
        <v>0</v>
      </c>
      <c r="AI38" s="8">
        <v>0</v>
      </c>
      <c r="AJ38" s="8">
        <v>0</v>
      </c>
    </row>
    <row r="39" spans="1:36">
      <c r="A39" s="3">
        <v>110306</v>
      </c>
      <c r="B39" s="3">
        <v>1</v>
      </c>
      <c r="C39" s="3" t="s">
        <v>89</v>
      </c>
      <c r="D39" s="3"/>
      <c r="F39" s="3"/>
      <c r="G39" s="3">
        <v>1</v>
      </c>
      <c r="H39" s="3">
        <v>2</v>
      </c>
      <c r="I39" s="25" t="s">
        <v>81</v>
      </c>
      <c r="J39" s="3">
        <v>0</v>
      </c>
      <c r="K39" s="3">
        <v>800001021</v>
      </c>
      <c r="L39" s="3">
        <v>800001021</v>
      </c>
      <c r="M39" s="3">
        <v>1</v>
      </c>
      <c r="N39" s="14">
        <v>34700</v>
      </c>
      <c r="O39" s="3">
        <v>2</v>
      </c>
      <c r="P39" s="3">
        <v>8</v>
      </c>
      <c r="Q39" s="3">
        <v>0</v>
      </c>
      <c r="R39" s="3">
        <v>25</v>
      </c>
      <c r="S39" s="3">
        <v>-5000</v>
      </c>
      <c r="T39" s="3">
        <v>1</v>
      </c>
      <c r="U39" s="3">
        <v>0</v>
      </c>
      <c r="V39" s="3" t="s">
        <v>82</v>
      </c>
      <c r="W39" s="3" t="s">
        <v>82</v>
      </c>
      <c r="X39" s="3" t="s">
        <v>82</v>
      </c>
      <c r="Y39" s="16">
        <v>20010001</v>
      </c>
      <c r="Z39" s="16">
        <v>0</v>
      </c>
      <c r="AA39" s="3">
        <v>1</v>
      </c>
      <c r="AB39" s="8" t="s">
        <v>83</v>
      </c>
      <c r="AC39" s="3">
        <v>10000</v>
      </c>
      <c r="AD39" s="3">
        <v>10000</v>
      </c>
      <c r="AE39" s="3">
        <v>0</v>
      </c>
      <c r="AF39" s="8">
        <v>40</v>
      </c>
      <c r="AG39" s="8">
        <v>0</v>
      </c>
      <c r="AH39" s="8">
        <v>0</v>
      </c>
      <c r="AI39" s="8">
        <v>0</v>
      </c>
      <c r="AJ39" s="8">
        <v>0</v>
      </c>
    </row>
    <row r="40" spans="1:36">
      <c r="A40" s="3">
        <v>110307</v>
      </c>
      <c r="B40" s="3">
        <v>1</v>
      </c>
      <c r="C40" s="3" t="s">
        <v>90</v>
      </c>
      <c r="D40" s="3"/>
      <c r="F40" s="3"/>
      <c r="G40" s="3">
        <v>1</v>
      </c>
      <c r="H40" s="3">
        <v>2</v>
      </c>
      <c r="I40" s="25" t="s">
        <v>81</v>
      </c>
      <c r="J40" s="3">
        <v>0</v>
      </c>
      <c r="K40" s="3">
        <v>800001021</v>
      </c>
      <c r="L40" s="3">
        <v>800001021</v>
      </c>
      <c r="M40" s="3">
        <v>1</v>
      </c>
      <c r="N40" s="14">
        <v>76500</v>
      </c>
      <c r="O40" s="3">
        <v>2</v>
      </c>
      <c r="P40" s="3">
        <v>8</v>
      </c>
      <c r="Q40" s="3">
        <v>0</v>
      </c>
      <c r="R40" s="3">
        <v>25</v>
      </c>
      <c r="S40" s="3">
        <v>-5000</v>
      </c>
      <c r="T40" s="3">
        <v>1</v>
      </c>
      <c r="U40" s="3">
        <v>0</v>
      </c>
      <c r="V40" s="3" t="s">
        <v>82</v>
      </c>
      <c r="W40" s="3" t="s">
        <v>82</v>
      </c>
      <c r="X40" s="3" t="s">
        <v>82</v>
      </c>
      <c r="Y40" s="16">
        <v>20010001</v>
      </c>
      <c r="Z40" s="16">
        <v>0</v>
      </c>
      <c r="AA40" s="3">
        <v>1</v>
      </c>
      <c r="AB40" s="8" t="s">
        <v>83</v>
      </c>
      <c r="AC40" s="3">
        <v>10000</v>
      </c>
      <c r="AD40" s="3">
        <v>10000</v>
      </c>
      <c r="AE40" s="3">
        <v>0</v>
      </c>
      <c r="AF40" s="8">
        <v>40</v>
      </c>
      <c r="AG40" s="8">
        <v>0</v>
      </c>
      <c r="AH40" s="8">
        <v>0</v>
      </c>
      <c r="AI40" s="8">
        <v>0</v>
      </c>
      <c r="AJ40" s="8">
        <v>0</v>
      </c>
    </row>
    <row r="41" spans="1:36">
      <c r="A41" s="3">
        <v>110308</v>
      </c>
      <c r="B41" s="3">
        <v>1</v>
      </c>
      <c r="C41" s="3" t="s">
        <v>105</v>
      </c>
      <c r="D41" s="3"/>
      <c r="F41" s="3"/>
      <c r="G41" s="3">
        <v>1</v>
      </c>
      <c r="H41" s="3">
        <v>2</v>
      </c>
      <c r="I41" s="25" t="s">
        <v>81</v>
      </c>
      <c r="J41" s="3">
        <v>0</v>
      </c>
      <c r="K41" s="3">
        <v>800001021</v>
      </c>
      <c r="L41" s="3">
        <v>800001021</v>
      </c>
      <c r="M41" s="3">
        <v>1</v>
      </c>
      <c r="N41" s="14">
        <v>172000</v>
      </c>
      <c r="O41" s="3">
        <v>2</v>
      </c>
      <c r="P41" s="3">
        <v>8</v>
      </c>
      <c r="Q41" s="3">
        <v>0</v>
      </c>
      <c r="R41" s="3">
        <v>25</v>
      </c>
      <c r="S41" s="3">
        <v>-5000</v>
      </c>
      <c r="T41" s="3">
        <v>1</v>
      </c>
      <c r="U41" s="3">
        <v>0</v>
      </c>
      <c r="V41" s="3" t="s">
        <v>82</v>
      </c>
      <c r="W41" s="3" t="s">
        <v>82</v>
      </c>
      <c r="X41" s="3" t="s">
        <v>82</v>
      </c>
      <c r="Y41" s="16">
        <v>20010001</v>
      </c>
      <c r="Z41" s="16">
        <v>0</v>
      </c>
      <c r="AA41" s="3">
        <v>1</v>
      </c>
      <c r="AB41" s="8" t="s">
        <v>83</v>
      </c>
      <c r="AC41" s="3">
        <v>10000</v>
      </c>
      <c r="AD41" s="3">
        <v>10000</v>
      </c>
      <c r="AE41" s="3">
        <v>0</v>
      </c>
      <c r="AF41" s="8">
        <v>40</v>
      </c>
      <c r="AG41" s="8">
        <v>0</v>
      </c>
      <c r="AH41" s="8">
        <v>0</v>
      </c>
      <c r="AI41" s="8">
        <v>0</v>
      </c>
      <c r="AJ41" s="8">
        <v>0</v>
      </c>
    </row>
    <row r="42" spans="1:36">
      <c r="A42" s="3">
        <v>110309</v>
      </c>
      <c r="B42" s="3">
        <v>1</v>
      </c>
      <c r="C42" s="3" t="s">
        <v>106</v>
      </c>
      <c r="D42" s="3"/>
      <c r="F42" s="3"/>
      <c r="G42" s="3">
        <v>1</v>
      </c>
      <c r="H42" s="3">
        <v>2</v>
      </c>
      <c r="I42" s="25" t="s">
        <v>81</v>
      </c>
      <c r="J42" s="3">
        <v>0</v>
      </c>
      <c r="K42" s="3">
        <v>800001021</v>
      </c>
      <c r="L42" s="3">
        <v>800001021</v>
      </c>
      <c r="M42" s="3">
        <v>1</v>
      </c>
      <c r="N42" s="3">
        <v>100</v>
      </c>
      <c r="O42" s="3">
        <v>2</v>
      </c>
      <c r="P42" s="3">
        <v>8</v>
      </c>
      <c r="Q42" s="3">
        <v>0</v>
      </c>
      <c r="R42" s="3">
        <v>25</v>
      </c>
      <c r="S42" s="3">
        <v>-5000</v>
      </c>
      <c r="T42" s="3">
        <v>1</v>
      </c>
      <c r="U42" s="3">
        <v>0</v>
      </c>
      <c r="V42" s="3" t="s">
        <v>82</v>
      </c>
      <c r="W42" s="3" t="s">
        <v>82</v>
      </c>
      <c r="X42" s="3" t="s">
        <v>82</v>
      </c>
      <c r="Y42" s="16">
        <v>20010001</v>
      </c>
      <c r="Z42" s="16">
        <v>0</v>
      </c>
      <c r="AA42" s="3">
        <v>1</v>
      </c>
      <c r="AB42" s="8" t="s">
        <v>83</v>
      </c>
      <c r="AC42" s="3">
        <v>10000</v>
      </c>
      <c r="AD42" s="3">
        <v>10000</v>
      </c>
      <c r="AE42" s="3">
        <v>0</v>
      </c>
      <c r="AF42" s="8">
        <v>40</v>
      </c>
      <c r="AG42" s="8">
        <v>0</v>
      </c>
      <c r="AH42" s="8">
        <v>0</v>
      </c>
      <c r="AI42" s="8">
        <v>0</v>
      </c>
      <c r="AJ42" s="8">
        <v>0</v>
      </c>
    </row>
    <row r="43" spans="1:36">
      <c r="A43" s="3">
        <v>110310</v>
      </c>
      <c r="B43" s="3">
        <v>1</v>
      </c>
      <c r="C43" s="3" t="s">
        <v>107</v>
      </c>
      <c r="D43" s="3"/>
      <c r="F43" s="3"/>
      <c r="G43" s="3">
        <v>1</v>
      </c>
      <c r="H43" s="3">
        <v>2</v>
      </c>
      <c r="I43" s="25" t="s">
        <v>81</v>
      </c>
      <c r="J43" s="3">
        <v>0</v>
      </c>
      <c r="K43" s="3">
        <v>800001021</v>
      </c>
      <c r="L43" s="3">
        <v>800001021</v>
      </c>
      <c r="M43" s="3">
        <v>1</v>
      </c>
      <c r="N43" s="3">
        <v>100</v>
      </c>
      <c r="O43" s="3">
        <v>2</v>
      </c>
      <c r="P43" s="3">
        <v>8</v>
      </c>
      <c r="Q43" s="3">
        <v>0</v>
      </c>
      <c r="R43" s="3">
        <v>25</v>
      </c>
      <c r="S43" s="3">
        <v>-5000</v>
      </c>
      <c r="T43" s="3">
        <v>1</v>
      </c>
      <c r="U43" s="3">
        <v>0</v>
      </c>
      <c r="V43" s="3" t="s">
        <v>82</v>
      </c>
      <c r="W43" s="3" t="s">
        <v>82</v>
      </c>
      <c r="X43" s="3" t="s">
        <v>82</v>
      </c>
      <c r="Y43" s="16">
        <v>20010001</v>
      </c>
      <c r="Z43" s="16">
        <v>0</v>
      </c>
      <c r="AA43" s="3">
        <v>1</v>
      </c>
      <c r="AB43" s="8" t="s">
        <v>83</v>
      </c>
      <c r="AC43" s="3">
        <v>10000</v>
      </c>
      <c r="AD43" s="3">
        <v>10000</v>
      </c>
      <c r="AE43" s="3">
        <v>0</v>
      </c>
      <c r="AF43" s="8">
        <v>40</v>
      </c>
      <c r="AG43" s="8">
        <v>0</v>
      </c>
      <c r="AH43" s="8">
        <v>0</v>
      </c>
      <c r="AI43" s="8">
        <v>0</v>
      </c>
      <c r="AJ43" s="8">
        <v>0</v>
      </c>
    </row>
    <row r="44" spans="1:36">
      <c r="A44" s="3">
        <v>110401</v>
      </c>
      <c r="B44" s="3">
        <v>1</v>
      </c>
      <c r="C44" s="3" t="s">
        <v>94</v>
      </c>
      <c r="D44" s="3"/>
      <c r="F44" s="3"/>
      <c r="G44" s="3">
        <v>1</v>
      </c>
      <c r="H44" s="3">
        <v>2</v>
      </c>
      <c r="I44" s="25" t="s">
        <v>81</v>
      </c>
      <c r="J44" s="3">
        <v>0</v>
      </c>
      <c r="K44" s="3">
        <v>800001021</v>
      </c>
      <c r="L44" s="3">
        <v>800001021</v>
      </c>
      <c r="M44" s="3">
        <v>1</v>
      </c>
      <c r="N44" s="3">
        <v>100</v>
      </c>
      <c r="O44" s="3">
        <v>2</v>
      </c>
      <c r="P44" s="3">
        <v>8</v>
      </c>
      <c r="Q44" s="3">
        <v>0</v>
      </c>
      <c r="R44" s="3">
        <v>25</v>
      </c>
      <c r="S44" s="3">
        <v>-5000</v>
      </c>
      <c r="T44" s="3">
        <v>1</v>
      </c>
      <c r="U44" s="3">
        <v>0</v>
      </c>
      <c r="V44" s="3" t="s">
        <v>82</v>
      </c>
      <c r="W44" s="3" t="s">
        <v>82</v>
      </c>
      <c r="X44" s="3" t="s">
        <v>82</v>
      </c>
      <c r="Y44" s="16">
        <v>20010001</v>
      </c>
      <c r="Z44" s="16">
        <v>0</v>
      </c>
      <c r="AA44" s="3">
        <v>1</v>
      </c>
      <c r="AB44" s="8" t="s">
        <v>95</v>
      </c>
      <c r="AC44" s="3">
        <v>10000</v>
      </c>
      <c r="AD44" s="3">
        <v>10000</v>
      </c>
      <c r="AE44" s="3">
        <v>0</v>
      </c>
      <c r="AF44" s="8">
        <v>40</v>
      </c>
      <c r="AG44" s="8">
        <v>0</v>
      </c>
      <c r="AH44" s="8">
        <v>0</v>
      </c>
      <c r="AI44" s="8">
        <v>0</v>
      </c>
      <c r="AJ44" s="8">
        <v>0</v>
      </c>
    </row>
    <row r="45" spans="1:36">
      <c r="A45" s="3">
        <v>110402</v>
      </c>
      <c r="B45" s="3">
        <v>1</v>
      </c>
      <c r="C45" s="3" t="s">
        <v>94</v>
      </c>
      <c r="D45" s="3"/>
      <c r="F45" s="3"/>
      <c r="G45" s="3">
        <v>1</v>
      </c>
      <c r="H45" s="3">
        <v>2</v>
      </c>
      <c r="I45" s="25" t="s">
        <v>81</v>
      </c>
      <c r="J45" s="3">
        <v>0</v>
      </c>
      <c r="K45" s="3">
        <v>800001021</v>
      </c>
      <c r="L45" s="3">
        <v>800001021</v>
      </c>
      <c r="M45" s="3">
        <v>1</v>
      </c>
      <c r="N45" s="3">
        <v>100</v>
      </c>
      <c r="O45" s="3">
        <v>2</v>
      </c>
      <c r="P45" s="3">
        <v>8</v>
      </c>
      <c r="Q45" s="3">
        <v>0</v>
      </c>
      <c r="R45" s="3">
        <v>25</v>
      </c>
      <c r="S45" s="3">
        <v>-5000</v>
      </c>
      <c r="T45" s="3">
        <v>1</v>
      </c>
      <c r="U45" s="3">
        <v>0</v>
      </c>
      <c r="V45" s="3" t="s">
        <v>82</v>
      </c>
      <c r="W45" s="3" t="s">
        <v>82</v>
      </c>
      <c r="X45" s="3" t="s">
        <v>82</v>
      </c>
      <c r="Y45" s="16">
        <v>20010001</v>
      </c>
      <c r="Z45" s="16">
        <v>0</v>
      </c>
      <c r="AA45" s="3">
        <v>1</v>
      </c>
      <c r="AB45" s="8" t="s">
        <v>95</v>
      </c>
      <c r="AC45" s="3">
        <v>10000</v>
      </c>
      <c r="AD45" s="3">
        <v>10000</v>
      </c>
      <c r="AE45" s="3">
        <v>0</v>
      </c>
      <c r="AF45" s="8">
        <v>40</v>
      </c>
      <c r="AG45" s="8">
        <v>0</v>
      </c>
      <c r="AH45" s="8">
        <v>0</v>
      </c>
      <c r="AI45" s="8">
        <v>0</v>
      </c>
      <c r="AJ45" s="8">
        <v>0</v>
      </c>
    </row>
    <row r="46" spans="1:36">
      <c r="A46" s="3">
        <v>110403</v>
      </c>
      <c r="B46" s="3">
        <v>1</v>
      </c>
      <c r="C46" s="3" t="s">
        <v>94</v>
      </c>
      <c r="D46" s="3"/>
      <c r="F46" s="3"/>
      <c r="G46" s="3">
        <v>1</v>
      </c>
      <c r="H46" s="3">
        <v>2</v>
      </c>
      <c r="I46" s="25" t="s">
        <v>81</v>
      </c>
      <c r="J46" s="3">
        <v>0</v>
      </c>
      <c r="K46" s="3">
        <v>800001021</v>
      </c>
      <c r="L46" s="3">
        <v>800001021</v>
      </c>
      <c r="M46" s="3">
        <v>1</v>
      </c>
      <c r="N46" s="3">
        <v>100</v>
      </c>
      <c r="O46" s="3">
        <v>2</v>
      </c>
      <c r="P46" s="3">
        <v>8</v>
      </c>
      <c r="Q46" s="3">
        <v>0</v>
      </c>
      <c r="R46" s="3">
        <v>25</v>
      </c>
      <c r="S46" s="3">
        <v>-5000</v>
      </c>
      <c r="T46" s="3">
        <v>1</v>
      </c>
      <c r="U46" s="3">
        <v>0</v>
      </c>
      <c r="V46" s="3" t="s">
        <v>82</v>
      </c>
      <c r="W46" s="3" t="s">
        <v>82</v>
      </c>
      <c r="X46" s="3" t="s">
        <v>82</v>
      </c>
      <c r="Y46" s="16">
        <v>20010001</v>
      </c>
      <c r="Z46" s="16">
        <v>0</v>
      </c>
      <c r="AA46" s="3">
        <v>1</v>
      </c>
      <c r="AB46" s="8" t="s">
        <v>95</v>
      </c>
      <c r="AC46" s="3">
        <v>10000</v>
      </c>
      <c r="AD46" s="3">
        <v>10000</v>
      </c>
      <c r="AE46" s="3">
        <v>0</v>
      </c>
      <c r="AF46" s="8">
        <v>40</v>
      </c>
      <c r="AG46" s="8">
        <v>0</v>
      </c>
      <c r="AH46" s="8">
        <v>0</v>
      </c>
      <c r="AI46" s="8">
        <v>0</v>
      </c>
      <c r="AJ46" s="8">
        <v>0</v>
      </c>
    </row>
    <row r="47" spans="1:36">
      <c r="A47" s="3">
        <v>11101</v>
      </c>
      <c r="B47" s="3">
        <v>30</v>
      </c>
      <c r="C47" s="3" t="s">
        <v>108</v>
      </c>
      <c r="D47" s="3"/>
      <c r="F47" s="3"/>
      <c r="G47" s="3">
        <v>12</v>
      </c>
      <c r="H47" s="3">
        <v>1</v>
      </c>
      <c r="I47" s="3" t="s">
        <v>81</v>
      </c>
      <c r="J47" s="3">
        <v>0</v>
      </c>
      <c r="K47" s="3" t="s">
        <v>109</v>
      </c>
      <c r="L47" s="3">
        <v>800001011</v>
      </c>
      <c r="M47" s="3">
        <v>1</v>
      </c>
      <c r="N47" s="3">
        <v>70</v>
      </c>
      <c r="O47" s="3">
        <v>0</v>
      </c>
      <c r="P47" s="3">
        <v>15</v>
      </c>
      <c r="Q47" s="3">
        <v>0</v>
      </c>
      <c r="R47" s="3">
        <v>20</v>
      </c>
      <c r="S47" s="3">
        <v>-5500</v>
      </c>
      <c r="T47" s="3">
        <v>1</v>
      </c>
      <c r="U47" s="3">
        <v>0</v>
      </c>
      <c r="V47" s="3" t="s">
        <v>110</v>
      </c>
      <c r="W47" s="3" t="s">
        <v>111</v>
      </c>
      <c r="X47" s="3" t="s">
        <v>112</v>
      </c>
      <c r="Y47" s="16">
        <v>201001011</v>
      </c>
      <c r="Z47" s="16">
        <v>0</v>
      </c>
      <c r="AA47" s="3">
        <v>1</v>
      </c>
      <c r="AB47" s="8" t="s">
        <v>113</v>
      </c>
      <c r="AC47" s="3">
        <v>15000</v>
      </c>
      <c r="AD47" s="3">
        <v>10000</v>
      </c>
      <c r="AE47" s="3">
        <v>25010001</v>
      </c>
      <c r="AF47" s="8">
        <v>40</v>
      </c>
      <c r="AG47" s="8">
        <v>10000</v>
      </c>
      <c r="AH47" s="8">
        <v>10000</v>
      </c>
      <c r="AI47" s="8">
        <v>50</v>
      </c>
      <c r="AJ47" s="8">
        <v>0</v>
      </c>
    </row>
    <row r="48" spans="1:36">
      <c r="A48" s="3">
        <v>11102</v>
      </c>
      <c r="B48" s="3">
        <v>30</v>
      </c>
      <c r="C48" s="3" t="s">
        <v>114</v>
      </c>
      <c r="D48" s="3"/>
      <c r="F48" s="3"/>
      <c r="G48" s="3">
        <v>12</v>
      </c>
      <c r="H48" s="3">
        <v>1</v>
      </c>
      <c r="I48" s="3" t="s">
        <v>81</v>
      </c>
      <c r="J48" s="3">
        <v>0</v>
      </c>
      <c r="K48" s="3" t="s">
        <v>115</v>
      </c>
      <c r="L48" s="3">
        <v>800001021</v>
      </c>
      <c r="M48" s="3">
        <v>1</v>
      </c>
      <c r="N48" s="3">
        <v>200</v>
      </c>
      <c r="O48" s="3">
        <v>0</v>
      </c>
      <c r="P48" s="3">
        <v>30</v>
      </c>
      <c r="Q48" s="3">
        <v>2</v>
      </c>
      <c r="R48" s="3">
        <v>105</v>
      </c>
      <c r="S48" s="3">
        <v>-5500</v>
      </c>
      <c r="T48" s="3">
        <v>1</v>
      </c>
      <c r="U48" s="3">
        <v>0</v>
      </c>
      <c r="V48" s="3" t="s">
        <v>110</v>
      </c>
      <c r="W48" s="3" t="s">
        <v>111</v>
      </c>
      <c r="X48" s="3" t="s">
        <v>112</v>
      </c>
      <c r="Y48" s="16">
        <v>201002011</v>
      </c>
      <c r="Z48" s="16">
        <v>0</v>
      </c>
      <c r="AA48" s="3">
        <v>1</v>
      </c>
      <c r="AB48" s="8" t="s">
        <v>116</v>
      </c>
      <c r="AC48" s="3">
        <v>15000</v>
      </c>
      <c r="AD48" s="3">
        <v>10000</v>
      </c>
      <c r="AE48" s="3">
        <v>25010001</v>
      </c>
      <c r="AF48" s="8">
        <v>40</v>
      </c>
      <c r="AG48" s="8">
        <v>3000</v>
      </c>
      <c r="AH48" s="8">
        <v>10000</v>
      </c>
      <c r="AI48" s="8">
        <v>15</v>
      </c>
      <c r="AJ48" s="8">
        <v>0</v>
      </c>
    </row>
    <row r="49" spans="1:36">
      <c r="A49" s="3">
        <v>11103</v>
      </c>
      <c r="B49" s="2">
        <v>30</v>
      </c>
      <c r="C49" s="2" t="s">
        <v>117</v>
      </c>
      <c r="D49" s="2"/>
      <c r="E49" s="12"/>
      <c r="F49" s="2"/>
      <c r="G49" s="2">
        <v>12</v>
      </c>
      <c r="H49" s="2">
        <v>1</v>
      </c>
      <c r="I49" s="2" t="s">
        <v>81</v>
      </c>
      <c r="J49" s="2">
        <v>0</v>
      </c>
      <c r="K49" s="2"/>
      <c r="L49" s="2">
        <v>800001021</v>
      </c>
      <c r="M49" s="2">
        <v>1</v>
      </c>
      <c r="N49" s="2">
        <v>70</v>
      </c>
      <c r="O49" s="2">
        <v>0</v>
      </c>
      <c r="P49" s="2">
        <v>15</v>
      </c>
      <c r="Q49" s="2">
        <v>1</v>
      </c>
      <c r="R49" s="2">
        <v>300</v>
      </c>
      <c r="S49" s="2">
        <v>-5500</v>
      </c>
      <c r="T49" s="2">
        <v>1</v>
      </c>
      <c r="U49" s="2">
        <v>250</v>
      </c>
      <c r="V49" s="2" t="s">
        <v>110</v>
      </c>
      <c r="W49" s="2" t="s">
        <v>111</v>
      </c>
      <c r="X49" s="2" t="s">
        <v>112</v>
      </c>
      <c r="Y49" s="17">
        <v>201001011</v>
      </c>
      <c r="Z49" s="17">
        <v>0</v>
      </c>
      <c r="AA49" s="2">
        <v>1</v>
      </c>
      <c r="AB49" s="12" t="s">
        <v>113</v>
      </c>
      <c r="AC49" s="2">
        <v>15000</v>
      </c>
      <c r="AD49" s="2">
        <v>10000</v>
      </c>
      <c r="AE49" s="2">
        <v>25010001</v>
      </c>
      <c r="AF49" s="8">
        <v>40</v>
      </c>
      <c r="AG49" s="8">
        <v>0</v>
      </c>
      <c r="AH49" s="8">
        <v>0</v>
      </c>
      <c r="AI49" s="8">
        <v>0</v>
      </c>
      <c r="AJ49" s="8">
        <v>0</v>
      </c>
    </row>
    <row r="50" spans="1:36">
      <c r="A50" s="3">
        <v>11104</v>
      </c>
      <c r="B50" s="3">
        <v>30</v>
      </c>
      <c r="C50" s="3" t="s">
        <v>118</v>
      </c>
      <c r="D50" s="3"/>
      <c r="F50" s="3"/>
      <c r="G50" s="3">
        <v>12</v>
      </c>
      <c r="H50" s="3">
        <v>1</v>
      </c>
      <c r="I50" s="3" t="s">
        <v>81</v>
      </c>
      <c r="J50" s="3">
        <v>0</v>
      </c>
      <c r="K50" s="3" t="s">
        <v>119</v>
      </c>
      <c r="L50" s="3">
        <v>800001041</v>
      </c>
      <c r="M50" s="3">
        <v>1</v>
      </c>
      <c r="N50" s="3">
        <v>70</v>
      </c>
      <c r="O50" s="3">
        <v>0</v>
      </c>
      <c r="P50" s="3">
        <v>24</v>
      </c>
      <c r="Q50" s="3">
        <v>0</v>
      </c>
      <c r="R50" s="3">
        <v>17</v>
      </c>
      <c r="S50" s="3">
        <v>-5500</v>
      </c>
      <c r="T50" s="3">
        <v>1</v>
      </c>
      <c r="U50" s="3">
        <v>0</v>
      </c>
      <c r="V50" s="3" t="s">
        <v>110</v>
      </c>
      <c r="W50" s="3" t="s">
        <v>111</v>
      </c>
      <c r="X50" s="3" t="s">
        <v>112</v>
      </c>
      <c r="Y50" s="16">
        <v>201004011</v>
      </c>
      <c r="Z50" s="16">
        <v>0</v>
      </c>
      <c r="AA50" s="3">
        <v>1</v>
      </c>
      <c r="AB50" s="8" t="s">
        <v>113</v>
      </c>
      <c r="AC50" s="3">
        <v>15000</v>
      </c>
      <c r="AD50" s="3">
        <v>10000</v>
      </c>
      <c r="AE50" s="3">
        <v>25010001</v>
      </c>
      <c r="AF50" s="8">
        <v>40</v>
      </c>
      <c r="AG50" s="8">
        <v>10000</v>
      </c>
      <c r="AH50" s="8">
        <v>10000</v>
      </c>
      <c r="AI50" s="8">
        <v>80</v>
      </c>
      <c r="AJ50" s="8">
        <v>10</v>
      </c>
    </row>
    <row r="51" spans="1:36">
      <c r="A51" s="3">
        <v>11105</v>
      </c>
      <c r="B51" s="3">
        <v>30</v>
      </c>
      <c r="C51" s="3" t="s">
        <v>120</v>
      </c>
      <c r="D51" s="3"/>
      <c r="F51" s="3"/>
      <c r="G51" s="3">
        <v>12</v>
      </c>
      <c r="H51" s="3">
        <v>1</v>
      </c>
      <c r="I51" s="3" t="s">
        <v>81</v>
      </c>
      <c r="J51" s="3">
        <v>0</v>
      </c>
      <c r="K51" s="3" t="s">
        <v>121</v>
      </c>
      <c r="L51" s="3">
        <v>800014011</v>
      </c>
      <c r="M51" s="3">
        <v>1</v>
      </c>
      <c r="N51" s="3">
        <v>125</v>
      </c>
      <c r="O51" s="3">
        <v>0</v>
      </c>
      <c r="P51" s="3">
        <v>19</v>
      </c>
      <c r="Q51" s="3">
        <v>1</v>
      </c>
      <c r="R51" s="3">
        <v>43</v>
      </c>
      <c r="S51" s="3">
        <v>-5500</v>
      </c>
      <c r="T51" s="3">
        <v>1</v>
      </c>
      <c r="U51" s="3">
        <v>0</v>
      </c>
      <c r="V51" s="3" t="s">
        <v>110</v>
      </c>
      <c r="W51" s="3" t="s">
        <v>111</v>
      </c>
      <c r="X51" s="3" t="s">
        <v>112</v>
      </c>
      <c r="Y51" s="16">
        <v>214001011</v>
      </c>
      <c r="Z51" s="16">
        <v>0</v>
      </c>
      <c r="AA51" s="3">
        <v>1</v>
      </c>
      <c r="AB51" s="8" t="s">
        <v>122</v>
      </c>
      <c r="AC51" s="3">
        <v>15000</v>
      </c>
      <c r="AD51" s="3">
        <v>10000</v>
      </c>
      <c r="AE51" s="3">
        <v>25010001</v>
      </c>
      <c r="AF51" s="8">
        <v>40</v>
      </c>
      <c r="AG51" s="8">
        <v>10000</v>
      </c>
      <c r="AH51" s="8">
        <v>10000</v>
      </c>
      <c r="AI51" s="8">
        <v>40</v>
      </c>
      <c r="AJ51" s="8">
        <v>0</v>
      </c>
    </row>
    <row r="52" spans="1:36">
      <c r="A52" s="3">
        <v>11106</v>
      </c>
      <c r="B52" s="2">
        <v>30</v>
      </c>
      <c r="C52" s="2" t="s">
        <v>123</v>
      </c>
      <c r="D52" s="2"/>
      <c r="E52" s="12"/>
      <c r="F52" s="2"/>
      <c r="G52" s="2">
        <v>12</v>
      </c>
      <c r="H52" s="2">
        <v>1</v>
      </c>
      <c r="I52" s="2" t="s">
        <v>81</v>
      </c>
      <c r="J52" s="2">
        <v>0</v>
      </c>
      <c r="K52" s="2"/>
      <c r="L52" s="2">
        <v>1000010</v>
      </c>
      <c r="M52" s="2">
        <v>1</v>
      </c>
      <c r="N52" s="2">
        <v>100</v>
      </c>
      <c r="O52" s="2">
        <v>0</v>
      </c>
      <c r="P52" s="2">
        <v>15</v>
      </c>
      <c r="Q52" s="2">
        <v>0</v>
      </c>
      <c r="R52" s="2">
        <v>36</v>
      </c>
      <c r="S52" s="2">
        <v>-5500</v>
      </c>
      <c r="T52" s="2">
        <v>1</v>
      </c>
      <c r="U52" s="2">
        <v>0</v>
      </c>
      <c r="V52" s="2" t="s">
        <v>110</v>
      </c>
      <c r="W52" s="2" t="s">
        <v>111</v>
      </c>
      <c r="X52" s="2" t="s">
        <v>124</v>
      </c>
      <c r="Y52" s="2">
        <v>201002011</v>
      </c>
      <c r="Z52" s="17">
        <v>0</v>
      </c>
      <c r="AA52" s="2">
        <v>1</v>
      </c>
      <c r="AB52" s="12" t="s">
        <v>83</v>
      </c>
      <c r="AC52" s="2">
        <v>15000</v>
      </c>
      <c r="AD52" s="2">
        <v>10000</v>
      </c>
      <c r="AE52" s="2">
        <v>25010001</v>
      </c>
      <c r="AF52" s="8">
        <v>40</v>
      </c>
      <c r="AG52" s="8">
        <v>0</v>
      </c>
      <c r="AH52" s="8">
        <v>0</v>
      </c>
      <c r="AI52" s="8">
        <v>0</v>
      </c>
      <c r="AJ52" s="8">
        <v>0</v>
      </c>
    </row>
    <row r="53" spans="1:36">
      <c r="A53" s="3">
        <v>11107</v>
      </c>
      <c r="B53" s="2">
        <v>30</v>
      </c>
      <c r="C53" s="2" t="s">
        <v>125</v>
      </c>
      <c r="D53" s="2"/>
      <c r="E53" s="12"/>
      <c r="F53" s="2"/>
      <c r="G53" s="2">
        <v>12</v>
      </c>
      <c r="H53" s="2">
        <v>1</v>
      </c>
      <c r="I53" s="2" t="s">
        <v>81</v>
      </c>
      <c r="J53" s="2">
        <v>0</v>
      </c>
      <c r="K53" s="2" t="s">
        <v>121</v>
      </c>
      <c r="L53" s="2">
        <v>800014011</v>
      </c>
      <c r="M53" s="2">
        <v>1</v>
      </c>
      <c r="N53" s="2">
        <v>100</v>
      </c>
      <c r="O53" s="2">
        <v>0</v>
      </c>
      <c r="P53" s="2">
        <v>15</v>
      </c>
      <c r="Q53" s="2">
        <v>0</v>
      </c>
      <c r="R53" s="2">
        <v>36</v>
      </c>
      <c r="S53" s="2">
        <v>-5500</v>
      </c>
      <c r="T53" s="2">
        <v>1</v>
      </c>
      <c r="U53" s="2">
        <v>0</v>
      </c>
      <c r="V53" s="2" t="s">
        <v>110</v>
      </c>
      <c r="W53" s="2" t="s">
        <v>111</v>
      </c>
      <c r="X53" s="2" t="s">
        <v>124</v>
      </c>
      <c r="Y53" s="2">
        <v>214001011</v>
      </c>
      <c r="Z53" s="17">
        <v>0</v>
      </c>
      <c r="AA53" s="2">
        <v>1</v>
      </c>
      <c r="AB53" s="12" t="s">
        <v>83</v>
      </c>
      <c r="AC53" s="2">
        <v>15000</v>
      </c>
      <c r="AD53" s="2">
        <v>10000</v>
      </c>
      <c r="AE53" s="2">
        <v>25010001</v>
      </c>
      <c r="AF53" s="8">
        <v>40</v>
      </c>
      <c r="AG53" s="8">
        <v>0</v>
      </c>
      <c r="AH53" s="8">
        <v>0</v>
      </c>
      <c r="AI53" s="8">
        <v>0</v>
      </c>
      <c r="AJ53" s="8">
        <v>0</v>
      </c>
    </row>
    <row r="54" ht="14.25" spans="1:36">
      <c r="A54" s="3">
        <v>11108</v>
      </c>
      <c r="B54" s="3">
        <v>30</v>
      </c>
      <c r="C54" s="3" t="s">
        <v>126</v>
      </c>
      <c r="D54" s="3"/>
      <c r="F54" s="3"/>
      <c r="G54" s="3">
        <v>12</v>
      </c>
      <c r="H54" s="3">
        <v>1</v>
      </c>
      <c r="I54" s="3" t="s">
        <v>81</v>
      </c>
      <c r="J54" s="3">
        <v>0</v>
      </c>
      <c r="K54" s="3" t="s">
        <v>127</v>
      </c>
      <c r="L54" s="3">
        <v>800004011</v>
      </c>
      <c r="M54" s="3">
        <v>1</v>
      </c>
      <c r="N54" s="3">
        <v>100</v>
      </c>
      <c r="O54" s="3">
        <v>0</v>
      </c>
      <c r="P54" s="3">
        <v>15</v>
      </c>
      <c r="Q54" s="3">
        <v>0</v>
      </c>
      <c r="R54" s="15">
        <v>36</v>
      </c>
      <c r="S54" s="3">
        <v>-5500</v>
      </c>
      <c r="T54" s="3">
        <v>1</v>
      </c>
      <c r="U54" s="3">
        <v>0</v>
      </c>
      <c r="V54" s="3" t="s">
        <v>110</v>
      </c>
      <c r="W54" s="3" t="s">
        <v>111</v>
      </c>
      <c r="X54" s="3" t="s">
        <v>124</v>
      </c>
      <c r="Y54" s="16">
        <v>204001001</v>
      </c>
      <c r="Z54" s="16">
        <v>0</v>
      </c>
      <c r="AA54" s="3">
        <v>1</v>
      </c>
      <c r="AB54" s="8" t="s">
        <v>83</v>
      </c>
      <c r="AC54" s="3">
        <v>15000</v>
      </c>
      <c r="AD54" s="3">
        <v>10000</v>
      </c>
      <c r="AE54" s="3">
        <v>25010001</v>
      </c>
      <c r="AF54" s="8">
        <v>40</v>
      </c>
      <c r="AG54" s="8">
        <v>0</v>
      </c>
      <c r="AH54" s="8">
        <v>0</v>
      </c>
      <c r="AI54" s="8">
        <v>0</v>
      </c>
      <c r="AJ54" s="8">
        <v>0</v>
      </c>
    </row>
    <row r="55" ht="14.25" spans="1:36">
      <c r="A55" s="3">
        <v>11109</v>
      </c>
      <c r="B55" s="3">
        <v>30</v>
      </c>
      <c r="C55" s="3" t="s">
        <v>128</v>
      </c>
      <c r="D55" s="3"/>
      <c r="F55" s="3"/>
      <c r="G55" s="3">
        <v>12</v>
      </c>
      <c r="H55" s="3">
        <v>1</v>
      </c>
      <c r="I55" s="3" t="s">
        <v>81</v>
      </c>
      <c r="J55" s="3">
        <v>0</v>
      </c>
      <c r="K55" s="3" t="s">
        <v>129</v>
      </c>
      <c r="L55" s="3">
        <v>800004021</v>
      </c>
      <c r="M55" s="3">
        <v>1</v>
      </c>
      <c r="N55" s="3">
        <v>100</v>
      </c>
      <c r="O55" s="3">
        <v>0</v>
      </c>
      <c r="P55" s="3">
        <v>15</v>
      </c>
      <c r="Q55" s="3">
        <v>0</v>
      </c>
      <c r="R55" s="15">
        <v>36</v>
      </c>
      <c r="S55" s="3">
        <v>-5500</v>
      </c>
      <c r="T55" s="3">
        <v>1</v>
      </c>
      <c r="U55" s="3">
        <v>0</v>
      </c>
      <c r="V55" s="3" t="s">
        <v>110</v>
      </c>
      <c r="W55" s="3" t="s">
        <v>111</v>
      </c>
      <c r="X55" s="3" t="s">
        <v>124</v>
      </c>
      <c r="Y55" s="16">
        <v>204002001</v>
      </c>
      <c r="Z55" s="16">
        <v>0</v>
      </c>
      <c r="AA55" s="3">
        <v>1</v>
      </c>
      <c r="AB55" s="8" t="s">
        <v>83</v>
      </c>
      <c r="AC55" s="3">
        <v>15000</v>
      </c>
      <c r="AD55" s="3">
        <v>10000</v>
      </c>
      <c r="AE55" s="3">
        <v>25010001</v>
      </c>
      <c r="AF55" s="8">
        <v>40</v>
      </c>
      <c r="AG55" s="8">
        <v>0</v>
      </c>
      <c r="AH55" s="8">
        <v>0</v>
      </c>
      <c r="AI55" s="8">
        <v>0</v>
      </c>
      <c r="AJ55" s="8">
        <v>0</v>
      </c>
    </row>
    <row r="56" ht="14.25" spans="1:36">
      <c r="A56" s="3">
        <v>11110</v>
      </c>
      <c r="B56" s="3">
        <v>30</v>
      </c>
      <c r="C56" s="3" t="s">
        <v>130</v>
      </c>
      <c r="D56" s="3"/>
      <c r="F56" s="3"/>
      <c r="G56" s="3">
        <v>12</v>
      </c>
      <c r="H56" s="3">
        <v>1</v>
      </c>
      <c r="I56" s="3" t="s">
        <v>81</v>
      </c>
      <c r="J56" s="3">
        <v>0</v>
      </c>
      <c r="K56" s="3" t="s">
        <v>131</v>
      </c>
      <c r="L56" s="3">
        <v>800011011</v>
      </c>
      <c r="M56" s="3">
        <v>1</v>
      </c>
      <c r="N56" s="3">
        <v>100</v>
      </c>
      <c r="O56" s="3">
        <v>0</v>
      </c>
      <c r="P56" s="3">
        <v>15</v>
      </c>
      <c r="Q56" s="3">
        <v>0</v>
      </c>
      <c r="R56" s="15">
        <v>36</v>
      </c>
      <c r="S56" s="3">
        <v>-5500</v>
      </c>
      <c r="T56" s="3">
        <v>1</v>
      </c>
      <c r="U56" s="3">
        <v>0</v>
      </c>
      <c r="V56" s="3" t="s">
        <v>110</v>
      </c>
      <c r="W56" s="3" t="s">
        <v>111</v>
      </c>
      <c r="X56" s="3" t="s">
        <v>124</v>
      </c>
      <c r="Y56" s="16">
        <v>211001001</v>
      </c>
      <c r="Z56" s="16">
        <v>0</v>
      </c>
      <c r="AA56" s="3">
        <v>1</v>
      </c>
      <c r="AB56" s="8" t="s">
        <v>83</v>
      </c>
      <c r="AC56" s="3">
        <v>15000</v>
      </c>
      <c r="AD56" s="3">
        <v>10000</v>
      </c>
      <c r="AE56" s="3">
        <v>25010001</v>
      </c>
      <c r="AF56" s="8">
        <v>40</v>
      </c>
      <c r="AG56" s="8">
        <v>0</v>
      </c>
      <c r="AH56" s="8">
        <v>0</v>
      </c>
      <c r="AI56" s="8">
        <v>0</v>
      </c>
      <c r="AJ56" s="8">
        <v>0</v>
      </c>
    </row>
    <row r="57" ht="14.25" spans="1:36">
      <c r="A57" s="3">
        <v>11111</v>
      </c>
      <c r="B57" s="3">
        <v>30</v>
      </c>
      <c r="C57" s="3" t="s">
        <v>132</v>
      </c>
      <c r="D57" s="3"/>
      <c r="F57" s="3"/>
      <c r="G57" s="3">
        <v>12</v>
      </c>
      <c r="H57" s="3">
        <v>1</v>
      </c>
      <c r="I57" s="3" t="s">
        <v>81</v>
      </c>
      <c r="J57" s="3">
        <v>0</v>
      </c>
      <c r="K57" s="3" t="s">
        <v>133</v>
      </c>
      <c r="L57" s="3">
        <v>800011021</v>
      </c>
      <c r="M57" s="3">
        <v>1</v>
      </c>
      <c r="N57" s="3">
        <v>100</v>
      </c>
      <c r="O57" s="3">
        <v>0</v>
      </c>
      <c r="P57" s="3">
        <v>15</v>
      </c>
      <c r="Q57" s="3">
        <v>0</v>
      </c>
      <c r="R57" s="15">
        <v>36</v>
      </c>
      <c r="S57" s="3">
        <v>-5500</v>
      </c>
      <c r="T57" s="3">
        <v>1</v>
      </c>
      <c r="U57" s="3">
        <v>0</v>
      </c>
      <c r="V57" s="3" t="s">
        <v>110</v>
      </c>
      <c r="W57" s="3" t="s">
        <v>111</v>
      </c>
      <c r="X57" s="3" t="s">
        <v>124</v>
      </c>
      <c r="Y57" s="16">
        <v>211002001</v>
      </c>
      <c r="Z57" s="16">
        <v>0</v>
      </c>
      <c r="AA57" s="3">
        <v>1</v>
      </c>
      <c r="AB57" s="8" t="s">
        <v>83</v>
      </c>
      <c r="AC57" s="3">
        <v>15000</v>
      </c>
      <c r="AD57" s="3">
        <v>10000</v>
      </c>
      <c r="AE57" s="3">
        <v>25010001</v>
      </c>
      <c r="AF57" s="8">
        <v>40</v>
      </c>
      <c r="AG57" s="8">
        <v>0</v>
      </c>
      <c r="AH57" s="8">
        <v>0</v>
      </c>
      <c r="AI57" s="8">
        <v>0</v>
      </c>
      <c r="AJ57" s="8">
        <v>0</v>
      </c>
    </row>
    <row r="58" ht="14.25" spans="1:36">
      <c r="A58" s="3">
        <v>11112</v>
      </c>
      <c r="B58" s="3">
        <v>30</v>
      </c>
      <c r="C58" s="3" t="s">
        <v>134</v>
      </c>
      <c r="D58" s="3"/>
      <c r="F58" s="3"/>
      <c r="G58" s="3">
        <v>12</v>
      </c>
      <c r="H58" s="3">
        <v>1</v>
      </c>
      <c r="I58" s="3" t="s">
        <v>81</v>
      </c>
      <c r="J58" s="3">
        <v>0</v>
      </c>
      <c r="K58" s="3" t="s">
        <v>135</v>
      </c>
      <c r="L58" s="3">
        <v>800003011</v>
      </c>
      <c r="M58" s="3">
        <v>1</v>
      </c>
      <c r="N58" s="3">
        <v>100</v>
      </c>
      <c r="O58" s="3">
        <v>0</v>
      </c>
      <c r="P58" s="3">
        <v>15</v>
      </c>
      <c r="Q58" s="3">
        <v>0</v>
      </c>
      <c r="R58" s="15">
        <v>36</v>
      </c>
      <c r="S58" s="3">
        <v>-5500</v>
      </c>
      <c r="T58" s="3">
        <v>1</v>
      </c>
      <c r="U58" s="3">
        <v>0</v>
      </c>
      <c r="V58" s="3" t="s">
        <v>110</v>
      </c>
      <c r="W58" s="3" t="s">
        <v>111</v>
      </c>
      <c r="X58" s="3" t="s">
        <v>124</v>
      </c>
      <c r="Y58" s="16">
        <v>203001001</v>
      </c>
      <c r="Z58" s="16">
        <v>0</v>
      </c>
      <c r="AA58" s="3">
        <v>1</v>
      </c>
      <c r="AB58" s="8" t="s">
        <v>83</v>
      </c>
      <c r="AC58" s="3">
        <v>15000</v>
      </c>
      <c r="AD58" s="3">
        <v>10000</v>
      </c>
      <c r="AE58" s="3">
        <v>25010001</v>
      </c>
      <c r="AF58" s="8">
        <v>40</v>
      </c>
      <c r="AG58" s="8">
        <v>0</v>
      </c>
      <c r="AH58" s="8">
        <v>0</v>
      </c>
      <c r="AI58" s="8">
        <v>0</v>
      </c>
      <c r="AJ58" s="8">
        <v>0</v>
      </c>
    </row>
    <row r="59" ht="14.25" spans="1:36">
      <c r="A59" s="3">
        <v>11113</v>
      </c>
      <c r="B59" s="3">
        <v>30</v>
      </c>
      <c r="C59" s="3" t="s">
        <v>136</v>
      </c>
      <c r="D59" s="3"/>
      <c r="F59" s="3"/>
      <c r="G59" s="3">
        <v>12</v>
      </c>
      <c r="H59" s="3">
        <v>1</v>
      </c>
      <c r="I59" s="3" t="s">
        <v>81</v>
      </c>
      <c r="J59" s="3">
        <v>0</v>
      </c>
      <c r="K59" s="3" t="s">
        <v>137</v>
      </c>
      <c r="L59" s="3">
        <v>800003021</v>
      </c>
      <c r="M59" s="3">
        <v>1</v>
      </c>
      <c r="N59" s="3">
        <v>500</v>
      </c>
      <c r="O59" s="3">
        <v>0</v>
      </c>
      <c r="P59" s="3">
        <v>42</v>
      </c>
      <c r="Q59" s="3">
        <v>3</v>
      </c>
      <c r="R59" s="15">
        <v>1496</v>
      </c>
      <c r="S59" s="3">
        <v>-5500</v>
      </c>
      <c r="T59" s="3">
        <v>1</v>
      </c>
      <c r="U59" s="3">
        <v>30000</v>
      </c>
      <c r="V59" s="3" t="s">
        <v>110</v>
      </c>
      <c r="W59" s="3" t="s">
        <v>111</v>
      </c>
      <c r="X59" s="3" t="s">
        <v>138</v>
      </c>
      <c r="Y59" s="16">
        <v>203002011</v>
      </c>
      <c r="Z59" s="16">
        <v>0</v>
      </c>
      <c r="AA59" s="3">
        <v>1</v>
      </c>
      <c r="AB59" s="8" t="s">
        <v>139</v>
      </c>
      <c r="AC59" s="3">
        <v>15000</v>
      </c>
      <c r="AD59" s="3">
        <v>10000</v>
      </c>
      <c r="AE59" s="3">
        <v>25010001</v>
      </c>
      <c r="AF59" s="8">
        <v>40</v>
      </c>
      <c r="AG59" s="8">
        <v>1000</v>
      </c>
      <c r="AH59" s="8">
        <v>5000</v>
      </c>
      <c r="AI59" s="8">
        <v>40</v>
      </c>
      <c r="AJ59" s="8">
        <v>0</v>
      </c>
    </row>
    <row r="60" ht="14.25" spans="1:36">
      <c r="A60" s="3">
        <v>11114</v>
      </c>
      <c r="B60" s="3">
        <v>30</v>
      </c>
      <c r="C60" s="3" t="s">
        <v>140</v>
      </c>
      <c r="D60" s="3"/>
      <c r="F60" s="3"/>
      <c r="G60" s="3">
        <v>12</v>
      </c>
      <c r="H60" s="3">
        <v>1</v>
      </c>
      <c r="I60" s="3" t="s">
        <v>81</v>
      </c>
      <c r="J60" s="3">
        <v>0</v>
      </c>
      <c r="K60" s="3" t="s">
        <v>141</v>
      </c>
      <c r="L60" s="3">
        <v>800003031</v>
      </c>
      <c r="M60" s="3">
        <v>1</v>
      </c>
      <c r="N60" s="3">
        <v>100</v>
      </c>
      <c r="O60" s="3">
        <v>0</v>
      </c>
      <c r="P60" s="3">
        <v>15</v>
      </c>
      <c r="Q60" s="3">
        <v>0</v>
      </c>
      <c r="R60" s="15">
        <v>36</v>
      </c>
      <c r="S60" s="3">
        <v>-5500</v>
      </c>
      <c r="T60" s="3">
        <v>1</v>
      </c>
      <c r="U60" s="3">
        <v>0</v>
      </c>
      <c r="V60" s="3" t="s">
        <v>110</v>
      </c>
      <c r="W60" s="3" t="s">
        <v>111</v>
      </c>
      <c r="X60" s="3" t="s">
        <v>124</v>
      </c>
      <c r="Y60" s="16">
        <v>203003001</v>
      </c>
      <c r="Z60" s="16">
        <v>0</v>
      </c>
      <c r="AA60" s="3">
        <v>1</v>
      </c>
      <c r="AB60" s="8" t="s">
        <v>83</v>
      </c>
      <c r="AC60" s="3">
        <v>15000</v>
      </c>
      <c r="AD60" s="3">
        <v>10000</v>
      </c>
      <c r="AE60" s="3">
        <v>0</v>
      </c>
      <c r="AF60" s="8">
        <v>40</v>
      </c>
      <c r="AG60" s="8">
        <v>0</v>
      </c>
      <c r="AH60" s="8">
        <v>0</v>
      </c>
      <c r="AI60" s="8">
        <v>0</v>
      </c>
      <c r="AJ60" s="8">
        <v>0</v>
      </c>
    </row>
    <row r="61" spans="1:36">
      <c r="A61" s="3">
        <v>11115</v>
      </c>
      <c r="B61" s="2">
        <v>30</v>
      </c>
      <c r="C61" s="2" t="s">
        <v>142</v>
      </c>
      <c r="D61" s="2"/>
      <c r="E61" s="12"/>
      <c r="F61" s="2"/>
      <c r="G61" s="2">
        <v>12</v>
      </c>
      <c r="H61" s="2">
        <v>1</v>
      </c>
      <c r="I61" s="2" t="s">
        <v>81</v>
      </c>
      <c r="J61" s="2">
        <v>0</v>
      </c>
      <c r="K61" s="2"/>
      <c r="L61" s="2">
        <v>1000011</v>
      </c>
      <c r="M61" s="2">
        <v>1</v>
      </c>
      <c r="N61" s="2">
        <v>100</v>
      </c>
      <c r="O61" s="2">
        <v>0</v>
      </c>
      <c r="P61" s="2">
        <v>15</v>
      </c>
      <c r="Q61" s="2">
        <v>0</v>
      </c>
      <c r="R61" s="2">
        <v>36</v>
      </c>
      <c r="S61" s="2">
        <v>-5500</v>
      </c>
      <c r="T61" s="2">
        <v>1</v>
      </c>
      <c r="U61" s="2">
        <v>0</v>
      </c>
      <c r="V61" s="2" t="s">
        <v>110</v>
      </c>
      <c r="W61" s="2" t="s">
        <v>111</v>
      </c>
      <c r="X61" s="2" t="s">
        <v>124</v>
      </c>
      <c r="Y61" s="17">
        <v>201002011</v>
      </c>
      <c r="Z61" s="17">
        <v>0</v>
      </c>
      <c r="AA61" s="2">
        <v>1</v>
      </c>
      <c r="AB61" s="12" t="s">
        <v>83</v>
      </c>
      <c r="AC61" s="2">
        <v>15000</v>
      </c>
      <c r="AD61" s="2">
        <v>10000</v>
      </c>
      <c r="AE61" s="2">
        <v>0</v>
      </c>
      <c r="AF61" s="8">
        <v>40</v>
      </c>
      <c r="AG61" s="8">
        <v>0</v>
      </c>
      <c r="AH61" s="8">
        <v>0</v>
      </c>
      <c r="AI61" s="8">
        <v>0</v>
      </c>
      <c r="AJ61" s="8">
        <v>0</v>
      </c>
    </row>
    <row r="62" spans="1:36">
      <c r="A62" s="3">
        <v>21101</v>
      </c>
      <c r="B62" s="3">
        <v>30</v>
      </c>
      <c r="C62" s="3" t="s">
        <v>108</v>
      </c>
      <c r="D62" s="3"/>
      <c r="F62" s="3"/>
      <c r="G62" s="3">
        <v>12</v>
      </c>
      <c r="H62" s="3">
        <v>1</v>
      </c>
      <c r="I62" s="3" t="s">
        <v>81</v>
      </c>
      <c r="J62" s="3">
        <v>0</v>
      </c>
      <c r="K62" s="3" t="s">
        <v>109</v>
      </c>
      <c r="L62" s="3">
        <v>800001011</v>
      </c>
      <c r="M62" s="3">
        <v>1</v>
      </c>
      <c r="N62" s="3">
        <v>70</v>
      </c>
      <c r="O62" s="3">
        <v>0</v>
      </c>
      <c r="P62" s="3">
        <v>15</v>
      </c>
      <c r="Q62" s="3">
        <v>0</v>
      </c>
      <c r="R62" s="3">
        <v>20</v>
      </c>
      <c r="S62" s="3">
        <v>-5500</v>
      </c>
      <c r="T62" s="3">
        <v>1</v>
      </c>
      <c r="U62" s="3">
        <v>0</v>
      </c>
      <c r="V62" s="3" t="s">
        <v>110</v>
      </c>
      <c r="W62" s="3" t="s">
        <v>111</v>
      </c>
      <c r="X62" s="3" t="s">
        <v>112</v>
      </c>
      <c r="Y62" s="16">
        <v>201001011</v>
      </c>
      <c r="Z62" s="16">
        <v>0</v>
      </c>
      <c r="AA62" s="3">
        <v>1</v>
      </c>
      <c r="AB62" s="8" t="s">
        <v>113</v>
      </c>
      <c r="AC62" s="3">
        <v>15000</v>
      </c>
      <c r="AD62" s="3">
        <v>10000</v>
      </c>
      <c r="AE62" s="3">
        <v>25010001</v>
      </c>
      <c r="AF62" s="8">
        <v>40</v>
      </c>
      <c r="AG62" s="8">
        <v>10000</v>
      </c>
      <c r="AH62" s="8">
        <v>10000</v>
      </c>
      <c r="AI62" s="8">
        <v>50</v>
      </c>
      <c r="AJ62" s="8">
        <v>0</v>
      </c>
    </row>
    <row r="63" spans="1:36">
      <c r="A63" s="3">
        <v>21102</v>
      </c>
      <c r="B63" s="3">
        <v>30</v>
      </c>
      <c r="C63" s="3" t="s">
        <v>114</v>
      </c>
      <c r="D63" s="3"/>
      <c r="F63" s="3"/>
      <c r="G63" s="3">
        <v>12</v>
      </c>
      <c r="H63" s="3">
        <v>1</v>
      </c>
      <c r="I63" s="3" t="s">
        <v>81</v>
      </c>
      <c r="J63" s="3">
        <v>0</v>
      </c>
      <c r="K63" s="3" t="s">
        <v>115</v>
      </c>
      <c r="L63" s="3">
        <v>800001021</v>
      </c>
      <c r="M63" s="3">
        <v>1</v>
      </c>
      <c r="N63" s="3">
        <v>200</v>
      </c>
      <c r="O63" s="3">
        <v>0</v>
      </c>
      <c r="P63" s="3">
        <v>30</v>
      </c>
      <c r="Q63" s="3">
        <v>2</v>
      </c>
      <c r="R63" s="3">
        <v>105</v>
      </c>
      <c r="S63" s="3">
        <v>-5500</v>
      </c>
      <c r="T63" s="3">
        <v>1</v>
      </c>
      <c r="U63" s="3">
        <v>0</v>
      </c>
      <c r="V63" s="3" t="s">
        <v>110</v>
      </c>
      <c r="W63" s="3" t="s">
        <v>111</v>
      </c>
      <c r="X63" s="3" t="s">
        <v>112</v>
      </c>
      <c r="Y63" s="16">
        <v>201002011</v>
      </c>
      <c r="Z63" s="16">
        <v>0</v>
      </c>
      <c r="AA63" s="3">
        <v>1</v>
      </c>
      <c r="AB63" s="8" t="s">
        <v>116</v>
      </c>
      <c r="AC63" s="3">
        <v>15000</v>
      </c>
      <c r="AD63" s="3">
        <v>10000</v>
      </c>
      <c r="AE63" s="3">
        <v>25010001</v>
      </c>
      <c r="AF63" s="8">
        <v>40</v>
      </c>
      <c r="AG63" s="8">
        <v>3000</v>
      </c>
      <c r="AH63" s="8">
        <v>10000</v>
      </c>
      <c r="AI63" s="8">
        <v>15</v>
      </c>
      <c r="AJ63" s="8">
        <v>0</v>
      </c>
    </row>
    <row r="64" spans="1:36">
      <c r="A64" s="3">
        <v>21103</v>
      </c>
      <c r="B64" s="2">
        <v>30</v>
      </c>
      <c r="C64" s="2" t="s">
        <v>117</v>
      </c>
      <c r="D64" s="2"/>
      <c r="E64" s="12"/>
      <c r="F64" s="2"/>
      <c r="G64" s="2">
        <v>12</v>
      </c>
      <c r="H64" s="2">
        <v>1</v>
      </c>
      <c r="I64" s="2" t="s">
        <v>81</v>
      </c>
      <c r="J64" s="2">
        <v>0</v>
      </c>
      <c r="K64" s="2"/>
      <c r="L64" s="2">
        <v>800001021</v>
      </c>
      <c r="M64" s="2">
        <v>1</v>
      </c>
      <c r="N64" s="2">
        <v>70</v>
      </c>
      <c r="O64" s="2">
        <v>0</v>
      </c>
      <c r="P64" s="2">
        <v>15</v>
      </c>
      <c r="Q64" s="2">
        <v>1</v>
      </c>
      <c r="R64" s="2">
        <v>300</v>
      </c>
      <c r="S64" s="2">
        <v>-5500</v>
      </c>
      <c r="T64" s="2">
        <v>1</v>
      </c>
      <c r="U64" s="2">
        <v>250</v>
      </c>
      <c r="V64" s="2" t="s">
        <v>110</v>
      </c>
      <c r="W64" s="2" t="s">
        <v>111</v>
      </c>
      <c r="X64" s="2" t="s">
        <v>112</v>
      </c>
      <c r="Y64" s="17">
        <v>201001011</v>
      </c>
      <c r="Z64" s="17">
        <v>0</v>
      </c>
      <c r="AA64" s="2">
        <v>1</v>
      </c>
      <c r="AB64" s="12" t="s">
        <v>113</v>
      </c>
      <c r="AC64" s="2">
        <v>15000</v>
      </c>
      <c r="AD64" s="2">
        <v>10000</v>
      </c>
      <c r="AE64" s="2">
        <v>25010001</v>
      </c>
      <c r="AF64" s="8">
        <v>40</v>
      </c>
      <c r="AG64" s="8">
        <v>0</v>
      </c>
      <c r="AH64" s="8">
        <v>0</v>
      </c>
      <c r="AI64" s="8">
        <v>0</v>
      </c>
      <c r="AJ64" s="8">
        <v>0</v>
      </c>
    </row>
    <row r="65" spans="1:36">
      <c r="A65" s="3">
        <v>21104</v>
      </c>
      <c r="B65" s="3">
        <v>30</v>
      </c>
      <c r="C65" s="3" t="s">
        <v>118</v>
      </c>
      <c r="D65" s="3"/>
      <c r="F65" s="3"/>
      <c r="G65" s="3">
        <v>12</v>
      </c>
      <c r="H65" s="3">
        <v>1</v>
      </c>
      <c r="I65" s="3" t="s">
        <v>81</v>
      </c>
      <c r="J65" s="3">
        <v>0</v>
      </c>
      <c r="K65" s="3" t="s">
        <v>119</v>
      </c>
      <c r="L65" s="3">
        <v>800001041</v>
      </c>
      <c r="M65" s="3">
        <v>1</v>
      </c>
      <c r="N65" s="3">
        <v>70</v>
      </c>
      <c r="O65" s="3">
        <v>0</v>
      </c>
      <c r="P65" s="3">
        <v>24</v>
      </c>
      <c r="Q65" s="3">
        <v>0</v>
      </c>
      <c r="R65" s="3">
        <v>17</v>
      </c>
      <c r="S65" s="3">
        <v>-5500</v>
      </c>
      <c r="T65" s="3">
        <v>1</v>
      </c>
      <c r="U65" s="3">
        <v>0</v>
      </c>
      <c r="V65" s="3" t="s">
        <v>110</v>
      </c>
      <c r="W65" s="3" t="s">
        <v>111</v>
      </c>
      <c r="X65" s="3" t="s">
        <v>112</v>
      </c>
      <c r="Y65" s="16">
        <v>201004011</v>
      </c>
      <c r="Z65" s="16">
        <v>0</v>
      </c>
      <c r="AA65" s="3">
        <v>1</v>
      </c>
      <c r="AB65" s="8" t="s">
        <v>113</v>
      </c>
      <c r="AC65" s="3">
        <v>15000</v>
      </c>
      <c r="AD65" s="3">
        <v>10000</v>
      </c>
      <c r="AE65" s="3">
        <v>25010001</v>
      </c>
      <c r="AF65" s="8">
        <v>40</v>
      </c>
      <c r="AG65" s="8">
        <v>10000</v>
      </c>
      <c r="AH65" s="8">
        <v>10000</v>
      </c>
      <c r="AI65" s="8">
        <v>80</v>
      </c>
      <c r="AJ65" s="8">
        <v>10</v>
      </c>
    </row>
    <row r="66" spans="1:36">
      <c r="A66" s="3">
        <v>21105</v>
      </c>
      <c r="B66" s="3">
        <v>30</v>
      </c>
      <c r="C66" s="3" t="s">
        <v>120</v>
      </c>
      <c r="D66" s="3"/>
      <c r="F66" s="3"/>
      <c r="G66" s="3">
        <v>12</v>
      </c>
      <c r="H66" s="3">
        <v>1</v>
      </c>
      <c r="I66" s="3" t="s">
        <v>81</v>
      </c>
      <c r="J66" s="3">
        <v>0</v>
      </c>
      <c r="K66" s="3" t="s">
        <v>121</v>
      </c>
      <c r="L66" s="3">
        <v>800014011</v>
      </c>
      <c r="M66" s="3">
        <v>1</v>
      </c>
      <c r="N66" s="3">
        <v>125</v>
      </c>
      <c r="O66" s="3">
        <v>0</v>
      </c>
      <c r="P66" s="3">
        <v>19</v>
      </c>
      <c r="Q66" s="3">
        <v>1</v>
      </c>
      <c r="R66" s="3">
        <v>43</v>
      </c>
      <c r="S66" s="3">
        <v>-5500</v>
      </c>
      <c r="T66" s="3">
        <v>1</v>
      </c>
      <c r="U66" s="3">
        <v>0</v>
      </c>
      <c r="V66" s="3" t="s">
        <v>110</v>
      </c>
      <c r="W66" s="3" t="s">
        <v>111</v>
      </c>
      <c r="X66" s="3" t="s">
        <v>112</v>
      </c>
      <c r="Y66" s="16">
        <v>214001011</v>
      </c>
      <c r="Z66" s="16">
        <v>0</v>
      </c>
      <c r="AA66" s="3">
        <v>1</v>
      </c>
      <c r="AB66" s="8" t="s">
        <v>122</v>
      </c>
      <c r="AC66" s="3">
        <v>15000</v>
      </c>
      <c r="AD66" s="3">
        <v>10000</v>
      </c>
      <c r="AE66" s="3">
        <v>25010001</v>
      </c>
      <c r="AF66" s="8">
        <v>40</v>
      </c>
      <c r="AG66" s="8">
        <v>10000</v>
      </c>
      <c r="AH66" s="8">
        <v>10000</v>
      </c>
      <c r="AI66" s="8">
        <v>40</v>
      </c>
      <c r="AJ66" s="8">
        <v>0</v>
      </c>
    </row>
    <row r="67" spans="1:36">
      <c r="A67" s="3">
        <v>21106</v>
      </c>
      <c r="B67" s="2">
        <v>30</v>
      </c>
      <c r="C67" s="2" t="s">
        <v>123</v>
      </c>
      <c r="D67" s="2"/>
      <c r="E67" s="12"/>
      <c r="F67" s="2"/>
      <c r="G67" s="2">
        <v>12</v>
      </c>
      <c r="H67" s="2">
        <v>1</v>
      </c>
      <c r="I67" s="2" t="s">
        <v>81</v>
      </c>
      <c r="J67" s="2">
        <v>0</v>
      </c>
      <c r="K67" s="2"/>
      <c r="L67" s="2">
        <v>1000010</v>
      </c>
      <c r="M67" s="2">
        <v>1</v>
      </c>
      <c r="N67" s="2">
        <v>100</v>
      </c>
      <c r="O67" s="2">
        <v>0</v>
      </c>
      <c r="P67" s="2">
        <v>15</v>
      </c>
      <c r="Q67" s="2">
        <v>0</v>
      </c>
      <c r="R67" s="2">
        <v>36</v>
      </c>
      <c r="S67" s="2">
        <v>-5500</v>
      </c>
      <c r="T67" s="2">
        <v>1</v>
      </c>
      <c r="U67" s="2">
        <v>0</v>
      </c>
      <c r="V67" s="2" t="s">
        <v>110</v>
      </c>
      <c r="W67" s="2" t="s">
        <v>111</v>
      </c>
      <c r="X67" s="2" t="s">
        <v>124</v>
      </c>
      <c r="Y67" s="2">
        <v>201002011</v>
      </c>
      <c r="Z67" s="17">
        <v>0</v>
      </c>
      <c r="AA67" s="2">
        <v>1</v>
      </c>
      <c r="AB67" s="12" t="s">
        <v>83</v>
      </c>
      <c r="AC67" s="2">
        <v>15000</v>
      </c>
      <c r="AD67" s="2">
        <v>10000</v>
      </c>
      <c r="AE67" s="2">
        <v>25010001</v>
      </c>
      <c r="AF67" s="8">
        <v>40</v>
      </c>
      <c r="AG67" s="8">
        <v>0</v>
      </c>
      <c r="AH67" s="8">
        <v>0</v>
      </c>
      <c r="AI67" s="8">
        <v>0</v>
      </c>
      <c r="AJ67" s="8">
        <v>0</v>
      </c>
    </row>
    <row r="68" spans="1:36">
      <c r="A68" s="3">
        <v>21107</v>
      </c>
      <c r="B68" s="2">
        <v>30</v>
      </c>
      <c r="C68" s="2" t="s">
        <v>125</v>
      </c>
      <c r="D68" s="2"/>
      <c r="E68" s="12"/>
      <c r="F68" s="2"/>
      <c r="G68" s="2">
        <v>12</v>
      </c>
      <c r="H68" s="2">
        <v>1</v>
      </c>
      <c r="I68" s="2" t="s">
        <v>81</v>
      </c>
      <c r="J68" s="2">
        <v>0</v>
      </c>
      <c r="K68" s="2" t="s">
        <v>121</v>
      </c>
      <c r="L68" s="2">
        <v>800014011</v>
      </c>
      <c r="M68" s="2">
        <v>1</v>
      </c>
      <c r="N68" s="2">
        <v>100</v>
      </c>
      <c r="O68" s="2">
        <v>0</v>
      </c>
      <c r="P68" s="2">
        <v>15</v>
      </c>
      <c r="Q68" s="2">
        <v>0</v>
      </c>
      <c r="R68" s="2">
        <v>36</v>
      </c>
      <c r="S68" s="2">
        <v>-5500</v>
      </c>
      <c r="T68" s="2">
        <v>1</v>
      </c>
      <c r="U68" s="2">
        <v>0</v>
      </c>
      <c r="V68" s="2" t="s">
        <v>110</v>
      </c>
      <c r="W68" s="2" t="s">
        <v>111</v>
      </c>
      <c r="X68" s="2" t="s">
        <v>124</v>
      </c>
      <c r="Y68" s="2">
        <v>214001011</v>
      </c>
      <c r="Z68" s="17">
        <v>0</v>
      </c>
      <c r="AA68" s="2">
        <v>1</v>
      </c>
      <c r="AB68" s="12" t="s">
        <v>83</v>
      </c>
      <c r="AC68" s="2">
        <v>15000</v>
      </c>
      <c r="AD68" s="2">
        <v>10000</v>
      </c>
      <c r="AE68" s="2">
        <v>25010001</v>
      </c>
      <c r="AF68" s="8">
        <v>40</v>
      </c>
      <c r="AG68" s="8">
        <v>0</v>
      </c>
      <c r="AH68" s="8">
        <v>0</v>
      </c>
      <c r="AI68" s="8">
        <v>0</v>
      </c>
      <c r="AJ68" s="8">
        <v>0</v>
      </c>
    </row>
    <row r="69" ht="14.25" spans="1:36">
      <c r="A69" s="3">
        <v>21108</v>
      </c>
      <c r="B69" s="3">
        <v>30</v>
      </c>
      <c r="C69" s="3" t="s">
        <v>126</v>
      </c>
      <c r="D69" s="3"/>
      <c r="F69" s="3"/>
      <c r="G69" s="3">
        <v>12</v>
      </c>
      <c r="H69" s="3">
        <v>1</v>
      </c>
      <c r="I69" s="3" t="s">
        <v>81</v>
      </c>
      <c r="J69" s="3">
        <v>0</v>
      </c>
      <c r="K69" s="3" t="s">
        <v>127</v>
      </c>
      <c r="L69" s="3">
        <v>800004011</v>
      </c>
      <c r="M69" s="3">
        <v>1</v>
      </c>
      <c r="N69" s="3">
        <v>100</v>
      </c>
      <c r="O69" s="3">
        <v>0</v>
      </c>
      <c r="P69" s="3">
        <v>15</v>
      </c>
      <c r="Q69" s="3">
        <v>0</v>
      </c>
      <c r="R69" s="15">
        <v>36</v>
      </c>
      <c r="S69" s="3">
        <v>-5500</v>
      </c>
      <c r="T69" s="3">
        <v>1</v>
      </c>
      <c r="U69" s="3">
        <v>0</v>
      </c>
      <c r="V69" s="3" t="s">
        <v>110</v>
      </c>
      <c r="W69" s="3" t="s">
        <v>111</v>
      </c>
      <c r="X69" s="3" t="s">
        <v>124</v>
      </c>
      <c r="Y69" s="16">
        <v>204001001</v>
      </c>
      <c r="Z69" s="16">
        <v>0</v>
      </c>
      <c r="AA69" s="3">
        <v>1</v>
      </c>
      <c r="AB69" s="8" t="s">
        <v>83</v>
      </c>
      <c r="AC69" s="3">
        <v>15000</v>
      </c>
      <c r="AD69" s="3">
        <v>10000</v>
      </c>
      <c r="AE69" s="3">
        <v>25010001</v>
      </c>
      <c r="AF69" s="8">
        <v>40</v>
      </c>
      <c r="AG69" s="8">
        <v>0</v>
      </c>
      <c r="AH69" s="8">
        <v>0</v>
      </c>
      <c r="AI69" s="8">
        <v>0</v>
      </c>
      <c r="AJ69" s="8">
        <v>0</v>
      </c>
    </row>
    <row r="70" ht="14.25" spans="1:36">
      <c r="A70" s="3">
        <v>21109</v>
      </c>
      <c r="B70" s="3">
        <v>30</v>
      </c>
      <c r="C70" s="3" t="s">
        <v>128</v>
      </c>
      <c r="D70" s="3"/>
      <c r="F70" s="3"/>
      <c r="G70" s="3">
        <v>12</v>
      </c>
      <c r="H70" s="3">
        <v>1</v>
      </c>
      <c r="I70" s="3" t="s">
        <v>81</v>
      </c>
      <c r="J70" s="3">
        <v>0</v>
      </c>
      <c r="K70" s="3" t="s">
        <v>129</v>
      </c>
      <c r="L70" s="3">
        <v>800004021</v>
      </c>
      <c r="M70" s="3">
        <v>1</v>
      </c>
      <c r="N70" s="3">
        <v>100</v>
      </c>
      <c r="O70" s="3">
        <v>0</v>
      </c>
      <c r="P70" s="3">
        <v>15</v>
      </c>
      <c r="Q70" s="3">
        <v>0</v>
      </c>
      <c r="R70" s="15">
        <v>36</v>
      </c>
      <c r="S70" s="3">
        <v>-5500</v>
      </c>
      <c r="T70" s="3">
        <v>1</v>
      </c>
      <c r="U70" s="3">
        <v>0</v>
      </c>
      <c r="V70" s="3" t="s">
        <v>110</v>
      </c>
      <c r="W70" s="3" t="s">
        <v>111</v>
      </c>
      <c r="X70" s="3" t="s">
        <v>124</v>
      </c>
      <c r="Y70" s="16">
        <v>204002001</v>
      </c>
      <c r="Z70" s="16">
        <v>0</v>
      </c>
      <c r="AA70" s="3">
        <v>1</v>
      </c>
      <c r="AB70" s="8" t="s">
        <v>83</v>
      </c>
      <c r="AC70" s="3">
        <v>15000</v>
      </c>
      <c r="AD70" s="3">
        <v>10000</v>
      </c>
      <c r="AE70" s="3">
        <v>25010001</v>
      </c>
      <c r="AF70" s="8">
        <v>40</v>
      </c>
      <c r="AG70" s="8">
        <v>0</v>
      </c>
      <c r="AH70" s="8">
        <v>0</v>
      </c>
      <c r="AI70" s="8">
        <v>0</v>
      </c>
      <c r="AJ70" s="8">
        <v>0</v>
      </c>
    </row>
    <row r="71" ht="14.25" spans="1:36">
      <c r="A71" s="3">
        <v>21110</v>
      </c>
      <c r="B71" s="3">
        <v>30</v>
      </c>
      <c r="C71" s="3" t="s">
        <v>130</v>
      </c>
      <c r="D71" s="3"/>
      <c r="F71" s="3"/>
      <c r="G71" s="3">
        <v>12</v>
      </c>
      <c r="H71" s="3">
        <v>1</v>
      </c>
      <c r="I71" s="3" t="s">
        <v>81</v>
      </c>
      <c r="J71" s="3">
        <v>0</v>
      </c>
      <c r="K71" s="3" t="s">
        <v>131</v>
      </c>
      <c r="L71" s="3">
        <v>800011011</v>
      </c>
      <c r="M71" s="3">
        <v>1</v>
      </c>
      <c r="N71" s="3">
        <v>100</v>
      </c>
      <c r="O71" s="3">
        <v>0</v>
      </c>
      <c r="P71" s="3">
        <v>15</v>
      </c>
      <c r="Q71" s="3">
        <v>0</v>
      </c>
      <c r="R71" s="15">
        <v>36</v>
      </c>
      <c r="S71" s="3">
        <v>-5500</v>
      </c>
      <c r="T71" s="3">
        <v>1</v>
      </c>
      <c r="U71" s="3">
        <v>0</v>
      </c>
      <c r="V71" s="3" t="s">
        <v>110</v>
      </c>
      <c r="W71" s="3" t="s">
        <v>111</v>
      </c>
      <c r="X71" s="3" t="s">
        <v>124</v>
      </c>
      <c r="Y71" s="16">
        <v>211001001</v>
      </c>
      <c r="Z71" s="16">
        <v>0</v>
      </c>
      <c r="AA71" s="3">
        <v>1</v>
      </c>
      <c r="AB71" s="8" t="s">
        <v>83</v>
      </c>
      <c r="AC71" s="3">
        <v>15000</v>
      </c>
      <c r="AD71" s="3">
        <v>10000</v>
      </c>
      <c r="AE71" s="3">
        <v>25010001</v>
      </c>
      <c r="AF71" s="8">
        <v>40</v>
      </c>
      <c r="AG71" s="8">
        <v>0</v>
      </c>
      <c r="AH71" s="8">
        <v>0</v>
      </c>
      <c r="AI71" s="8">
        <v>0</v>
      </c>
      <c r="AJ71" s="8">
        <v>0</v>
      </c>
    </row>
    <row r="72" ht="14.25" spans="1:36">
      <c r="A72" s="3">
        <v>21111</v>
      </c>
      <c r="B72" s="3">
        <v>30</v>
      </c>
      <c r="C72" s="3" t="s">
        <v>132</v>
      </c>
      <c r="D72" s="3"/>
      <c r="F72" s="3"/>
      <c r="G72" s="3">
        <v>12</v>
      </c>
      <c r="H72" s="3">
        <v>1</v>
      </c>
      <c r="I72" s="3" t="s">
        <v>81</v>
      </c>
      <c r="J72" s="3">
        <v>0</v>
      </c>
      <c r="K72" s="3" t="s">
        <v>133</v>
      </c>
      <c r="L72" s="3">
        <v>800011021</v>
      </c>
      <c r="M72" s="3">
        <v>1</v>
      </c>
      <c r="N72" s="3">
        <v>100</v>
      </c>
      <c r="O72" s="3">
        <v>0</v>
      </c>
      <c r="P72" s="3">
        <v>15</v>
      </c>
      <c r="Q72" s="3">
        <v>0</v>
      </c>
      <c r="R72" s="15">
        <v>36</v>
      </c>
      <c r="S72" s="3">
        <v>-5500</v>
      </c>
      <c r="T72" s="3">
        <v>1</v>
      </c>
      <c r="U72" s="3">
        <v>0</v>
      </c>
      <c r="V72" s="3" t="s">
        <v>110</v>
      </c>
      <c r="W72" s="3" t="s">
        <v>111</v>
      </c>
      <c r="X72" s="3" t="s">
        <v>124</v>
      </c>
      <c r="Y72" s="16">
        <v>211002001</v>
      </c>
      <c r="Z72" s="16">
        <v>0</v>
      </c>
      <c r="AA72" s="3">
        <v>1</v>
      </c>
      <c r="AB72" s="8" t="s">
        <v>83</v>
      </c>
      <c r="AC72" s="3">
        <v>15000</v>
      </c>
      <c r="AD72" s="3">
        <v>10000</v>
      </c>
      <c r="AE72" s="3">
        <v>25010001</v>
      </c>
      <c r="AF72" s="8">
        <v>40</v>
      </c>
      <c r="AG72" s="8">
        <v>0</v>
      </c>
      <c r="AH72" s="8">
        <v>0</v>
      </c>
      <c r="AI72" s="8">
        <v>0</v>
      </c>
      <c r="AJ72" s="8">
        <v>0</v>
      </c>
    </row>
    <row r="73" ht="14.25" spans="1:36">
      <c r="A73" s="3">
        <v>21112</v>
      </c>
      <c r="B73" s="3">
        <v>30</v>
      </c>
      <c r="C73" s="3" t="s">
        <v>134</v>
      </c>
      <c r="D73" s="3"/>
      <c r="F73" s="3"/>
      <c r="G73" s="3">
        <v>12</v>
      </c>
      <c r="H73" s="3">
        <v>1</v>
      </c>
      <c r="I73" s="3" t="s">
        <v>81</v>
      </c>
      <c r="J73" s="3">
        <v>0</v>
      </c>
      <c r="K73" s="3" t="s">
        <v>135</v>
      </c>
      <c r="L73" s="3">
        <v>800003011</v>
      </c>
      <c r="M73" s="3">
        <v>1</v>
      </c>
      <c r="N73" s="3">
        <v>100</v>
      </c>
      <c r="O73" s="3">
        <v>0</v>
      </c>
      <c r="P73" s="3">
        <v>15</v>
      </c>
      <c r="Q73" s="3">
        <v>0</v>
      </c>
      <c r="R73" s="15">
        <v>36</v>
      </c>
      <c r="S73" s="3">
        <v>-5500</v>
      </c>
      <c r="T73" s="3">
        <v>1</v>
      </c>
      <c r="U73" s="3">
        <v>0</v>
      </c>
      <c r="V73" s="3" t="s">
        <v>110</v>
      </c>
      <c r="W73" s="3" t="s">
        <v>111</v>
      </c>
      <c r="X73" s="3" t="s">
        <v>124</v>
      </c>
      <c r="Y73" s="16">
        <v>203001001</v>
      </c>
      <c r="Z73" s="16">
        <v>0</v>
      </c>
      <c r="AA73" s="3">
        <v>1</v>
      </c>
      <c r="AB73" s="8" t="s">
        <v>83</v>
      </c>
      <c r="AC73" s="3">
        <v>15000</v>
      </c>
      <c r="AD73" s="3">
        <v>10000</v>
      </c>
      <c r="AE73" s="3">
        <v>25010001</v>
      </c>
      <c r="AF73" s="8">
        <v>40</v>
      </c>
      <c r="AG73" s="8">
        <v>0</v>
      </c>
      <c r="AH73" s="8">
        <v>0</v>
      </c>
      <c r="AI73" s="8">
        <v>0</v>
      </c>
      <c r="AJ73" s="8">
        <v>0</v>
      </c>
    </row>
    <row r="74" ht="14.25" spans="1:36">
      <c r="A74" s="3">
        <v>21113</v>
      </c>
      <c r="B74" s="3">
        <v>30</v>
      </c>
      <c r="C74" s="3" t="s">
        <v>136</v>
      </c>
      <c r="D74" s="3"/>
      <c r="F74" s="3"/>
      <c r="G74" s="3">
        <v>12</v>
      </c>
      <c r="H74" s="3">
        <v>1</v>
      </c>
      <c r="I74" s="3" t="s">
        <v>81</v>
      </c>
      <c r="J74" s="3">
        <v>0</v>
      </c>
      <c r="K74" s="3" t="s">
        <v>137</v>
      </c>
      <c r="L74" s="3">
        <v>800003021</v>
      </c>
      <c r="M74" s="3">
        <v>1</v>
      </c>
      <c r="N74" s="3">
        <v>500</v>
      </c>
      <c r="O74" s="3">
        <v>0</v>
      </c>
      <c r="P74" s="3">
        <v>42</v>
      </c>
      <c r="Q74" s="3">
        <v>3</v>
      </c>
      <c r="R74" s="15">
        <v>1496</v>
      </c>
      <c r="S74" s="3">
        <v>-5500</v>
      </c>
      <c r="T74" s="3">
        <v>1</v>
      </c>
      <c r="U74" s="3">
        <v>30000</v>
      </c>
      <c r="V74" s="3" t="s">
        <v>110</v>
      </c>
      <c r="W74" s="3" t="s">
        <v>111</v>
      </c>
      <c r="X74" s="3" t="s">
        <v>138</v>
      </c>
      <c r="Y74" s="16">
        <v>203002011</v>
      </c>
      <c r="Z74" s="16">
        <v>0</v>
      </c>
      <c r="AA74" s="3">
        <v>1</v>
      </c>
      <c r="AB74" s="8" t="s">
        <v>139</v>
      </c>
      <c r="AC74" s="3">
        <v>15000</v>
      </c>
      <c r="AD74" s="3">
        <v>10000</v>
      </c>
      <c r="AE74" s="3">
        <v>25010001</v>
      </c>
      <c r="AF74" s="8">
        <v>40</v>
      </c>
      <c r="AG74" s="8">
        <v>1000</v>
      </c>
      <c r="AH74" s="8">
        <v>5000</v>
      </c>
      <c r="AI74" s="8">
        <v>40</v>
      </c>
      <c r="AJ74" s="8">
        <v>0</v>
      </c>
    </row>
    <row r="75" ht="14.25" spans="1:36">
      <c r="A75" s="3">
        <v>21114</v>
      </c>
      <c r="B75" s="3">
        <v>30</v>
      </c>
      <c r="C75" s="3" t="s">
        <v>140</v>
      </c>
      <c r="D75" s="3"/>
      <c r="F75" s="3"/>
      <c r="G75" s="3">
        <v>12</v>
      </c>
      <c r="H75" s="3">
        <v>1</v>
      </c>
      <c r="I75" s="3" t="s">
        <v>81</v>
      </c>
      <c r="J75" s="3">
        <v>0</v>
      </c>
      <c r="K75" s="3" t="s">
        <v>141</v>
      </c>
      <c r="L75" s="3">
        <v>800003031</v>
      </c>
      <c r="M75" s="3">
        <v>1</v>
      </c>
      <c r="N75" s="3">
        <v>100</v>
      </c>
      <c r="O75" s="3">
        <v>0</v>
      </c>
      <c r="P75" s="3">
        <v>15</v>
      </c>
      <c r="Q75" s="3">
        <v>0</v>
      </c>
      <c r="R75" s="15">
        <v>36</v>
      </c>
      <c r="S75" s="3">
        <v>-5500</v>
      </c>
      <c r="T75" s="3">
        <v>1</v>
      </c>
      <c r="U75" s="3">
        <v>0</v>
      </c>
      <c r="V75" s="3" t="s">
        <v>110</v>
      </c>
      <c r="W75" s="3" t="s">
        <v>111</v>
      </c>
      <c r="X75" s="3" t="s">
        <v>124</v>
      </c>
      <c r="Y75" s="16">
        <v>203003001</v>
      </c>
      <c r="Z75" s="16">
        <v>0</v>
      </c>
      <c r="AA75" s="3">
        <v>1</v>
      </c>
      <c r="AB75" s="8" t="s">
        <v>83</v>
      </c>
      <c r="AC75" s="3">
        <v>15000</v>
      </c>
      <c r="AD75" s="3">
        <v>10000</v>
      </c>
      <c r="AE75" s="3">
        <v>0</v>
      </c>
      <c r="AF75" s="8">
        <v>40</v>
      </c>
      <c r="AG75" s="8">
        <v>0</v>
      </c>
      <c r="AH75" s="8">
        <v>0</v>
      </c>
      <c r="AI75" s="8">
        <v>0</v>
      </c>
      <c r="AJ75" s="8">
        <v>0</v>
      </c>
    </row>
    <row r="76" spans="1:36">
      <c r="A76" s="3">
        <v>21115</v>
      </c>
      <c r="B76" s="2">
        <v>30</v>
      </c>
      <c r="C76" s="2" t="s">
        <v>142</v>
      </c>
      <c r="D76" s="2"/>
      <c r="E76" s="12"/>
      <c r="F76" s="2"/>
      <c r="G76" s="2">
        <v>12</v>
      </c>
      <c r="H76" s="2">
        <v>1</v>
      </c>
      <c r="I76" s="2" t="s">
        <v>81</v>
      </c>
      <c r="J76" s="2">
        <v>0</v>
      </c>
      <c r="K76" s="2"/>
      <c r="L76" s="2">
        <v>1000011</v>
      </c>
      <c r="M76" s="2">
        <v>1</v>
      </c>
      <c r="N76" s="2">
        <v>100</v>
      </c>
      <c r="O76" s="2">
        <v>0</v>
      </c>
      <c r="P76" s="2">
        <v>15</v>
      </c>
      <c r="Q76" s="2">
        <v>0</v>
      </c>
      <c r="R76" s="2">
        <v>36</v>
      </c>
      <c r="S76" s="2">
        <v>-5500</v>
      </c>
      <c r="T76" s="2">
        <v>1</v>
      </c>
      <c r="U76" s="2">
        <v>0</v>
      </c>
      <c r="V76" s="2" t="s">
        <v>110</v>
      </c>
      <c r="W76" s="2" t="s">
        <v>111</v>
      </c>
      <c r="X76" s="2" t="s">
        <v>124</v>
      </c>
      <c r="Y76" s="17">
        <v>201002011</v>
      </c>
      <c r="Z76" s="17">
        <v>0</v>
      </c>
      <c r="AA76" s="2">
        <v>1</v>
      </c>
      <c r="AB76" s="12" t="s">
        <v>83</v>
      </c>
      <c r="AC76" s="2">
        <v>15000</v>
      </c>
      <c r="AD76" s="2">
        <v>10000</v>
      </c>
      <c r="AE76" s="2">
        <v>0</v>
      </c>
      <c r="AF76" s="8">
        <v>40</v>
      </c>
      <c r="AG76" s="8">
        <v>0</v>
      </c>
      <c r="AH76" s="8">
        <v>0</v>
      </c>
      <c r="AI76" s="8">
        <v>0</v>
      </c>
      <c r="AJ76" s="8">
        <v>0</v>
      </c>
    </row>
    <row r="77" spans="1:36">
      <c r="A77" s="3">
        <v>31101</v>
      </c>
      <c r="B77" s="3">
        <v>30</v>
      </c>
      <c r="C77" s="3" t="s">
        <v>108</v>
      </c>
      <c r="D77" s="3"/>
      <c r="F77" s="3"/>
      <c r="G77" s="3">
        <v>12</v>
      </c>
      <c r="H77" s="3">
        <v>1</v>
      </c>
      <c r="I77" s="3" t="s">
        <v>81</v>
      </c>
      <c r="J77" s="3">
        <v>0</v>
      </c>
      <c r="K77" s="3" t="s">
        <v>109</v>
      </c>
      <c r="L77" s="3">
        <v>800001011</v>
      </c>
      <c r="M77" s="3">
        <v>1</v>
      </c>
      <c r="N77" s="3">
        <v>70</v>
      </c>
      <c r="O77" s="3">
        <v>0</v>
      </c>
      <c r="P77" s="3">
        <v>15</v>
      </c>
      <c r="Q77" s="3">
        <v>0</v>
      </c>
      <c r="R77" s="3">
        <v>20</v>
      </c>
      <c r="S77" s="3">
        <v>-5500</v>
      </c>
      <c r="T77" s="3">
        <v>1</v>
      </c>
      <c r="U77" s="3">
        <v>0</v>
      </c>
      <c r="V77" s="3" t="s">
        <v>110</v>
      </c>
      <c r="W77" s="3" t="s">
        <v>111</v>
      </c>
      <c r="X77" s="3" t="s">
        <v>112</v>
      </c>
      <c r="Y77" s="16">
        <v>201001011</v>
      </c>
      <c r="Z77" s="16">
        <v>0</v>
      </c>
      <c r="AA77" s="3">
        <v>1</v>
      </c>
      <c r="AB77" s="8" t="s">
        <v>113</v>
      </c>
      <c r="AC77" s="3">
        <v>15000</v>
      </c>
      <c r="AD77" s="3">
        <v>10000</v>
      </c>
      <c r="AE77" s="3">
        <v>25010001</v>
      </c>
      <c r="AF77" s="8">
        <v>40</v>
      </c>
      <c r="AG77" s="8">
        <v>10000</v>
      </c>
      <c r="AH77" s="8">
        <v>10000</v>
      </c>
      <c r="AI77" s="8">
        <v>50</v>
      </c>
      <c r="AJ77" s="8">
        <v>0</v>
      </c>
    </row>
    <row r="78" spans="1:36">
      <c r="A78" s="3">
        <v>31102</v>
      </c>
      <c r="B78" s="3">
        <v>30</v>
      </c>
      <c r="C78" s="3" t="s">
        <v>114</v>
      </c>
      <c r="D78" s="3"/>
      <c r="F78" s="3"/>
      <c r="G78" s="3">
        <v>12</v>
      </c>
      <c r="H78" s="3">
        <v>1</v>
      </c>
      <c r="I78" s="3" t="s">
        <v>81</v>
      </c>
      <c r="J78" s="3">
        <v>0</v>
      </c>
      <c r="K78" s="3" t="s">
        <v>115</v>
      </c>
      <c r="L78" s="3">
        <v>800001021</v>
      </c>
      <c r="M78" s="3">
        <v>1</v>
      </c>
      <c r="N78" s="3">
        <v>200</v>
      </c>
      <c r="O78" s="3">
        <v>0</v>
      </c>
      <c r="P78" s="3">
        <v>30</v>
      </c>
      <c r="Q78" s="3">
        <v>2</v>
      </c>
      <c r="R78" s="3">
        <v>105</v>
      </c>
      <c r="S78" s="3">
        <v>-5500</v>
      </c>
      <c r="T78" s="3">
        <v>1</v>
      </c>
      <c r="U78" s="3">
        <v>0</v>
      </c>
      <c r="V78" s="3" t="s">
        <v>110</v>
      </c>
      <c r="W78" s="3" t="s">
        <v>111</v>
      </c>
      <c r="X78" s="3" t="s">
        <v>112</v>
      </c>
      <c r="Y78" s="16">
        <v>201002011</v>
      </c>
      <c r="Z78" s="16">
        <v>0</v>
      </c>
      <c r="AA78" s="3">
        <v>1</v>
      </c>
      <c r="AB78" s="8" t="s">
        <v>116</v>
      </c>
      <c r="AC78" s="3">
        <v>15000</v>
      </c>
      <c r="AD78" s="3">
        <v>10000</v>
      </c>
      <c r="AE78" s="3">
        <v>25010001</v>
      </c>
      <c r="AF78" s="8">
        <v>40</v>
      </c>
      <c r="AG78" s="8">
        <v>3000</v>
      </c>
      <c r="AH78" s="8">
        <v>10000</v>
      </c>
      <c r="AI78" s="8">
        <v>15</v>
      </c>
      <c r="AJ78" s="8">
        <v>0</v>
      </c>
    </row>
    <row r="79" spans="1:36">
      <c r="A79" s="3">
        <v>31103</v>
      </c>
      <c r="B79" s="2">
        <v>30</v>
      </c>
      <c r="C79" s="2" t="s">
        <v>117</v>
      </c>
      <c r="D79" s="2"/>
      <c r="E79" s="12"/>
      <c r="F79" s="2"/>
      <c r="G79" s="2">
        <v>12</v>
      </c>
      <c r="H79" s="2">
        <v>1</v>
      </c>
      <c r="I79" s="2" t="s">
        <v>81</v>
      </c>
      <c r="J79" s="2">
        <v>0</v>
      </c>
      <c r="K79" s="2"/>
      <c r="L79" s="2">
        <v>800001021</v>
      </c>
      <c r="M79" s="2">
        <v>1</v>
      </c>
      <c r="N79" s="2">
        <v>70</v>
      </c>
      <c r="O79" s="2">
        <v>0</v>
      </c>
      <c r="P79" s="2">
        <v>15</v>
      </c>
      <c r="Q79" s="2">
        <v>1</v>
      </c>
      <c r="R79" s="2">
        <v>300</v>
      </c>
      <c r="S79" s="2">
        <v>-5500</v>
      </c>
      <c r="T79" s="2">
        <v>1</v>
      </c>
      <c r="U79" s="2">
        <v>250</v>
      </c>
      <c r="V79" s="2" t="s">
        <v>110</v>
      </c>
      <c r="W79" s="2" t="s">
        <v>111</v>
      </c>
      <c r="X79" s="2" t="s">
        <v>112</v>
      </c>
      <c r="Y79" s="17">
        <v>201001011</v>
      </c>
      <c r="Z79" s="17">
        <v>0</v>
      </c>
      <c r="AA79" s="2">
        <v>1</v>
      </c>
      <c r="AB79" s="12" t="s">
        <v>113</v>
      </c>
      <c r="AC79" s="2">
        <v>15000</v>
      </c>
      <c r="AD79" s="2">
        <v>10000</v>
      </c>
      <c r="AE79" s="2">
        <v>25010001</v>
      </c>
      <c r="AF79" s="8">
        <v>40</v>
      </c>
      <c r="AG79" s="8">
        <v>0</v>
      </c>
      <c r="AH79" s="8">
        <v>0</v>
      </c>
      <c r="AI79" s="8">
        <v>0</v>
      </c>
      <c r="AJ79" s="8">
        <v>0</v>
      </c>
    </row>
    <row r="80" spans="1:36">
      <c r="A80" s="3">
        <v>31104</v>
      </c>
      <c r="B80" s="3">
        <v>30</v>
      </c>
      <c r="C80" s="3" t="s">
        <v>118</v>
      </c>
      <c r="D80" s="3"/>
      <c r="F80" s="3"/>
      <c r="G80" s="3">
        <v>12</v>
      </c>
      <c r="H80" s="3">
        <v>1</v>
      </c>
      <c r="I80" s="3" t="s">
        <v>81</v>
      </c>
      <c r="J80" s="3">
        <v>0</v>
      </c>
      <c r="K80" s="3" t="s">
        <v>119</v>
      </c>
      <c r="L80" s="3">
        <v>800001041</v>
      </c>
      <c r="M80" s="3">
        <v>1</v>
      </c>
      <c r="N80" s="3">
        <v>70</v>
      </c>
      <c r="O80" s="3">
        <v>0</v>
      </c>
      <c r="P80" s="3">
        <v>24</v>
      </c>
      <c r="Q80" s="3">
        <v>0</v>
      </c>
      <c r="R80" s="3">
        <v>17</v>
      </c>
      <c r="S80" s="3">
        <v>-5500</v>
      </c>
      <c r="T80" s="3">
        <v>1</v>
      </c>
      <c r="U80" s="3">
        <v>0</v>
      </c>
      <c r="V80" s="3" t="s">
        <v>110</v>
      </c>
      <c r="W80" s="3" t="s">
        <v>111</v>
      </c>
      <c r="X80" s="3" t="s">
        <v>112</v>
      </c>
      <c r="Y80" s="16">
        <v>201004011</v>
      </c>
      <c r="Z80" s="16">
        <v>0</v>
      </c>
      <c r="AA80" s="3">
        <v>1</v>
      </c>
      <c r="AB80" s="8" t="s">
        <v>113</v>
      </c>
      <c r="AC80" s="3">
        <v>15000</v>
      </c>
      <c r="AD80" s="3">
        <v>10000</v>
      </c>
      <c r="AE80" s="3">
        <v>25010001</v>
      </c>
      <c r="AF80" s="8">
        <v>40</v>
      </c>
      <c r="AG80" s="8">
        <v>10000</v>
      </c>
      <c r="AH80" s="8">
        <v>10000</v>
      </c>
      <c r="AI80" s="8">
        <v>80</v>
      </c>
      <c r="AJ80" s="8">
        <v>10</v>
      </c>
    </row>
    <row r="81" spans="1:36">
      <c r="A81" s="3">
        <v>31105</v>
      </c>
      <c r="B81" s="3">
        <v>30</v>
      </c>
      <c r="C81" s="3" t="s">
        <v>120</v>
      </c>
      <c r="D81" s="3"/>
      <c r="F81" s="3"/>
      <c r="G81" s="3">
        <v>12</v>
      </c>
      <c r="H81" s="3">
        <v>1</v>
      </c>
      <c r="I81" s="3" t="s">
        <v>81</v>
      </c>
      <c r="J81" s="3">
        <v>0</v>
      </c>
      <c r="K81" s="3" t="s">
        <v>121</v>
      </c>
      <c r="L81" s="3">
        <v>800014011</v>
      </c>
      <c r="M81" s="3">
        <v>1</v>
      </c>
      <c r="N81" s="3">
        <v>125</v>
      </c>
      <c r="O81" s="3">
        <v>0</v>
      </c>
      <c r="P81" s="3">
        <v>19</v>
      </c>
      <c r="Q81" s="3">
        <v>1</v>
      </c>
      <c r="R81" s="3">
        <v>43</v>
      </c>
      <c r="S81" s="3">
        <v>-5500</v>
      </c>
      <c r="T81" s="3">
        <v>1</v>
      </c>
      <c r="U81" s="3">
        <v>0</v>
      </c>
      <c r="V81" s="3" t="s">
        <v>110</v>
      </c>
      <c r="W81" s="3" t="s">
        <v>111</v>
      </c>
      <c r="X81" s="3" t="s">
        <v>112</v>
      </c>
      <c r="Y81" s="16">
        <v>214001011</v>
      </c>
      <c r="Z81" s="16">
        <v>0</v>
      </c>
      <c r="AA81" s="3">
        <v>1</v>
      </c>
      <c r="AB81" s="8" t="s">
        <v>122</v>
      </c>
      <c r="AC81" s="3">
        <v>15000</v>
      </c>
      <c r="AD81" s="3">
        <v>10000</v>
      </c>
      <c r="AE81" s="3">
        <v>25010001</v>
      </c>
      <c r="AF81" s="8">
        <v>40</v>
      </c>
      <c r="AG81" s="8">
        <v>10000</v>
      </c>
      <c r="AH81" s="8">
        <v>10000</v>
      </c>
      <c r="AI81" s="8">
        <v>40</v>
      </c>
      <c r="AJ81" s="8">
        <v>0</v>
      </c>
    </row>
    <row r="82" spans="1:36">
      <c r="A82" s="3">
        <v>31106</v>
      </c>
      <c r="B82" s="2">
        <v>30</v>
      </c>
      <c r="C82" s="2" t="s">
        <v>123</v>
      </c>
      <c r="D82" s="2"/>
      <c r="E82" s="12"/>
      <c r="F82" s="2"/>
      <c r="G82" s="2">
        <v>12</v>
      </c>
      <c r="H82" s="2">
        <v>1</v>
      </c>
      <c r="I82" s="2" t="s">
        <v>81</v>
      </c>
      <c r="J82" s="2">
        <v>0</v>
      </c>
      <c r="K82" s="2"/>
      <c r="L82" s="2">
        <v>1000010</v>
      </c>
      <c r="M82" s="2">
        <v>1</v>
      </c>
      <c r="N82" s="2">
        <v>100</v>
      </c>
      <c r="O82" s="2">
        <v>0</v>
      </c>
      <c r="P82" s="2">
        <v>15</v>
      </c>
      <c r="Q82" s="2">
        <v>0</v>
      </c>
      <c r="R82" s="2">
        <v>36</v>
      </c>
      <c r="S82" s="2">
        <v>-5500</v>
      </c>
      <c r="T82" s="2">
        <v>1</v>
      </c>
      <c r="U82" s="2">
        <v>0</v>
      </c>
      <c r="V82" s="2" t="s">
        <v>110</v>
      </c>
      <c r="W82" s="2" t="s">
        <v>111</v>
      </c>
      <c r="X82" s="2" t="s">
        <v>124</v>
      </c>
      <c r="Y82" s="2">
        <v>201002011</v>
      </c>
      <c r="Z82" s="17">
        <v>0</v>
      </c>
      <c r="AA82" s="2">
        <v>1</v>
      </c>
      <c r="AB82" s="12" t="s">
        <v>83</v>
      </c>
      <c r="AC82" s="2">
        <v>15000</v>
      </c>
      <c r="AD82" s="2">
        <v>10000</v>
      </c>
      <c r="AE82" s="2">
        <v>25010001</v>
      </c>
      <c r="AF82" s="8">
        <v>40</v>
      </c>
      <c r="AG82" s="8">
        <v>0</v>
      </c>
      <c r="AH82" s="8">
        <v>0</v>
      </c>
      <c r="AI82" s="8">
        <v>0</v>
      </c>
      <c r="AJ82" s="8">
        <v>0</v>
      </c>
    </row>
    <row r="83" spans="1:36">
      <c r="A83" s="3">
        <v>31107</v>
      </c>
      <c r="B83" s="2">
        <v>30</v>
      </c>
      <c r="C83" s="2" t="s">
        <v>125</v>
      </c>
      <c r="D83" s="2"/>
      <c r="E83" s="12"/>
      <c r="F83" s="2"/>
      <c r="G83" s="2">
        <v>12</v>
      </c>
      <c r="H83" s="2">
        <v>1</v>
      </c>
      <c r="I83" s="2" t="s">
        <v>81</v>
      </c>
      <c r="J83" s="2">
        <v>0</v>
      </c>
      <c r="K83" s="2" t="s">
        <v>121</v>
      </c>
      <c r="L83" s="2">
        <v>800014011</v>
      </c>
      <c r="M83" s="2">
        <v>1</v>
      </c>
      <c r="N83" s="2">
        <v>100</v>
      </c>
      <c r="O83" s="2">
        <v>0</v>
      </c>
      <c r="P83" s="2">
        <v>15</v>
      </c>
      <c r="Q83" s="2">
        <v>0</v>
      </c>
      <c r="R83" s="2">
        <v>36</v>
      </c>
      <c r="S83" s="2">
        <v>-5500</v>
      </c>
      <c r="T83" s="2">
        <v>1</v>
      </c>
      <c r="U83" s="2">
        <v>0</v>
      </c>
      <c r="V83" s="2" t="s">
        <v>110</v>
      </c>
      <c r="W83" s="2" t="s">
        <v>111</v>
      </c>
      <c r="X83" s="2" t="s">
        <v>124</v>
      </c>
      <c r="Y83" s="2">
        <v>214001011</v>
      </c>
      <c r="Z83" s="17">
        <v>0</v>
      </c>
      <c r="AA83" s="2">
        <v>1</v>
      </c>
      <c r="AB83" s="12" t="s">
        <v>83</v>
      </c>
      <c r="AC83" s="2">
        <v>15000</v>
      </c>
      <c r="AD83" s="2">
        <v>10000</v>
      </c>
      <c r="AE83" s="2">
        <v>25010001</v>
      </c>
      <c r="AF83" s="8">
        <v>40</v>
      </c>
      <c r="AG83" s="8">
        <v>0</v>
      </c>
      <c r="AH83" s="8">
        <v>0</v>
      </c>
      <c r="AI83" s="8">
        <v>0</v>
      </c>
      <c r="AJ83" s="8">
        <v>0</v>
      </c>
    </row>
    <row r="84" ht="14.25" spans="1:36">
      <c r="A84" s="3">
        <v>31108</v>
      </c>
      <c r="B84" s="3">
        <v>30</v>
      </c>
      <c r="C84" s="3" t="s">
        <v>126</v>
      </c>
      <c r="D84" s="3"/>
      <c r="F84" s="3"/>
      <c r="G84" s="3">
        <v>12</v>
      </c>
      <c r="H84" s="3">
        <v>1</v>
      </c>
      <c r="I84" s="3" t="s">
        <v>81</v>
      </c>
      <c r="J84" s="3">
        <v>0</v>
      </c>
      <c r="K84" s="3" t="s">
        <v>127</v>
      </c>
      <c r="L84" s="3">
        <v>800004011</v>
      </c>
      <c r="M84" s="3">
        <v>1</v>
      </c>
      <c r="N84" s="3">
        <v>100</v>
      </c>
      <c r="O84" s="3">
        <v>0</v>
      </c>
      <c r="P84" s="3">
        <v>15</v>
      </c>
      <c r="Q84" s="3">
        <v>0</v>
      </c>
      <c r="R84" s="15">
        <v>36</v>
      </c>
      <c r="S84" s="3">
        <v>-5500</v>
      </c>
      <c r="T84" s="3">
        <v>1</v>
      </c>
      <c r="U84" s="3">
        <v>0</v>
      </c>
      <c r="V84" s="3" t="s">
        <v>110</v>
      </c>
      <c r="W84" s="3" t="s">
        <v>111</v>
      </c>
      <c r="X84" s="3" t="s">
        <v>124</v>
      </c>
      <c r="Y84" s="16">
        <v>204001001</v>
      </c>
      <c r="Z84" s="16">
        <v>0</v>
      </c>
      <c r="AA84" s="3">
        <v>1</v>
      </c>
      <c r="AB84" s="8" t="s">
        <v>83</v>
      </c>
      <c r="AC84" s="3">
        <v>15000</v>
      </c>
      <c r="AD84" s="3">
        <v>10000</v>
      </c>
      <c r="AE84" s="3">
        <v>25010001</v>
      </c>
      <c r="AF84" s="8">
        <v>40</v>
      </c>
      <c r="AG84" s="8">
        <v>0</v>
      </c>
      <c r="AH84" s="8">
        <v>0</v>
      </c>
      <c r="AI84" s="8">
        <v>0</v>
      </c>
      <c r="AJ84" s="8">
        <v>0</v>
      </c>
    </row>
    <row r="85" ht="14.25" spans="1:36">
      <c r="A85" s="3">
        <v>31109</v>
      </c>
      <c r="B85" s="3">
        <v>30</v>
      </c>
      <c r="C85" s="3" t="s">
        <v>128</v>
      </c>
      <c r="D85" s="3"/>
      <c r="F85" s="3"/>
      <c r="G85" s="3">
        <v>12</v>
      </c>
      <c r="H85" s="3">
        <v>1</v>
      </c>
      <c r="I85" s="3" t="s">
        <v>81</v>
      </c>
      <c r="J85" s="3">
        <v>0</v>
      </c>
      <c r="K85" s="3" t="s">
        <v>129</v>
      </c>
      <c r="L85" s="3">
        <v>800004021</v>
      </c>
      <c r="M85" s="3">
        <v>1</v>
      </c>
      <c r="N85" s="3">
        <v>100</v>
      </c>
      <c r="O85" s="3">
        <v>0</v>
      </c>
      <c r="P85" s="3">
        <v>15</v>
      </c>
      <c r="Q85" s="3">
        <v>0</v>
      </c>
      <c r="R85" s="15">
        <v>36</v>
      </c>
      <c r="S85" s="3">
        <v>-5500</v>
      </c>
      <c r="T85" s="3">
        <v>1</v>
      </c>
      <c r="U85" s="3">
        <v>0</v>
      </c>
      <c r="V85" s="3" t="s">
        <v>110</v>
      </c>
      <c r="W85" s="3" t="s">
        <v>111</v>
      </c>
      <c r="X85" s="3" t="s">
        <v>124</v>
      </c>
      <c r="Y85" s="16">
        <v>204002001</v>
      </c>
      <c r="Z85" s="16">
        <v>0</v>
      </c>
      <c r="AA85" s="3">
        <v>1</v>
      </c>
      <c r="AB85" s="8" t="s">
        <v>83</v>
      </c>
      <c r="AC85" s="3">
        <v>15000</v>
      </c>
      <c r="AD85" s="3">
        <v>10000</v>
      </c>
      <c r="AE85" s="3">
        <v>25010001</v>
      </c>
      <c r="AF85" s="8">
        <v>40</v>
      </c>
      <c r="AG85" s="8">
        <v>0</v>
      </c>
      <c r="AH85" s="8">
        <v>0</v>
      </c>
      <c r="AI85" s="8">
        <v>0</v>
      </c>
      <c r="AJ85" s="8">
        <v>0</v>
      </c>
    </row>
    <row r="86" ht="14.25" spans="1:36">
      <c r="A86" s="3">
        <v>31110</v>
      </c>
      <c r="B86" s="3">
        <v>30</v>
      </c>
      <c r="C86" s="3" t="s">
        <v>130</v>
      </c>
      <c r="D86" s="3"/>
      <c r="F86" s="3"/>
      <c r="G86" s="3">
        <v>12</v>
      </c>
      <c r="H86" s="3">
        <v>1</v>
      </c>
      <c r="I86" s="3" t="s">
        <v>81</v>
      </c>
      <c r="J86" s="3">
        <v>0</v>
      </c>
      <c r="K86" s="3" t="s">
        <v>131</v>
      </c>
      <c r="L86" s="3">
        <v>800011011</v>
      </c>
      <c r="M86" s="3">
        <v>1</v>
      </c>
      <c r="N86" s="3">
        <v>100</v>
      </c>
      <c r="O86" s="3">
        <v>0</v>
      </c>
      <c r="P86" s="3">
        <v>15</v>
      </c>
      <c r="Q86" s="3">
        <v>0</v>
      </c>
      <c r="R86" s="15">
        <v>36</v>
      </c>
      <c r="S86" s="3">
        <v>-5500</v>
      </c>
      <c r="T86" s="3">
        <v>1</v>
      </c>
      <c r="U86" s="3">
        <v>0</v>
      </c>
      <c r="V86" s="3" t="s">
        <v>110</v>
      </c>
      <c r="W86" s="3" t="s">
        <v>111</v>
      </c>
      <c r="X86" s="3" t="s">
        <v>124</v>
      </c>
      <c r="Y86" s="16">
        <v>211001001</v>
      </c>
      <c r="Z86" s="16">
        <v>0</v>
      </c>
      <c r="AA86" s="3">
        <v>1</v>
      </c>
      <c r="AB86" s="8" t="s">
        <v>83</v>
      </c>
      <c r="AC86" s="3">
        <v>15000</v>
      </c>
      <c r="AD86" s="3">
        <v>10000</v>
      </c>
      <c r="AE86" s="3">
        <v>25010001</v>
      </c>
      <c r="AF86" s="8">
        <v>40</v>
      </c>
      <c r="AG86" s="8">
        <v>0</v>
      </c>
      <c r="AH86" s="8">
        <v>0</v>
      </c>
      <c r="AI86" s="8">
        <v>0</v>
      </c>
      <c r="AJ86" s="8">
        <v>0</v>
      </c>
    </row>
    <row r="87" ht="14.25" spans="1:36">
      <c r="A87" s="3">
        <v>31111</v>
      </c>
      <c r="B87" s="3">
        <v>30</v>
      </c>
      <c r="C87" s="3" t="s">
        <v>132</v>
      </c>
      <c r="D87" s="3"/>
      <c r="F87" s="3"/>
      <c r="G87" s="3">
        <v>12</v>
      </c>
      <c r="H87" s="3">
        <v>1</v>
      </c>
      <c r="I87" s="3" t="s">
        <v>81</v>
      </c>
      <c r="J87" s="3">
        <v>0</v>
      </c>
      <c r="K87" s="3" t="s">
        <v>133</v>
      </c>
      <c r="L87" s="3">
        <v>800011021</v>
      </c>
      <c r="M87" s="3">
        <v>1</v>
      </c>
      <c r="N87" s="3">
        <v>100</v>
      </c>
      <c r="O87" s="3">
        <v>0</v>
      </c>
      <c r="P87" s="3">
        <v>15</v>
      </c>
      <c r="Q87" s="3">
        <v>0</v>
      </c>
      <c r="R87" s="15">
        <v>36</v>
      </c>
      <c r="S87" s="3">
        <v>-5500</v>
      </c>
      <c r="T87" s="3">
        <v>1</v>
      </c>
      <c r="U87" s="3">
        <v>0</v>
      </c>
      <c r="V87" s="3" t="s">
        <v>110</v>
      </c>
      <c r="W87" s="3" t="s">
        <v>111</v>
      </c>
      <c r="X87" s="3" t="s">
        <v>124</v>
      </c>
      <c r="Y87" s="16">
        <v>211002001</v>
      </c>
      <c r="Z87" s="16">
        <v>0</v>
      </c>
      <c r="AA87" s="3">
        <v>1</v>
      </c>
      <c r="AB87" s="8" t="s">
        <v>83</v>
      </c>
      <c r="AC87" s="3">
        <v>15000</v>
      </c>
      <c r="AD87" s="3">
        <v>10000</v>
      </c>
      <c r="AE87" s="3">
        <v>25010001</v>
      </c>
      <c r="AF87" s="8">
        <v>40</v>
      </c>
      <c r="AG87" s="8">
        <v>0</v>
      </c>
      <c r="AH87" s="8">
        <v>0</v>
      </c>
      <c r="AI87" s="8">
        <v>0</v>
      </c>
      <c r="AJ87" s="8">
        <v>0</v>
      </c>
    </row>
    <row r="88" ht="14.25" spans="1:36">
      <c r="A88" s="3">
        <v>31112</v>
      </c>
      <c r="B88" s="3">
        <v>30</v>
      </c>
      <c r="C88" s="3" t="s">
        <v>134</v>
      </c>
      <c r="D88" s="3"/>
      <c r="F88" s="3"/>
      <c r="G88" s="3">
        <v>12</v>
      </c>
      <c r="H88" s="3">
        <v>1</v>
      </c>
      <c r="I88" s="3" t="s">
        <v>81</v>
      </c>
      <c r="J88" s="3">
        <v>0</v>
      </c>
      <c r="K88" s="3" t="s">
        <v>135</v>
      </c>
      <c r="L88" s="3">
        <v>800003011</v>
      </c>
      <c r="M88" s="3">
        <v>1</v>
      </c>
      <c r="N88" s="3">
        <v>100</v>
      </c>
      <c r="O88" s="3">
        <v>0</v>
      </c>
      <c r="P88" s="3">
        <v>15</v>
      </c>
      <c r="Q88" s="3">
        <v>0</v>
      </c>
      <c r="R88" s="15">
        <v>36</v>
      </c>
      <c r="S88" s="3">
        <v>-5500</v>
      </c>
      <c r="T88" s="3">
        <v>1</v>
      </c>
      <c r="U88" s="3">
        <v>0</v>
      </c>
      <c r="V88" s="3" t="s">
        <v>110</v>
      </c>
      <c r="W88" s="3" t="s">
        <v>111</v>
      </c>
      <c r="X88" s="3" t="s">
        <v>124</v>
      </c>
      <c r="Y88" s="16">
        <v>203001001</v>
      </c>
      <c r="Z88" s="16">
        <v>0</v>
      </c>
      <c r="AA88" s="3">
        <v>1</v>
      </c>
      <c r="AB88" s="8" t="s">
        <v>83</v>
      </c>
      <c r="AC88" s="3">
        <v>15000</v>
      </c>
      <c r="AD88" s="3">
        <v>10000</v>
      </c>
      <c r="AE88" s="3">
        <v>25010001</v>
      </c>
      <c r="AF88" s="8">
        <v>40</v>
      </c>
      <c r="AG88" s="8">
        <v>0</v>
      </c>
      <c r="AH88" s="8">
        <v>0</v>
      </c>
      <c r="AI88" s="8">
        <v>0</v>
      </c>
      <c r="AJ88" s="8">
        <v>0</v>
      </c>
    </row>
    <row r="89" ht="14.25" spans="1:36">
      <c r="A89" s="3">
        <v>31113</v>
      </c>
      <c r="B89" s="3">
        <v>30</v>
      </c>
      <c r="C89" s="3" t="s">
        <v>136</v>
      </c>
      <c r="D89" s="3"/>
      <c r="F89" s="3"/>
      <c r="G89" s="3">
        <v>12</v>
      </c>
      <c r="H89" s="3">
        <v>1</v>
      </c>
      <c r="I89" s="3" t="s">
        <v>81</v>
      </c>
      <c r="J89" s="3">
        <v>0</v>
      </c>
      <c r="K89" s="3" t="s">
        <v>137</v>
      </c>
      <c r="L89" s="3">
        <v>800003021</v>
      </c>
      <c r="M89" s="3">
        <v>1</v>
      </c>
      <c r="N89" s="3">
        <v>500</v>
      </c>
      <c r="O89" s="3">
        <v>0</v>
      </c>
      <c r="P89" s="3">
        <v>42</v>
      </c>
      <c r="Q89" s="3">
        <v>3</v>
      </c>
      <c r="R89" s="15">
        <v>1496</v>
      </c>
      <c r="S89" s="3">
        <v>-5500</v>
      </c>
      <c r="T89" s="3">
        <v>1</v>
      </c>
      <c r="U89" s="3">
        <v>30000</v>
      </c>
      <c r="V89" s="3" t="s">
        <v>110</v>
      </c>
      <c r="W89" s="3" t="s">
        <v>111</v>
      </c>
      <c r="X89" s="3" t="s">
        <v>138</v>
      </c>
      <c r="Y89" s="16">
        <v>203002011</v>
      </c>
      <c r="Z89" s="16">
        <v>0</v>
      </c>
      <c r="AA89" s="3">
        <v>1</v>
      </c>
      <c r="AB89" s="8" t="s">
        <v>139</v>
      </c>
      <c r="AC89" s="3">
        <v>15000</v>
      </c>
      <c r="AD89" s="3">
        <v>10000</v>
      </c>
      <c r="AE89" s="3">
        <v>25010001</v>
      </c>
      <c r="AF89" s="8">
        <v>40</v>
      </c>
      <c r="AG89" s="8">
        <v>1000</v>
      </c>
      <c r="AH89" s="8">
        <v>5000</v>
      </c>
      <c r="AI89" s="8">
        <v>40</v>
      </c>
      <c r="AJ89" s="8">
        <v>0</v>
      </c>
    </row>
    <row r="90" ht="14.25" spans="1:36">
      <c r="A90" s="3">
        <v>31114</v>
      </c>
      <c r="B90" s="3">
        <v>30</v>
      </c>
      <c r="C90" s="3" t="s">
        <v>140</v>
      </c>
      <c r="D90" s="3"/>
      <c r="F90" s="3"/>
      <c r="G90" s="3">
        <v>12</v>
      </c>
      <c r="H90" s="3">
        <v>1</v>
      </c>
      <c r="I90" s="3" t="s">
        <v>81</v>
      </c>
      <c r="J90" s="3">
        <v>0</v>
      </c>
      <c r="K90" s="3" t="s">
        <v>141</v>
      </c>
      <c r="L90" s="3">
        <v>800003031</v>
      </c>
      <c r="M90" s="3">
        <v>1</v>
      </c>
      <c r="N90" s="3">
        <v>100</v>
      </c>
      <c r="O90" s="3">
        <v>0</v>
      </c>
      <c r="P90" s="3">
        <v>15</v>
      </c>
      <c r="Q90" s="3">
        <v>0</v>
      </c>
      <c r="R90" s="15">
        <v>36</v>
      </c>
      <c r="S90" s="3">
        <v>-5500</v>
      </c>
      <c r="T90" s="3">
        <v>1</v>
      </c>
      <c r="U90" s="3">
        <v>0</v>
      </c>
      <c r="V90" s="3" t="s">
        <v>110</v>
      </c>
      <c r="W90" s="3" t="s">
        <v>111</v>
      </c>
      <c r="X90" s="3" t="s">
        <v>124</v>
      </c>
      <c r="Y90" s="16">
        <v>203003001</v>
      </c>
      <c r="Z90" s="16">
        <v>0</v>
      </c>
      <c r="AA90" s="3">
        <v>1</v>
      </c>
      <c r="AB90" s="8" t="s">
        <v>83</v>
      </c>
      <c r="AC90" s="3">
        <v>15000</v>
      </c>
      <c r="AD90" s="3">
        <v>10000</v>
      </c>
      <c r="AE90" s="3">
        <v>0</v>
      </c>
      <c r="AF90" s="8">
        <v>40</v>
      </c>
      <c r="AG90" s="8">
        <v>0</v>
      </c>
      <c r="AH90" s="8">
        <v>0</v>
      </c>
      <c r="AI90" s="8">
        <v>0</v>
      </c>
      <c r="AJ90" s="8">
        <v>0</v>
      </c>
    </row>
    <row r="91" spans="1:36">
      <c r="A91" s="3">
        <v>31115</v>
      </c>
      <c r="B91" s="2">
        <v>30</v>
      </c>
      <c r="C91" s="2" t="s">
        <v>142</v>
      </c>
      <c r="D91" s="2"/>
      <c r="E91" s="12"/>
      <c r="F91" s="2"/>
      <c r="G91" s="2">
        <v>12</v>
      </c>
      <c r="H91" s="2">
        <v>1</v>
      </c>
      <c r="I91" s="2" t="s">
        <v>81</v>
      </c>
      <c r="J91" s="2">
        <v>0</v>
      </c>
      <c r="K91" s="2"/>
      <c r="L91" s="2">
        <v>1000011</v>
      </c>
      <c r="M91" s="2">
        <v>1</v>
      </c>
      <c r="N91" s="2">
        <v>100</v>
      </c>
      <c r="O91" s="2">
        <v>0</v>
      </c>
      <c r="P91" s="2">
        <v>15</v>
      </c>
      <c r="Q91" s="2">
        <v>0</v>
      </c>
      <c r="R91" s="2">
        <v>36</v>
      </c>
      <c r="S91" s="2">
        <v>-5500</v>
      </c>
      <c r="T91" s="2">
        <v>1</v>
      </c>
      <c r="U91" s="2">
        <v>0</v>
      </c>
      <c r="V91" s="2" t="s">
        <v>110</v>
      </c>
      <c r="W91" s="2" t="s">
        <v>111</v>
      </c>
      <c r="X91" s="2" t="s">
        <v>124</v>
      </c>
      <c r="Y91" s="17">
        <v>201002011</v>
      </c>
      <c r="Z91" s="17">
        <v>0</v>
      </c>
      <c r="AA91" s="2">
        <v>1</v>
      </c>
      <c r="AB91" s="12" t="s">
        <v>83</v>
      </c>
      <c r="AC91" s="2">
        <v>15000</v>
      </c>
      <c r="AD91" s="2">
        <v>10000</v>
      </c>
      <c r="AE91" s="2">
        <v>0</v>
      </c>
      <c r="AF91" s="8">
        <v>40</v>
      </c>
      <c r="AG91" s="8">
        <v>0</v>
      </c>
      <c r="AH91" s="8">
        <v>0</v>
      </c>
      <c r="AI91" s="8">
        <v>0</v>
      </c>
      <c r="AJ91" s="8">
        <v>0</v>
      </c>
    </row>
    <row r="92" spans="1:36">
      <c r="A92" s="3">
        <v>41101</v>
      </c>
      <c r="B92" s="3">
        <v>30</v>
      </c>
      <c r="C92" s="3" t="s">
        <v>108</v>
      </c>
      <c r="D92" s="3"/>
      <c r="F92" s="3"/>
      <c r="G92" s="3">
        <v>12</v>
      </c>
      <c r="H92" s="3">
        <v>1</v>
      </c>
      <c r="I92" s="3" t="s">
        <v>81</v>
      </c>
      <c r="J92" s="3">
        <v>0</v>
      </c>
      <c r="K92" s="3" t="s">
        <v>109</v>
      </c>
      <c r="L92" s="3">
        <v>800001011</v>
      </c>
      <c r="M92" s="3">
        <v>1</v>
      </c>
      <c r="N92" s="3">
        <v>70</v>
      </c>
      <c r="O92" s="3">
        <v>0</v>
      </c>
      <c r="P92" s="3">
        <v>15</v>
      </c>
      <c r="Q92" s="3">
        <v>0</v>
      </c>
      <c r="R92" s="3">
        <v>20</v>
      </c>
      <c r="S92" s="3">
        <v>-5500</v>
      </c>
      <c r="T92" s="3">
        <v>1</v>
      </c>
      <c r="U92" s="3">
        <v>0</v>
      </c>
      <c r="V92" s="3" t="s">
        <v>110</v>
      </c>
      <c r="W92" s="3" t="s">
        <v>111</v>
      </c>
      <c r="X92" s="3" t="s">
        <v>112</v>
      </c>
      <c r="Y92" s="16">
        <v>201001011</v>
      </c>
      <c r="Z92" s="16">
        <v>0</v>
      </c>
      <c r="AA92" s="3">
        <v>1</v>
      </c>
      <c r="AB92" s="8" t="s">
        <v>113</v>
      </c>
      <c r="AC92" s="3">
        <v>15000</v>
      </c>
      <c r="AD92" s="3">
        <v>10000</v>
      </c>
      <c r="AE92" s="3">
        <v>25010001</v>
      </c>
      <c r="AF92" s="8">
        <v>40</v>
      </c>
      <c r="AG92" s="8">
        <v>10000</v>
      </c>
      <c r="AH92" s="8">
        <v>10000</v>
      </c>
      <c r="AI92" s="8">
        <v>50</v>
      </c>
      <c r="AJ92" s="8">
        <v>0</v>
      </c>
    </row>
    <row r="93" spans="1:36">
      <c r="A93" s="3">
        <v>41102</v>
      </c>
      <c r="B93" s="3">
        <v>30</v>
      </c>
      <c r="C93" s="3" t="s">
        <v>114</v>
      </c>
      <c r="D93" s="3"/>
      <c r="F93" s="3"/>
      <c r="G93" s="3">
        <v>12</v>
      </c>
      <c r="H93" s="3">
        <v>1</v>
      </c>
      <c r="I93" s="3" t="s">
        <v>81</v>
      </c>
      <c r="J93" s="3">
        <v>0</v>
      </c>
      <c r="K93" s="3" t="s">
        <v>115</v>
      </c>
      <c r="L93" s="3">
        <v>800001021</v>
      </c>
      <c r="M93" s="3">
        <v>1</v>
      </c>
      <c r="N93" s="3">
        <v>200</v>
      </c>
      <c r="O93" s="3">
        <v>0</v>
      </c>
      <c r="P93" s="3">
        <v>30</v>
      </c>
      <c r="Q93" s="3">
        <v>2</v>
      </c>
      <c r="R93" s="3">
        <v>105</v>
      </c>
      <c r="S93" s="3">
        <v>-5500</v>
      </c>
      <c r="T93" s="3">
        <v>1</v>
      </c>
      <c r="U93" s="3">
        <v>0</v>
      </c>
      <c r="V93" s="3" t="s">
        <v>110</v>
      </c>
      <c r="W93" s="3" t="s">
        <v>111</v>
      </c>
      <c r="X93" s="3" t="s">
        <v>112</v>
      </c>
      <c r="Y93" s="16">
        <v>201002011</v>
      </c>
      <c r="Z93" s="16">
        <v>0</v>
      </c>
      <c r="AA93" s="3">
        <v>1</v>
      </c>
      <c r="AB93" s="8" t="s">
        <v>116</v>
      </c>
      <c r="AC93" s="3">
        <v>15000</v>
      </c>
      <c r="AD93" s="3">
        <v>10000</v>
      </c>
      <c r="AE93" s="3">
        <v>25010001</v>
      </c>
      <c r="AF93" s="8">
        <v>40</v>
      </c>
      <c r="AG93" s="8">
        <v>3000</v>
      </c>
      <c r="AH93" s="8">
        <v>10000</v>
      </c>
      <c r="AI93" s="8">
        <v>15</v>
      </c>
      <c r="AJ93" s="8">
        <v>0</v>
      </c>
    </row>
    <row r="94" spans="1:36">
      <c r="A94" s="3">
        <v>41103</v>
      </c>
      <c r="B94" s="2">
        <v>30</v>
      </c>
      <c r="C94" s="2" t="s">
        <v>117</v>
      </c>
      <c r="D94" s="2"/>
      <c r="E94" s="12"/>
      <c r="F94" s="2"/>
      <c r="G94" s="2">
        <v>12</v>
      </c>
      <c r="H94" s="2">
        <v>1</v>
      </c>
      <c r="I94" s="2" t="s">
        <v>81</v>
      </c>
      <c r="J94" s="2">
        <v>0</v>
      </c>
      <c r="K94" s="2"/>
      <c r="L94" s="2">
        <v>800001021</v>
      </c>
      <c r="M94" s="2">
        <v>1</v>
      </c>
      <c r="N94" s="2">
        <v>70</v>
      </c>
      <c r="O94" s="2">
        <v>0</v>
      </c>
      <c r="P94" s="2">
        <v>15</v>
      </c>
      <c r="Q94" s="2">
        <v>1</v>
      </c>
      <c r="R94" s="2">
        <v>300</v>
      </c>
      <c r="S94" s="2">
        <v>-5500</v>
      </c>
      <c r="T94" s="2">
        <v>1</v>
      </c>
      <c r="U94" s="2">
        <v>250</v>
      </c>
      <c r="V94" s="2" t="s">
        <v>110</v>
      </c>
      <c r="W94" s="2" t="s">
        <v>111</v>
      </c>
      <c r="X94" s="2" t="s">
        <v>112</v>
      </c>
      <c r="Y94" s="17">
        <v>201001011</v>
      </c>
      <c r="Z94" s="17">
        <v>0</v>
      </c>
      <c r="AA94" s="2">
        <v>1</v>
      </c>
      <c r="AB94" s="12" t="s">
        <v>113</v>
      </c>
      <c r="AC94" s="2">
        <v>15000</v>
      </c>
      <c r="AD94" s="2">
        <v>10000</v>
      </c>
      <c r="AE94" s="2">
        <v>25010001</v>
      </c>
      <c r="AF94" s="8">
        <v>40</v>
      </c>
      <c r="AG94" s="8">
        <v>0</v>
      </c>
      <c r="AH94" s="8">
        <v>0</v>
      </c>
      <c r="AI94" s="8">
        <v>0</v>
      </c>
      <c r="AJ94" s="8">
        <v>0</v>
      </c>
    </row>
    <row r="95" spans="1:36">
      <c r="A95" s="3">
        <v>41104</v>
      </c>
      <c r="B95" s="3">
        <v>30</v>
      </c>
      <c r="C95" s="3" t="s">
        <v>118</v>
      </c>
      <c r="D95" s="3"/>
      <c r="F95" s="3"/>
      <c r="G95" s="3">
        <v>12</v>
      </c>
      <c r="H95" s="3">
        <v>1</v>
      </c>
      <c r="I95" s="3" t="s">
        <v>81</v>
      </c>
      <c r="J95" s="3">
        <v>0</v>
      </c>
      <c r="K95" s="3" t="s">
        <v>119</v>
      </c>
      <c r="L95" s="3">
        <v>800001041</v>
      </c>
      <c r="M95" s="3">
        <v>1</v>
      </c>
      <c r="N95" s="3">
        <v>70</v>
      </c>
      <c r="O95" s="3">
        <v>0</v>
      </c>
      <c r="P95" s="3">
        <v>24</v>
      </c>
      <c r="Q95" s="3">
        <v>0</v>
      </c>
      <c r="R95" s="3">
        <v>17</v>
      </c>
      <c r="S95" s="3">
        <v>-5500</v>
      </c>
      <c r="T95" s="3">
        <v>1</v>
      </c>
      <c r="U95" s="3">
        <v>0</v>
      </c>
      <c r="V95" s="3" t="s">
        <v>110</v>
      </c>
      <c r="W95" s="3" t="s">
        <v>111</v>
      </c>
      <c r="X95" s="3" t="s">
        <v>112</v>
      </c>
      <c r="Y95" s="16">
        <v>201004011</v>
      </c>
      <c r="Z95" s="16">
        <v>0</v>
      </c>
      <c r="AA95" s="3">
        <v>1</v>
      </c>
      <c r="AB95" s="8" t="s">
        <v>113</v>
      </c>
      <c r="AC95" s="3">
        <v>15000</v>
      </c>
      <c r="AD95" s="3">
        <v>10000</v>
      </c>
      <c r="AE95" s="3">
        <v>25010001</v>
      </c>
      <c r="AF95" s="8">
        <v>40</v>
      </c>
      <c r="AG95" s="8">
        <v>10000</v>
      </c>
      <c r="AH95" s="8">
        <v>10000</v>
      </c>
      <c r="AI95" s="8">
        <v>80</v>
      </c>
      <c r="AJ95" s="8">
        <v>10</v>
      </c>
    </row>
    <row r="96" spans="1:36">
      <c r="A96" s="3">
        <v>41105</v>
      </c>
      <c r="B96" s="3">
        <v>30</v>
      </c>
      <c r="C96" s="3" t="s">
        <v>120</v>
      </c>
      <c r="D96" s="3"/>
      <c r="F96" s="3"/>
      <c r="G96" s="3">
        <v>12</v>
      </c>
      <c r="H96" s="3">
        <v>1</v>
      </c>
      <c r="I96" s="3" t="s">
        <v>81</v>
      </c>
      <c r="J96" s="3">
        <v>0</v>
      </c>
      <c r="K96" s="3" t="s">
        <v>121</v>
      </c>
      <c r="L96" s="3">
        <v>800014011</v>
      </c>
      <c r="M96" s="3">
        <v>1</v>
      </c>
      <c r="N96" s="3">
        <v>125</v>
      </c>
      <c r="O96" s="3">
        <v>0</v>
      </c>
      <c r="P96" s="3">
        <v>19</v>
      </c>
      <c r="Q96" s="3">
        <v>1</v>
      </c>
      <c r="R96" s="3">
        <v>43</v>
      </c>
      <c r="S96" s="3">
        <v>-5500</v>
      </c>
      <c r="T96" s="3">
        <v>1</v>
      </c>
      <c r="U96" s="3">
        <v>0</v>
      </c>
      <c r="V96" s="3" t="s">
        <v>110</v>
      </c>
      <c r="W96" s="3" t="s">
        <v>111</v>
      </c>
      <c r="X96" s="3" t="s">
        <v>112</v>
      </c>
      <c r="Y96" s="16">
        <v>214001011</v>
      </c>
      <c r="Z96" s="16">
        <v>0</v>
      </c>
      <c r="AA96" s="3">
        <v>1</v>
      </c>
      <c r="AB96" s="8" t="s">
        <v>122</v>
      </c>
      <c r="AC96" s="3">
        <v>15000</v>
      </c>
      <c r="AD96" s="3">
        <v>10000</v>
      </c>
      <c r="AE96" s="3">
        <v>25010001</v>
      </c>
      <c r="AF96" s="8">
        <v>40</v>
      </c>
      <c r="AG96" s="8">
        <v>10000</v>
      </c>
      <c r="AH96" s="8">
        <v>10000</v>
      </c>
      <c r="AI96" s="8">
        <v>40</v>
      </c>
      <c r="AJ96" s="8">
        <v>0</v>
      </c>
    </row>
    <row r="97" spans="1:36">
      <c r="A97" s="3">
        <v>41106</v>
      </c>
      <c r="B97" s="2">
        <v>30</v>
      </c>
      <c r="C97" s="2" t="s">
        <v>123</v>
      </c>
      <c r="D97" s="2"/>
      <c r="E97" s="12"/>
      <c r="F97" s="2"/>
      <c r="G97" s="2">
        <v>12</v>
      </c>
      <c r="H97" s="2">
        <v>1</v>
      </c>
      <c r="I97" s="2" t="s">
        <v>81</v>
      </c>
      <c r="J97" s="2">
        <v>0</v>
      </c>
      <c r="K97" s="2"/>
      <c r="L97" s="2">
        <v>1000010</v>
      </c>
      <c r="M97" s="2">
        <v>1</v>
      </c>
      <c r="N97" s="2">
        <v>100</v>
      </c>
      <c r="O97" s="2">
        <v>0</v>
      </c>
      <c r="P97" s="2">
        <v>15</v>
      </c>
      <c r="Q97" s="2">
        <v>0</v>
      </c>
      <c r="R97" s="2">
        <v>36</v>
      </c>
      <c r="S97" s="2">
        <v>-5500</v>
      </c>
      <c r="T97" s="2">
        <v>1</v>
      </c>
      <c r="U97" s="2">
        <v>0</v>
      </c>
      <c r="V97" s="2" t="s">
        <v>110</v>
      </c>
      <c r="W97" s="2" t="s">
        <v>111</v>
      </c>
      <c r="X97" s="2" t="s">
        <v>124</v>
      </c>
      <c r="Y97" s="2">
        <v>201002011</v>
      </c>
      <c r="Z97" s="17">
        <v>0</v>
      </c>
      <c r="AA97" s="2">
        <v>1</v>
      </c>
      <c r="AB97" s="12" t="s">
        <v>83</v>
      </c>
      <c r="AC97" s="2">
        <v>15000</v>
      </c>
      <c r="AD97" s="2">
        <v>10000</v>
      </c>
      <c r="AE97" s="2">
        <v>25010001</v>
      </c>
      <c r="AF97" s="8">
        <v>40</v>
      </c>
      <c r="AG97" s="8">
        <v>0</v>
      </c>
      <c r="AH97" s="8">
        <v>0</v>
      </c>
      <c r="AI97" s="8">
        <v>0</v>
      </c>
      <c r="AJ97" s="8">
        <v>0</v>
      </c>
    </row>
    <row r="98" spans="1:36">
      <c r="A98" s="3">
        <v>41107</v>
      </c>
      <c r="B98" s="2">
        <v>30</v>
      </c>
      <c r="C98" s="2" t="s">
        <v>125</v>
      </c>
      <c r="D98" s="2"/>
      <c r="E98" s="12"/>
      <c r="F98" s="2"/>
      <c r="G98" s="2">
        <v>12</v>
      </c>
      <c r="H98" s="2">
        <v>1</v>
      </c>
      <c r="I98" s="2" t="s">
        <v>81</v>
      </c>
      <c r="J98" s="2">
        <v>0</v>
      </c>
      <c r="K98" s="2" t="s">
        <v>121</v>
      </c>
      <c r="L98" s="2">
        <v>800014011</v>
      </c>
      <c r="M98" s="2">
        <v>1</v>
      </c>
      <c r="N98" s="2">
        <v>100</v>
      </c>
      <c r="O98" s="2">
        <v>0</v>
      </c>
      <c r="P98" s="2">
        <v>15</v>
      </c>
      <c r="Q98" s="2">
        <v>0</v>
      </c>
      <c r="R98" s="2">
        <v>36</v>
      </c>
      <c r="S98" s="2">
        <v>-5500</v>
      </c>
      <c r="T98" s="2">
        <v>1</v>
      </c>
      <c r="U98" s="2">
        <v>0</v>
      </c>
      <c r="V98" s="2" t="s">
        <v>110</v>
      </c>
      <c r="W98" s="2" t="s">
        <v>111</v>
      </c>
      <c r="X98" s="2" t="s">
        <v>124</v>
      </c>
      <c r="Y98" s="2">
        <v>214001011</v>
      </c>
      <c r="Z98" s="17">
        <v>0</v>
      </c>
      <c r="AA98" s="2">
        <v>1</v>
      </c>
      <c r="AB98" s="12" t="s">
        <v>83</v>
      </c>
      <c r="AC98" s="2">
        <v>15000</v>
      </c>
      <c r="AD98" s="2">
        <v>10000</v>
      </c>
      <c r="AE98" s="2">
        <v>25010001</v>
      </c>
      <c r="AF98" s="8">
        <v>40</v>
      </c>
      <c r="AG98" s="8">
        <v>0</v>
      </c>
      <c r="AH98" s="8">
        <v>0</v>
      </c>
      <c r="AI98" s="8">
        <v>0</v>
      </c>
      <c r="AJ98" s="8">
        <v>0</v>
      </c>
    </row>
    <row r="99" ht="14.25" spans="1:36">
      <c r="A99" s="3">
        <v>41108</v>
      </c>
      <c r="B99" s="3">
        <v>30</v>
      </c>
      <c r="C99" s="3" t="s">
        <v>126</v>
      </c>
      <c r="D99" s="3"/>
      <c r="F99" s="3"/>
      <c r="G99" s="3">
        <v>12</v>
      </c>
      <c r="H99" s="3">
        <v>1</v>
      </c>
      <c r="I99" s="3" t="s">
        <v>81</v>
      </c>
      <c r="J99" s="3">
        <v>0</v>
      </c>
      <c r="K99" s="3" t="s">
        <v>127</v>
      </c>
      <c r="L99" s="3">
        <v>800004011</v>
      </c>
      <c r="M99" s="3">
        <v>1</v>
      </c>
      <c r="N99" s="3">
        <v>100</v>
      </c>
      <c r="O99" s="3">
        <v>0</v>
      </c>
      <c r="P99" s="3">
        <v>15</v>
      </c>
      <c r="Q99" s="3">
        <v>0</v>
      </c>
      <c r="R99" s="15">
        <v>36</v>
      </c>
      <c r="S99" s="3">
        <v>-5500</v>
      </c>
      <c r="T99" s="3">
        <v>1</v>
      </c>
      <c r="U99" s="3">
        <v>0</v>
      </c>
      <c r="V99" s="3" t="s">
        <v>110</v>
      </c>
      <c r="W99" s="3" t="s">
        <v>111</v>
      </c>
      <c r="X99" s="3" t="s">
        <v>124</v>
      </c>
      <c r="Y99" s="16">
        <v>204001001</v>
      </c>
      <c r="Z99" s="16">
        <v>0</v>
      </c>
      <c r="AA99" s="3">
        <v>1</v>
      </c>
      <c r="AB99" s="8" t="s">
        <v>83</v>
      </c>
      <c r="AC99" s="3">
        <v>15000</v>
      </c>
      <c r="AD99" s="3">
        <v>10000</v>
      </c>
      <c r="AE99" s="3">
        <v>25010001</v>
      </c>
      <c r="AF99" s="8">
        <v>40</v>
      </c>
      <c r="AG99" s="8">
        <v>0</v>
      </c>
      <c r="AH99" s="8">
        <v>0</v>
      </c>
      <c r="AI99" s="8">
        <v>0</v>
      </c>
      <c r="AJ99" s="8">
        <v>0</v>
      </c>
    </row>
    <row r="100" ht="14.25" spans="1:36">
      <c r="A100" s="3">
        <v>41109</v>
      </c>
      <c r="B100" s="3">
        <v>30</v>
      </c>
      <c r="C100" s="3" t="s">
        <v>128</v>
      </c>
      <c r="D100" s="3"/>
      <c r="F100" s="3"/>
      <c r="G100" s="3">
        <v>12</v>
      </c>
      <c r="H100" s="3">
        <v>1</v>
      </c>
      <c r="I100" s="3" t="s">
        <v>81</v>
      </c>
      <c r="J100" s="3">
        <v>0</v>
      </c>
      <c r="K100" s="3" t="s">
        <v>129</v>
      </c>
      <c r="L100" s="3">
        <v>800004021</v>
      </c>
      <c r="M100" s="3">
        <v>1</v>
      </c>
      <c r="N100" s="3">
        <v>100</v>
      </c>
      <c r="O100" s="3">
        <v>0</v>
      </c>
      <c r="P100" s="3">
        <v>15</v>
      </c>
      <c r="Q100" s="3">
        <v>0</v>
      </c>
      <c r="R100" s="15">
        <v>36</v>
      </c>
      <c r="S100" s="3">
        <v>-5500</v>
      </c>
      <c r="T100" s="3">
        <v>1</v>
      </c>
      <c r="U100" s="3">
        <v>0</v>
      </c>
      <c r="V100" s="3" t="s">
        <v>110</v>
      </c>
      <c r="W100" s="3" t="s">
        <v>111</v>
      </c>
      <c r="X100" s="3" t="s">
        <v>124</v>
      </c>
      <c r="Y100" s="16">
        <v>204002001</v>
      </c>
      <c r="Z100" s="16">
        <v>0</v>
      </c>
      <c r="AA100" s="3">
        <v>1</v>
      </c>
      <c r="AB100" s="8" t="s">
        <v>83</v>
      </c>
      <c r="AC100" s="3">
        <v>15000</v>
      </c>
      <c r="AD100" s="3">
        <v>10000</v>
      </c>
      <c r="AE100" s="3">
        <v>25010001</v>
      </c>
      <c r="AF100" s="8">
        <v>40</v>
      </c>
      <c r="AG100" s="8">
        <v>0</v>
      </c>
      <c r="AH100" s="8">
        <v>0</v>
      </c>
      <c r="AI100" s="8">
        <v>0</v>
      </c>
      <c r="AJ100" s="8">
        <v>0</v>
      </c>
    </row>
    <row r="101" ht="14.25" spans="1:36">
      <c r="A101" s="3">
        <v>41110</v>
      </c>
      <c r="B101" s="3">
        <v>30</v>
      </c>
      <c r="C101" s="3" t="s">
        <v>130</v>
      </c>
      <c r="D101" s="3"/>
      <c r="F101" s="3"/>
      <c r="G101" s="3">
        <v>12</v>
      </c>
      <c r="H101" s="3">
        <v>1</v>
      </c>
      <c r="I101" s="3" t="s">
        <v>81</v>
      </c>
      <c r="J101" s="3">
        <v>0</v>
      </c>
      <c r="K101" s="3" t="s">
        <v>131</v>
      </c>
      <c r="L101" s="3">
        <v>800011011</v>
      </c>
      <c r="M101" s="3">
        <v>1</v>
      </c>
      <c r="N101" s="3">
        <v>100</v>
      </c>
      <c r="O101" s="3">
        <v>0</v>
      </c>
      <c r="P101" s="3">
        <v>15</v>
      </c>
      <c r="Q101" s="3">
        <v>0</v>
      </c>
      <c r="R101" s="15">
        <v>36</v>
      </c>
      <c r="S101" s="3">
        <v>-5500</v>
      </c>
      <c r="T101" s="3">
        <v>1</v>
      </c>
      <c r="U101" s="3">
        <v>0</v>
      </c>
      <c r="V101" s="3" t="s">
        <v>110</v>
      </c>
      <c r="W101" s="3" t="s">
        <v>111</v>
      </c>
      <c r="X101" s="3" t="s">
        <v>124</v>
      </c>
      <c r="Y101" s="16">
        <v>211001001</v>
      </c>
      <c r="Z101" s="16">
        <v>0</v>
      </c>
      <c r="AA101" s="3">
        <v>1</v>
      </c>
      <c r="AB101" s="8" t="s">
        <v>83</v>
      </c>
      <c r="AC101" s="3">
        <v>15000</v>
      </c>
      <c r="AD101" s="3">
        <v>10000</v>
      </c>
      <c r="AE101" s="3">
        <v>25010001</v>
      </c>
      <c r="AF101" s="8">
        <v>40</v>
      </c>
      <c r="AG101" s="8">
        <v>0</v>
      </c>
      <c r="AH101" s="8">
        <v>0</v>
      </c>
      <c r="AI101" s="8">
        <v>0</v>
      </c>
      <c r="AJ101" s="8">
        <v>0</v>
      </c>
    </row>
    <row r="102" ht="14.25" spans="1:36">
      <c r="A102" s="3">
        <v>41111</v>
      </c>
      <c r="B102" s="3">
        <v>30</v>
      </c>
      <c r="C102" s="3" t="s">
        <v>132</v>
      </c>
      <c r="D102" s="3"/>
      <c r="F102" s="3"/>
      <c r="G102" s="3">
        <v>12</v>
      </c>
      <c r="H102" s="3">
        <v>1</v>
      </c>
      <c r="I102" s="3" t="s">
        <v>81</v>
      </c>
      <c r="J102" s="3">
        <v>0</v>
      </c>
      <c r="K102" s="3" t="s">
        <v>133</v>
      </c>
      <c r="L102" s="3">
        <v>800011021</v>
      </c>
      <c r="M102" s="3">
        <v>1</v>
      </c>
      <c r="N102" s="3">
        <v>100</v>
      </c>
      <c r="O102" s="3">
        <v>0</v>
      </c>
      <c r="P102" s="3">
        <v>15</v>
      </c>
      <c r="Q102" s="3">
        <v>0</v>
      </c>
      <c r="R102" s="15">
        <v>36</v>
      </c>
      <c r="S102" s="3">
        <v>-5500</v>
      </c>
      <c r="T102" s="3">
        <v>1</v>
      </c>
      <c r="U102" s="3">
        <v>0</v>
      </c>
      <c r="V102" s="3" t="s">
        <v>110</v>
      </c>
      <c r="W102" s="3" t="s">
        <v>111</v>
      </c>
      <c r="X102" s="3" t="s">
        <v>124</v>
      </c>
      <c r="Y102" s="16">
        <v>211002001</v>
      </c>
      <c r="Z102" s="16">
        <v>0</v>
      </c>
      <c r="AA102" s="3">
        <v>1</v>
      </c>
      <c r="AB102" s="8" t="s">
        <v>83</v>
      </c>
      <c r="AC102" s="3">
        <v>15000</v>
      </c>
      <c r="AD102" s="3">
        <v>10000</v>
      </c>
      <c r="AE102" s="3">
        <v>25010001</v>
      </c>
      <c r="AF102" s="8">
        <v>40</v>
      </c>
      <c r="AG102" s="8">
        <v>0</v>
      </c>
      <c r="AH102" s="8">
        <v>0</v>
      </c>
      <c r="AI102" s="8">
        <v>0</v>
      </c>
      <c r="AJ102" s="8">
        <v>0</v>
      </c>
    </row>
    <row r="103" ht="14.25" spans="1:36">
      <c r="A103" s="3">
        <v>41112</v>
      </c>
      <c r="B103" s="3">
        <v>30</v>
      </c>
      <c r="C103" s="3" t="s">
        <v>134</v>
      </c>
      <c r="D103" s="3"/>
      <c r="F103" s="3"/>
      <c r="G103" s="3">
        <v>12</v>
      </c>
      <c r="H103" s="3">
        <v>1</v>
      </c>
      <c r="I103" s="3" t="s">
        <v>81</v>
      </c>
      <c r="J103" s="3">
        <v>0</v>
      </c>
      <c r="K103" s="3" t="s">
        <v>135</v>
      </c>
      <c r="L103" s="3">
        <v>800003011</v>
      </c>
      <c r="M103" s="3">
        <v>1</v>
      </c>
      <c r="N103" s="3">
        <v>100</v>
      </c>
      <c r="O103" s="3">
        <v>0</v>
      </c>
      <c r="P103" s="3">
        <v>15</v>
      </c>
      <c r="Q103" s="3">
        <v>0</v>
      </c>
      <c r="R103" s="15">
        <v>36</v>
      </c>
      <c r="S103" s="3">
        <v>-5500</v>
      </c>
      <c r="T103" s="3">
        <v>1</v>
      </c>
      <c r="U103" s="3">
        <v>0</v>
      </c>
      <c r="V103" s="3" t="s">
        <v>110</v>
      </c>
      <c r="W103" s="3" t="s">
        <v>111</v>
      </c>
      <c r="X103" s="3" t="s">
        <v>124</v>
      </c>
      <c r="Y103" s="16">
        <v>203001001</v>
      </c>
      <c r="Z103" s="16">
        <v>0</v>
      </c>
      <c r="AA103" s="3">
        <v>1</v>
      </c>
      <c r="AB103" s="8" t="s">
        <v>83</v>
      </c>
      <c r="AC103" s="3">
        <v>15000</v>
      </c>
      <c r="AD103" s="3">
        <v>10000</v>
      </c>
      <c r="AE103" s="3">
        <v>25010001</v>
      </c>
      <c r="AF103" s="8">
        <v>40</v>
      </c>
      <c r="AG103" s="8">
        <v>0</v>
      </c>
      <c r="AH103" s="8">
        <v>0</v>
      </c>
      <c r="AI103" s="8">
        <v>0</v>
      </c>
      <c r="AJ103" s="8">
        <v>0</v>
      </c>
    </row>
    <row r="104" ht="14.25" spans="1:36">
      <c r="A104" s="3">
        <v>41113</v>
      </c>
      <c r="B104" s="3">
        <v>30</v>
      </c>
      <c r="C104" s="3" t="s">
        <v>136</v>
      </c>
      <c r="D104" s="3"/>
      <c r="F104" s="3"/>
      <c r="G104" s="3">
        <v>12</v>
      </c>
      <c r="H104" s="3">
        <v>1</v>
      </c>
      <c r="I104" s="3" t="s">
        <v>81</v>
      </c>
      <c r="J104" s="3">
        <v>0</v>
      </c>
      <c r="K104" s="3" t="s">
        <v>137</v>
      </c>
      <c r="L104" s="3">
        <v>800003021</v>
      </c>
      <c r="M104" s="3">
        <v>1</v>
      </c>
      <c r="N104" s="3">
        <v>500</v>
      </c>
      <c r="O104" s="3">
        <v>0</v>
      </c>
      <c r="P104" s="3">
        <v>42</v>
      </c>
      <c r="Q104" s="3">
        <v>3</v>
      </c>
      <c r="R104" s="15">
        <v>1496</v>
      </c>
      <c r="S104" s="3">
        <v>-5500</v>
      </c>
      <c r="T104" s="3">
        <v>1</v>
      </c>
      <c r="U104" s="3">
        <v>30000</v>
      </c>
      <c r="V104" s="3" t="s">
        <v>110</v>
      </c>
      <c r="W104" s="3" t="s">
        <v>111</v>
      </c>
      <c r="X104" s="3" t="s">
        <v>138</v>
      </c>
      <c r="Y104" s="16">
        <v>203002011</v>
      </c>
      <c r="Z104" s="16">
        <v>0</v>
      </c>
      <c r="AA104" s="3">
        <v>1</v>
      </c>
      <c r="AB104" s="8" t="s">
        <v>139</v>
      </c>
      <c r="AC104" s="3">
        <v>15000</v>
      </c>
      <c r="AD104" s="3">
        <v>10000</v>
      </c>
      <c r="AE104" s="3">
        <v>25010001</v>
      </c>
      <c r="AF104" s="8">
        <v>40</v>
      </c>
      <c r="AG104" s="8">
        <v>1000</v>
      </c>
      <c r="AH104" s="8">
        <v>5000</v>
      </c>
      <c r="AI104" s="8">
        <v>40</v>
      </c>
      <c r="AJ104" s="8">
        <v>0</v>
      </c>
    </row>
    <row r="105" ht="14.25" spans="1:36">
      <c r="A105" s="3">
        <v>41114</v>
      </c>
      <c r="B105" s="3">
        <v>30</v>
      </c>
      <c r="C105" s="3" t="s">
        <v>140</v>
      </c>
      <c r="D105" s="3"/>
      <c r="F105" s="3"/>
      <c r="G105" s="3">
        <v>12</v>
      </c>
      <c r="H105" s="3">
        <v>1</v>
      </c>
      <c r="I105" s="3" t="s">
        <v>81</v>
      </c>
      <c r="J105" s="3">
        <v>0</v>
      </c>
      <c r="K105" s="3" t="s">
        <v>141</v>
      </c>
      <c r="L105" s="3">
        <v>800003031</v>
      </c>
      <c r="M105" s="3">
        <v>1</v>
      </c>
      <c r="N105" s="3">
        <v>100</v>
      </c>
      <c r="O105" s="3">
        <v>0</v>
      </c>
      <c r="P105" s="3">
        <v>15</v>
      </c>
      <c r="Q105" s="3">
        <v>0</v>
      </c>
      <c r="R105" s="15">
        <v>36</v>
      </c>
      <c r="S105" s="3">
        <v>-5500</v>
      </c>
      <c r="T105" s="3">
        <v>1</v>
      </c>
      <c r="U105" s="3">
        <v>0</v>
      </c>
      <c r="V105" s="3" t="s">
        <v>110</v>
      </c>
      <c r="W105" s="3" t="s">
        <v>111</v>
      </c>
      <c r="X105" s="3" t="s">
        <v>124</v>
      </c>
      <c r="Y105" s="16">
        <v>203003001</v>
      </c>
      <c r="Z105" s="16">
        <v>0</v>
      </c>
      <c r="AA105" s="3">
        <v>1</v>
      </c>
      <c r="AB105" s="8" t="s">
        <v>83</v>
      </c>
      <c r="AC105" s="3">
        <v>15000</v>
      </c>
      <c r="AD105" s="3">
        <v>10000</v>
      </c>
      <c r="AE105" s="3">
        <v>0</v>
      </c>
      <c r="AF105" s="8">
        <v>40</v>
      </c>
      <c r="AG105" s="8">
        <v>0</v>
      </c>
      <c r="AH105" s="8">
        <v>0</v>
      </c>
      <c r="AI105" s="8">
        <v>0</v>
      </c>
      <c r="AJ105" s="8">
        <v>0</v>
      </c>
    </row>
    <row r="106" spans="1:36">
      <c r="A106" s="3">
        <v>41115</v>
      </c>
      <c r="B106" s="2">
        <v>30</v>
      </c>
      <c r="C106" s="2" t="s">
        <v>142</v>
      </c>
      <c r="D106" s="2"/>
      <c r="E106" s="12"/>
      <c r="F106" s="2"/>
      <c r="G106" s="2">
        <v>12</v>
      </c>
      <c r="H106" s="2">
        <v>1</v>
      </c>
      <c r="I106" s="2" t="s">
        <v>81</v>
      </c>
      <c r="J106" s="2">
        <v>0</v>
      </c>
      <c r="K106" s="2"/>
      <c r="L106" s="2">
        <v>1000011</v>
      </c>
      <c r="M106" s="2">
        <v>1</v>
      </c>
      <c r="N106" s="2">
        <v>100</v>
      </c>
      <c r="O106" s="2">
        <v>0</v>
      </c>
      <c r="P106" s="2">
        <v>15</v>
      </c>
      <c r="Q106" s="2">
        <v>0</v>
      </c>
      <c r="R106" s="2">
        <v>36</v>
      </c>
      <c r="S106" s="2">
        <v>-5500</v>
      </c>
      <c r="T106" s="2">
        <v>1</v>
      </c>
      <c r="U106" s="2">
        <v>0</v>
      </c>
      <c r="V106" s="2" t="s">
        <v>110</v>
      </c>
      <c r="W106" s="2" t="s">
        <v>111</v>
      </c>
      <c r="X106" s="2" t="s">
        <v>124</v>
      </c>
      <c r="Y106" s="17">
        <v>201002011</v>
      </c>
      <c r="Z106" s="17">
        <v>0</v>
      </c>
      <c r="AA106" s="2">
        <v>1</v>
      </c>
      <c r="AB106" s="12" t="s">
        <v>83</v>
      </c>
      <c r="AC106" s="2">
        <v>15000</v>
      </c>
      <c r="AD106" s="2">
        <v>10000</v>
      </c>
      <c r="AE106" s="2">
        <v>0</v>
      </c>
      <c r="AF106" s="8">
        <v>40</v>
      </c>
      <c r="AG106" s="8">
        <v>0</v>
      </c>
      <c r="AH106" s="8">
        <v>0</v>
      </c>
      <c r="AI106" s="8">
        <v>0</v>
      </c>
      <c r="AJ106" s="8">
        <v>0</v>
      </c>
    </row>
    <row r="107" spans="1:36">
      <c r="A107" s="3">
        <v>51101</v>
      </c>
      <c r="B107" s="3">
        <v>30</v>
      </c>
      <c r="C107" s="3" t="s">
        <v>108</v>
      </c>
      <c r="D107" s="3"/>
      <c r="F107" s="3"/>
      <c r="G107" s="3">
        <v>12</v>
      </c>
      <c r="H107" s="3">
        <v>1</v>
      </c>
      <c r="I107" s="3" t="s">
        <v>81</v>
      </c>
      <c r="J107" s="3">
        <v>0</v>
      </c>
      <c r="K107" s="3" t="s">
        <v>109</v>
      </c>
      <c r="L107" s="3">
        <v>800001011</v>
      </c>
      <c r="M107" s="3">
        <v>1</v>
      </c>
      <c r="N107" s="3">
        <v>70</v>
      </c>
      <c r="O107" s="3">
        <v>0</v>
      </c>
      <c r="P107" s="3">
        <v>15</v>
      </c>
      <c r="Q107" s="3">
        <v>0</v>
      </c>
      <c r="R107" s="3">
        <v>20</v>
      </c>
      <c r="S107" s="3">
        <v>-5500</v>
      </c>
      <c r="T107" s="3">
        <v>1</v>
      </c>
      <c r="U107" s="3">
        <v>0</v>
      </c>
      <c r="V107" s="3" t="s">
        <v>110</v>
      </c>
      <c r="W107" s="3" t="s">
        <v>111</v>
      </c>
      <c r="X107" s="3" t="s">
        <v>112</v>
      </c>
      <c r="Y107" s="16">
        <v>201001011</v>
      </c>
      <c r="Z107" s="16">
        <v>0</v>
      </c>
      <c r="AA107" s="3">
        <v>1</v>
      </c>
      <c r="AB107" s="8" t="s">
        <v>113</v>
      </c>
      <c r="AC107" s="3">
        <v>15000</v>
      </c>
      <c r="AD107" s="3">
        <v>10000</v>
      </c>
      <c r="AE107" s="3">
        <v>25010001</v>
      </c>
      <c r="AF107" s="8">
        <v>40</v>
      </c>
      <c r="AG107" s="8">
        <v>10000</v>
      </c>
      <c r="AH107" s="8">
        <v>10000</v>
      </c>
      <c r="AI107" s="8">
        <v>50</v>
      </c>
      <c r="AJ107" s="8">
        <v>0</v>
      </c>
    </row>
    <row r="108" spans="1:36">
      <c r="A108" s="3">
        <v>51102</v>
      </c>
      <c r="B108" s="3">
        <v>30</v>
      </c>
      <c r="C108" s="3" t="s">
        <v>114</v>
      </c>
      <c r="D108" s="3"/>
      <c r="F108" s="3"/>
      <c r="G108" s="3">
        <v>12</v>
      </c>
      <c r="H108" s="3">
        <v>1</v>
      </c>
      <c r="I108" s="3" t="s">
        <v>81</v>
      </c>
      <c r="J108" s="3">
        <v>0</v>
      </c>
      <c r="K108" s="3" t="s">
        <v>115</v>
      </c>
      <c r="L108" s="3">
        <v>800001021</v>
      </c>
      <c r="M108" s="3">
        <v>1</v>
      </c>
      <c r="N108" s="3">
        <v>200</v>
      </c>
      <c r="O108" s="3">
        <v>0</v>
      </c>
      <c r="P108" s="3">
        <v>30</v>
      </c>
      <c r="Q108" s="3">
        <v>2</v>
      </c>
      <c r="R108" s="3">
        <v>105</v>
      </c>
      <c r="S108" s="3">
        <v>-5500</v>
      </c>
      <c r="T108" s="3">
        <v>1</v>
      </c>
      <c r="U108" s="3">
        <v>0</v>
      </c>
      <c r="V108" s="3" t="s">
        <v>110</v>
      </c>
      <c r="W108" s="3" t="s">
        <v>111</v>
      </c>
      <c r="X108" s="3" t="s">
        <v>112</v>
      </c>
      <c r="Y108" s="16">
        <v>201002011</v>
      </c>
      <c r="Z108" s="16">
        <v>0</v>
      </c>
      <c r="AA108" s="3">
        <v>1</v>
      </c>
      <c r="AB108" s="8" t="s">
        <v>116</v>
      </c>
      <c r="AC108" s="3">
        <v>15000</v>
      </c>
      <c r="AD108" s="3">
        <v>10000</v>
      </c>
      <c r="AE108" s="3">
        <v>25010001</v>
      </c>
      <c r="AF108" s="8">
        <v>40</v>
      </c>
      <c r="AG108" s="8">
        <v>3000</v>
      </c>
      <c r="AH108" s="8">
        <v>10000</v>
      </c>
      <c r="AI108" s="8">
        <v>15</v>
      </c>
      <c r="AJ108" s="8">
        <v>0</v>
      </c>
    </row>
    <row r="109" spans="1:36">
      <c r="A109" s="3">
        <v>51103</v>
      </c>
      <c r="B109" s="2">
        <v>30</v>
      </c>
      <c r="C109" s="2" t="s">
        <v>117</v>
      </c>
      <c r="D109" s="2"/>
      <c r="E109" s="12"/>
      <c r="F109" s="2"/>
      <c r="G109" s="2">
        <v>12</v>
      </c>
      <c r="H109" s="2">
        <v>1</v>
      </c>
      <c r="I109" s="2" t="s">
        <v>81</v>
      </c>
      <c r="J109" s="2">
        <v>0</v>
      </c>
      <c r="K109" s="2"/>
      <c r="L109" s="2">
        <v>800001021</v>
      </c>
      <c r="M109" s="2">
        <v>1</v>
      </c>
      <c r="N109" s="2">
        <v>70</v>
      </c>
      <c r="O109" s="2">
        <v>0</v>
      </c>
      <c r="P109" s="2">
        <v>15</v>
      </c>
      <c r="Q109" s="2">
        <v>1</v>
      </c>
      <c r="R109" s="2">
        <v>300</v>
      </c>
      <c r="S109" s="2">
        <v>-5500</v>
      </c>
      <c r="T109" s="2">
        <v>1</v>
      </c>
      <c r="U109" s="2">
        <v>250</v>
      </c>
      <c r="V109" s="2" t="s">
        <v>110</v>
      </c>
      <c r="W109" s="2" t="s">
        <v>111</v>
      </c>
      <c r="X109" s="2" t="s">
        <v>112</v>
      </c>
      <c r="Y109" s="17">
        <v>201001011</v>
      </c>
      <c r="Z109" s="17">
        <v>0</v>
      </c>
      <c r="AA109" s="2">
        <v>1</v>
      </c>
      <c r="AB109" s="12" t="s">
        <v>113</v>
      </c>
      <c r="AC109" s="2">
        <v>15000</v>
      </c>
      <c r="AD109" s="2">
        <v>10000</v>
      </c>
      <c r="AE109" s="2">
        <v>25010001</v>
      </c>
      <c r="AF109" s="8">
        <v>40</v>
      </c>
      <c r="AG109" s="8">
        <v>0</v>
      </c>
      <c r="AH109" s="8">
        <v>0</v>
      </c>
      <c r="AI109" s="8">
        <v>0</v>
      </c>
      <c r="AJ109" s="8">
        <v>0</v>
      </c>
    </row>
    <row r="110" spans="1:36">
      <c r="A110" s="3">
        <v>51104</v>
      </c>
      <c r="B110" s="3">
        <v>30</v>
      </c>
      <c r="C110" s="3" t="s">
        <v>118</v>
      </c>
      <c r="D110" s="3"/>
      <c r="F110" s="3"/>
      <c r="G110" s="3">
        <v>12</v>
      </c>
      <c r="H110" s="3">
        <v>1</v>
      </c>
      <c r="I110" s="3" t="s">
        <v>81</v>
      </c>
      <c r="J110" s="3">
        <v>0</v>
      </c>
      <c r="K110" s="3" t="s">
        <v>119</v>
      </c>
      <c r="L110" s="3">
        <v>800001041</v>
      </c>
      <c r="M110" s="3">
        <v>1</v>
      </c>
      <c r="N110" s="3">
        <v>70</v>
      </c>
      <c r="O110" s="3">
        <v>0</v>
      </c>
      <c r="P110" s="3">
        <v>24</v>
      </c>
      <c r="Q110" s="3">
        <v>0</v>
      </c>
      <c r="R110" s="3">
        <v>17</v>
      </c>
      <c r="S110" s="3">
        <v>-5500</v>
      </c>
      <c r="T110" s="3">
        <v>1</v>
      </c>
      <c r="U110" s="3">
        <v>0</v>
      </c>
      <c r="V110" s="3" t="s">
        <v>110</v>
      </c>
      <c r="W110" s="3" t="s">
        <v>111</v>
      </c>
      <c r="X110" s="3" t="s">
        <v>112</v>
      </c>
      <c r="Y110" s="16">
        <v>201004011</v>
      </c>
      <c r="Z110" s="16">
        <v>0</v>
      </c>
      <c r="AA110" s="3">
        <v>1</v>
      </c>
      <c r="AB110" s="8" t="s">
        <v>113</v>
      </c>
      <c r="AC110" s="3">
        <v>15000</v>
      </c>
      <c r="AD110" s="3">
        <v>10000</v>
      </c>
      <c r="AE110" s="3">
        <v>25010001</v>
      </c>
      <c r="AF110" s="8">
        <v>40</v>
      </c>
      <c r="AG110" s="8">
        <v>10000</v>
      </c>
      <c r="AH110" s="8">
        <v>10000</v>
      </c>
      <c r="AI110" s="8">
        <v>80</v>
      </c>
      <c r="AJ110" s="8">
        <v>10</v>
      </c>
    </row>
    <row r="111" spans="1:36">
      <c r="A111" s="3">
        <v>51105</v>
      </c>
      <c r="B111" s="3">
        <v>30</v>
      </c>
      <c r="C111" s="3" t="s">
        <v>120</v>
      </c>
      <c r="D111" s="3"/>
      <c r="F111" s="3"/>
      <c r="G111" s="3">
        <v>12</v>
      </c>
      <c r="H111" s="3">
        <v>1</v>
      </c>
      <c r="I111" s="3" t="s">
        <v>81</v>
      </c>
      <c r="J111" s="3">
        <v>0</v>
      </c>
      <c r="K111" s="3" t="s">
        <v>121</v>
      </c>
      <c r="L111" s="3">
        <v>800014011</v>
      </c>
      <c r="M111" s="3">
        <v>1</v>
      </c>
      <c r="N111" s="3">
        <v>125</v>
      </c>
      <c r="O111" s="3">
        <v>0</v>
      </c>
      <c r="P111" s="3">
        <v>19</v>
      </c>
      <c r="Q111" s="3">
        <v>1</v>
      </c>
      <c r="R111" s="3">
        <v>43</v>
      </c>
      <c r="S111" s="3">
        <v>-5500</v>
      </c>
      <c r="T111" s="3">
        <v>1</v>
      </c>
      <c r="U111" s="3">
        <v>0</v>
      </c>
      <c r="V111" s="3" t="s">
        <v>110</v>
      </c>
      <c r="W111" s="3" t="s">
        <v>111</v>
      </c>
      <c r="X111" s="3" t="s">
        <v>112</v>
      </c>
      <c r="Y111" s="16">
        <v>214001011</v>
      </c>
      <c r="Z111" s="16">
        <v>0</v>
      </c>
      <c r="AA111" s="3">
        <v>1</v>
      </c>
      <c r="AB111" s="8" t="s">
        <v>122</v>
      </c>
      <c r="AC111" s="3">
        <v>15000</v>
      </c>
      <c r="AD111" s="3">
        <v>10000</v>
      </c>
      <c r="AE111" s="3">
        <v>25010001</v>
      </c>
      <c r="AF111" s="8">
        <v>40</v>
      </c>
      <c r="AG111" s="8">
        <v>10000</v>
      </c>
      <c r="AH111" s="8">
        <v>10000</v>
      </c>
      <c r="AI111" s="8">
        <v>40</v>
      </c>
      <c r="AJ111" s="8">
        <v>0</v>
      </c>
    </row>
    <row r="112" spans="1:36">
      <c r="A112" s="3">
        <v>51106</v>
      </c>
      <c r="B112" s="2">
        <v>30</v>
      </c>
      <c r="C112" s="2" t="s">
        <v>123</v>
      </c>
      <c r="D112" s="2"/>
      <c r="E112" s="12"/>
      <c r="F112" s="2"/>
      <c r="G112" s="2">
        <v>12</v>
      </c>
      <c r="H112" s="2">
        <v>1</v>
      </c>
      <c r="I112" s="2" t="s">
        <v>81</v>
      </c>
      <c r="J112" s="2">
        <v>0</v>
      </c>
      <c r="K112" s="2"/>
      <c r="L112" s="2">
        <v>1000010</v>
      </c>
      <c r="M112" s="2">
        <v>1</v>
      </c>
      <c r="N112" s="2">
        <v>100</v>
      </c>
      <c r="O112" s="2">
        <v>0</v>
      </c>
      <c r="P112" s="2">
        <v>15</v>
      </c>
      <c r="Q112" s="2">
        <v>0</v>
      </c>
      <c r="R112" s="2">
        <v>36</v>
      </c>
      <c r="S112" s="2">
        <v>-5500</v>
      </c>
      <c r="T112" s="2">
        <v>1</v>
      </c>
      <c r="U112" s="2">
        <v>0</v>
      </c>
      <c r="V112" s="2" t="s">
        <v>110</v>
      </c>
      <c r="W112" s="2" t="s">
        <v>111</v>
      </c>
      <c r="X112" s="2" t="s">
        <v>124</v>
      </c>
      <c r="Y112" s="2">
        <v>201002011</v>
      </c>
      <c r="Z112" s="17">
        <v>0</v>
      </c>
      <c r="AA112" s="2">
        <v>1</v>
      </c>
      <c r="AB112" s="12" t="s">
        <v>83</v>
      </c>
      <c r="AC112" s="2">
        <v>15000</v>
      </c>
      <c r="AD112" s="2">
        <v>10000</v>
      </c>
      <c r="AE112" s="2">
        <v>25010001</v>
      </c>
      <c r="AF112" s="8">
        <v>40</v>
      </c>
      <c r="AG112" s="8">
        <v>0</v>
      </c>
      <c r="AH112" s="8">
        <v>0</v>
      </c>
      <c r="AI112" s="8">
        <v>0</v>
      </c>
      <c r="AJ112" s="8">
        <v>0</v>
      </c>
    </row>
    <row r="113" spans="1:36">
      <c r="A113" s="3">
        <v>51107</v>
      </c>
      <c r="B113" s="2">
        <v>30</v>
      </c>
      <c r="C113" s="2" t="s">
        <v>125</v>
      </c>
      <c r="D113" s="2"/>
      <c r="E113" s="12"/>
      <c r="F113" s="2"/>
      <c r="G113" s="2">
        <v>12</v>
      </c>
      <c r="H113" s="2">
        <v>1</v>
      </c>
      <c r="I113" s="2" t="s">
        <v>81</v>
      </c>
      <c r="J113" s="2">
        <v>0</v>
      </c>
      <c r="K113" s="2" t="s">
        <v>121</v>
      </c>
      <c r="L113" s="2">
        <v>800014011</v>
      </c>
      <c r="M113" s="2">
        <v>1</v>
      </c>
      <c r="N113" s="2">
        <v>100</v>
      </c>
      <c r="O113" s="2">
        <v>0</v>
      </c>
      <c r="P113" s="2">
        <v>15</v>
      </c>
      <c r="Q113" s="2">
        <v>0</v>
      </c>
      <c r="R113" s="2">
        <v>36</v>
      </c>
      <c r="S113" s="2">
        <v>-5500</v>
      </c>
      <c r="T113" s="2">
        <v>1</v>
      </c>
      <c r="U113" s="2">
        <v>0</v>
      </c>
      <c r="V113" s="2" t="s">
        <v>110</v>
      </c>
      <c r="W113" s="2" t="s">
        <v>111</v>
      </c>
      <c r="X113" s="2" t="s">
        <v>124</v>
      </c>
      <c r="Y113" s="2">
        <v>214001011</v>
      </c>
      <c r="Z113" s="17">
        <v>0</v>
      </c>
      <c r="AA113" s="2">
        <v>1</v>
      </c>
      <c r="AB113" s="12" t="s">
        <v>83</v>
      </c>
      <c r="AC113" s="2">
        <v>15000</v>
      </c>
      <c r="AD113" s="2">
        <v>10000</v>
      </c>
      <c r="AE113" s="2">
        <v>25010001</v>
      </c>
      <c r="AF113" s="8">
        <v>40</v>
      </c>
      <c r="AG113" s="8">
        <v>0</v>
      </c>
      <c r="AH113" s="8">
        <v>0</v>
      </c>
      <c r="AI113" s="8">
        <v>0</v>
      </c>
      <c r="AJ113" s="8">
        <v>0</v>
      </c>
    </row>
    <row r="114" ht="14.25" spans="1:36">
      <c r="A114" s="3">
        <v>51108</v>
      </c>
      <c r="B114" s="3">
        <v>30</v>
      </c>
      <c r="C114" s="3" t="s">
        <v>126</v>
      </c>
      <c r="D114" s="3"/>
      <c r="F114" s="3"/>
      <c r="G114" s="3">
        <v>12</v>
      </c>
      <c r="H114" s="3">
        <v>1</v>
      </c>
      <c r="I114" s="3" t="s">
        <v>81</v>
      </c>
      <c r="J114" s="3">
        <v>0</v>
      </c>
      <c r="K114" s="3" t="s">
        <v>127</v>
      </c>
      <c r="L114" s="3">
        <v>800004011</v>
      </c>
      <c r="M114" s="3">
        <v>1</v>
      </c>
      <c r="N114" s="3">
        <v>100</v>
      </c>
      <c r="O114" s="3">
        <v>0</v>
      </c>
      <c r="P114" s="3">
        <v>15</v>
      </c>
      <c r="Q114" s="3">
        <v>0</v>
      </c>
      <c r="R114" s="15">
        <v>36</v>
      </c>
      <c r="S114" s="3">
        <v>-5500</v>
      </c>
      <c r="T114" s="3">
        <v>1</v>
      </c>
      <c r="U114" s="3">
        <v>0</v>
      </c>
      <c r="V114" s="3" t="s">
        <v>110</v>
      </c>
      <c r="W114" s="3" t="s">
        <v>111</v>
      </c>
      <c r="X114" s="3" t="s">
        <v>124</v>
      </c>
      <c r="Y114" s="16">
        <v>204001001</v>
      </c>
      <c r="Z114" s="16">
        <v>0</v>
      </c>
      <c r="AA114" s="3">
        <v>1</v>
      </c>
      <c r="AB114" s="8" t="s">
        <v>83</v>
      </c>
      <c r="AC114" s="3">
        <v>15000</v>
      </c>
      <c r="AD114" s="3">
        <v>10000</v>
      </c>
      <c r="AE114" s="3">
        <v>25010001</v>
      </c>
      <c r="AF114" s="8">
        <v>40</v>
      </c>
      <c r="AG114" s="8">
        <v>0</v>
      </c>
      <c r="AH114" s="8">
        <v>0</v>
      </c>
      <c r="AI114" s="8">
        <v>0</v>
      </c>
      <c r="AJ114" s="8">
        <v>0</v>
      </c>
    </row>
    <row r="115" ht="14.25" spans="1:36">
      <c r="A115" s="3">
        <v>51109</v>
      </c>
      <c r="B115" s="3">
        <v>30</v>
      </c>
      <c r="C115" s="3" t="s">
        <v>128</v>
      </c>
      <c r="D115" s="3"/>
      <c r="F115" s="3"/>
      <c r="G115" s="3">
        <v>12</v>
      </c>
      <c r="H115" s="3">
        <v>1</v>
      </c>
      <c r="I115" s="3" t="s">
        <v>81</v>
      </c>
      <c r="J115" s="3">
        <v>0</v>
      </c>
      <c r="K115" s="3" t="s">
        <v>129</v>
      </c>
      <c r="L115" s="3">
        <v>800004021</v>
      </c>
      <c r="M115" s="3">
        <v>1</v>
      </c>
      <c r="N115" s="3">
        <v>100</v>
      </c>
      <c r="O115" s="3">
        <v>0</v>
      </c>
      <c r="P115" s="3">
        <v>15</v>
      </c>
      <c r="Q115" s="3">
        <v>0</v>
      </c>
      <c r="R115" s="15">
        <v>36</v>
      </c>
      <c r="S115" s="3">
        <v>-5500</v>
      </c>
      <c r="T115" s="3">
        <v>1</v>
      </c>
      <c r="U115" s="3">
        <v>0</v>
      </c>
      <c r="V115" s="3" t="s">
        <v>110</v>
      </c>
      <c r="W115" s="3" t="s">
        <v>111</v>
      </c>
      <c r="X115" s="3" t="s">
        <v>124</v>
      </c>
      <c r="Y115" s="16">
        <v>204002001</v>
      </c>
      <c r="Z115" s="16">
        <v>0</v>
      </c>
      <c r="AA115" s="3">
        <v>1</v>
      </c>
      <c r="AB115" s="8" t="s">
        <v>83</v>
      </c>
      <c r="AC115" s="3">
        <v>15000</v>
      </c>
      <c r="AD115" s="3">
        <v>10000</v>
      </c>
      <c r="AE115" s="3">
        <v>25010001</v>
      </c>
      <c r="AF115" s="8">
        <v>40</v>
      </c>
      <c r="AG115" s="8">
        <v>0</v>
      </c>
      <c r="AH115" s="8">
        <v>0</v>
      </c>
      <c r="AI115" s="8">
        <v>0</v>
      </c>
      <c r="AJ115" s="8">
        <v>0</v>
      </c>
    </row>
    <row r="116" ht="14.25" spans="1:36">
      <c r="A116" s="3">
        <v>51110</v>
      </c>
      <c r="B116" s="3">
        <v>30</v>
      </c>
      <c r="C116" s="3" t="s">
        <v>130</v>
      </c>
      <c r="D116" s="3"/>
      <c r="F116" s="3"/>
      <c r="G116" s="3">
        <v>12</v>
      </c>
      <c r="H116" s="3">
        <v>1</v>
      </c>
      <c r="I116" s="3" t="s">
        <v>81</v>
      </c>
      <c r="J116" s="3">
        <v>0</v>
      </c>
      <c r="K116" s="3" t="s">
        <v>131</v>
      </c>
      <c r="L116" s="3">
        <v>800011011</v>
      </c>
      <c r="M116" s="3">
        <v>1</v>
      </c>
      <c r="N116" s="3">
        <v>100</v>
      </c>
      <c r="O116" s="3">
        <v>0</v>
      </c>
      <c r="P116" s="3">
        <v>15</v>
      </c>
      <c r="Q116" s="3">
        <v>0</v>
      </c>
      <c r="R116" s="15">
        <v>36</v>
      </c>
      <c r="S116" s="3">
        <v>-5500</v>
      </c>
      <c r="T116" s="3">
        <v>1</v>
      </c>
      <c r="U116" s="3">
        <v>0</v>
      </c>
      <c r="V116" s="3" t="s">
        <v>110</v>
      </c>
      <c r="W116" s="3" t="s">
        <v>111</v>
      </c>
      <c r="X116" s="3" t="s">
        <v>124</v>
      </c>
      <c r="Y116" s="16">
        <v>211001001</v>
      </c>
      <c r="Z116" s="16">
        <v>0</v>
      </c>
      <c r="AA116" s="3">
        <v>1</v>
      </c>
      <c r="AB116" s="8" t="s">
        <v>83</v>
      </c>
      <c r="AC116" s="3">
        <v>15000</v>
      </c>
      <c r="AD116" s="3">
        <v>10000</v>
      </c>
      <c r="AE116" s="3">
        <v>25010001</v>
      </c>
      <c r="AF116" s="8">
        <v>40</v>
      </c>
      <c r="AG116" s="8">
        <v>0</v>
      </c>
      <c r="AH116" s="8">
        <v>0</v>
      </c>
      <c r="AI116" s="8">
        <v>0</v>
      </c>
      <c r="AJ116" s="8">
        <v>0</v>
      </c>
    </row>
    <row r="117" ht="14.25" spans="1:36">
      <c r="A117" s="3">
        <v>51111</v>
      </c>
      <c r="B117" s="3">
        <v>30</v>
      </c>
      <c r="C117" s="3" t="s">
        <v>132</v>
      </c>
      <c r="D117" s="3"/>
      <c r="F117" s="3"/>
      <c r="G117" s="3">
        <v>12</v>
      </c>
      <c r="H117" s="3">
        <v>1</v>
      </c>
      <c r="I117" s="3" t="s">
        <v>81</v>
      </c>
      <c r="J117" s="3">
        <v>0</v>
      </c>
      <c r="K117" s="3" t="s">
        <v>133</v>
      </c>
      <c r="L117" s="3">
        <v>800011021</v>
      </c>
      <c r="M117" s="3">
        <v>1</v>
      </c>
      <c r="N117" s="3">
        <v>100</v>
      </c>
      <c r="O117" s="3">
        <v>0</v>
      </c>
      <c r="P117" s="3">
        <v>15</v>
      </c>
      <c r="Q117" s="3">
        <v>0</v>
      </c>
      <c r="R117" s="15">
        <v>36</v>
      </c>
      <c r="S117" s="3">
        <v>-5500</v>
      </c>
      <c r="T117" s="3">
        <v>1</v>
      </c>
      <c r="U117" s="3">
        <v>0</v>
      </c>
      <c r="V117" s="3" t="s">
        <v>110</v>
      </c>
      <c r="W117" s="3" t="s">
        <v>111</v>
      </c>
      <c r="X117" s="3" t="s">
        <v>124</v>
      </c>
      <c r="Y117" s="16">
        <v>211002001</v>
      </c>
      <c r="Z117" s="16">
        <v>0</v>
      </c>
      <c r="AA117" s="3">
        <v>1</v>
      </c>
      <c r="AB117" s="8" t="s">
        <v>83</v>
      </c>
      <c r="AC117" s="3">
        <v>15000</v>
      </c>
      <c r="AD117" s="3">
        <v>10000</v>
      </c>
      <c r="AE117" s="3">
        <v>25010001</v>
      </c>
      <c r="AF117" s="8">
        <v>40</v>
      </c>
      <c r="AG117" s="8">
        <v>0</v>
      </c>
      <c r="AH117" s="8">
        <v>0</v>
      </c>
      <c r="AI117" s="8">
        <v>0</v>
      </c>
      <c r="AJ117" s="8">
        <v>0</v>
      </c>
    </row>
    <row r="118" ht="14.25" spans="1:36">
      <c r="A118" s="3">
        <v>51112</v>
      </c>
      <c r="B118" s="3">
        <v>30</v>
      </c>
      <c r="C118" s="3" t="s">
        <v>134</v>
      </c>
      <c r="D118" s="3"/>
      <c r="F118" s="3"/>
      <c r="G118" s="3">
        <v>12</v>
      </c>
      <c r="H118" s="3">
        <v>1</v>
      </c>
      <c r="I118" s="3" t="s">
        <v>81</v>
      </c>
      <c r="J118" s="3">
        <v>0</v>
      </c>
      <c r="K118" s="3" t="s">
        <v>135</v>
      </c>
      <c r="L118" s="3">
        <v>800003011</v>
      </c>
      <c r="M118" s="3">
        <v>1</v>
      </c>
      <c r="N118" s="3">
        <v>100</v>
      </c>
      <c r="O118" s="3">
        <v>0</v>
      </c>
      <c r="P118" s="3">
        <v>15</v>
      </c>
      <c r="Q118" s="3">
        <v>0</v>
      </c>
      <c r="R118" s="15">
        <v>36</v>
      </c>
      <c r="S118" s="3">
        <v>-5500</v>
      </c>
      <c r="T118" s="3">
        <v>1</v>
      </c>
      <c r="U118" s="3">
        <v>0</v>
      </c>
      <c r="V118" s="3" t="s">
        <v>110</v>
      </c>
      <c r="W118" s="3" t="s">
        <v>111</v>
      </c>
      <c r="X118" s="3" t="s">
        <v>124</v>
      </c>
      <c r="Y118" s="16">
        <v>203001001</v>
      </c>
      <c r="Z118" s="16">
        <v>0</v>
      </c>
      <c r="AA118" s="3">
        <v>1</v>
      </c>
      <c r="AB118" s="8" t="s">
        <v>83</v>
      </c>
      <c r="AC118" s="3">
        <v>15000</v>
      </c>
      <c r="AD118" s="3">
        <v>10000</v>
      </c>
      <c r="AE118" s="3">
        <v>25010001</v>
      </c>
      <c r="AF118" s="8">
        <v>40</v>
      </c>
      <c r="AG118" s="8">
        <v>0</v>
      </c>
      <c r="AH118" s="8">
        <v>0</v>
      </c>
      <c r="AI118" s="8">
        <v>0</v>
      </c>
      <c r="AJ118" s="8">
        <v>0</v>
      </c>
    </row>
    <row r="119" ht="14.25" spans="1:36">
      <c r="A119" s="3">
        <v>51113</v>
      </c>
      <c r="B119" s="3">
        <v>30</v>
      </c>
      <c r="C119" s="3" t="s">
        <v>136</v>
      </c>
      <c r="D119" s="3"/>
      <c r="F119" s="3"/>
      <c r="G119" s="3">
        <v>12</v>
      </c>
      <c r="H119" s="3">
        <v>1</v>
      </c>
      <c r="I119" s="3" t="s">
        <v>81</v>
      </c>
      <c r="J119" s="3">
        <v>0</v>
      </c>
      <c r="K119" s="3" t="s">
        <v>137</v>
      </c>
      <c r="L119" s="3">
        <v>800003021</v>
      </c>
      <c r="M119" s="3">
        <v>1</v>
      </c>
      <c r="N119" s="3">
        <v>500</v>
      </c>
      <c r="O119" s="3">
        <v>0</v>
      </c>
      <c r="P119" s="3">
        <v>42</v>
      </c>
      <c r="Q119" s="3">
        <v>3</v>
      </c>
      <c r="R119" s="15">
        <v>1496</v>
      </c>
      <c r="S119" s="3">
        <v>-5500</v>
      </c>
      <c r="T119" s="3">
        <v>1</v>
      </c>
      <c r="U119" s="3">
        <v>30000</v>
      </c>
      <c r="V119" s="3" t="s">
        <v>110</v>
      </c>
      <c r="W119" s="3" t="s">
        <v>111</v>
      </c>
      <c r="X119" s="3" t="s">
        <v>138</v>
      </c>
      <c r="Y119" s="16">
        <v>203002011</v>
      </c>
      <c r="Z119" s="16">
        <v>0</v>
      </c>
      <c r="AA119" s="3">
        <v>1</v>
      </c>
      <c r="AB119" s="8" t="s">
        <v>139</v>
      </c>
      <c r="AC119" s="3">
        <v>15000</v>
      </c>
      <c r="AD119" s="3">
        <v>10000</v>
      </c>
      <c r="AE119" s="3">
        <v>25010001</v>
      </c>
      <c r="AF119" s="8">
        <v>40</v>
      </c>
      <c r="AG119" s="8">
        <v>1000</v>
      </c>
      <c r="AH119" s="8">
        <v>5000</v>
      </c>
      <c r="AI119" s="8">
        <v>40</v>
      </c>
      <c r="AJ119" s="8">
        <v>0</v>
      </c>
    </row>
    <row r="120" ht="14.25" spans="1:36">
      <c r="A120" s="3">
        <v>51114</v>
      </c>
      <c r="B120" s="3">
        <v>30</v>
      </c>
      <c r="C120" s="3" t="s">
        <v>140</v>
      </c>
      <c r="D120" s="3"/>
      <c r="F120" s="3"/>
      <c r="G120" s="3">
        <v>12</v>
      </c>
      <c r="H120" s="3">
        <v>1</v>
      </c>
      <c r="I120" s="3" t="s">
        <v>81</v>
      </c>
      <c r="J120" s="3">
        <v>0</v>
      </c>
      <c r="K120" s="3" t="s">
        <v>141</v>
      </c>
      <c r="L120" s="3">
        <v>800003031</v>
      </c>
      <c r="M120" s="3">
        <v>1</v>
      </c>
      <c r="N120" s="3">
        <v>100</v>
      </c>
      <c r="O120" s="3">
        <v>0</v>
      </c>
      <c r="P120" s="3">
        <v>15</v>
      </c>
      <c r="Q120" s="3">
        <v>0</v>
      </c>
      <c r="R120" s="15">
        <v>36</v>
      </c>
      <c r="S120" s="3">
        <v>-5500</v>
      </c>
      <c r="T120" s="3">
        <v>1</v>
      </c>
      <c r="U120" s="3">
        <v>0</v>
      </c>
      <c r="V120" s="3" t="s">
        <v>110</v>
      </c>
      <c r="W120" s="3" t="s">
        <v>111</v>
      </c>
      <c r="X120" s="3" t="s">
        <v>124</v>
      </c>
      <c r="Y120" s="16">
        <v>203003001</v>
      </c>
      <c r="Z120" s="16">
        <v>0</v>
      </c>
      <c r="AA120" s="3">
        <v>1</v>
      </c>
      <c r="AB120" s="8" t="s">
        <v>83</v>
      </c>
      <c r="AC120" s="3">
        <v>15000</v>
      </c>
      <c r="AD120" s="3">
        <v>10000</v>
      </c>
      <c r="AE120" s="3">
        <v>0</v>
      </c>
      <c r="AF120" s="8">
        <v>40</v>
      </c>
      <c r="AG120" s="8">
        <v>0</v>
      </c>
      <c r="AH120" s="8">
        <v>0</v>
      </c>
      <c r="AI120" s="8">
        <v>0</v>
      </c>
      <c r="AJ120" s="8">
        <v>0</v>
      </c>
    </row>
    <row r="121" spans="1:36">
      <c r="A121" s="3">
        <v>51115</v>
      </c>
      <c r="B121" s="2">
        <v>30</v>
      </c>
      <c r="C121" s="2" t="s">
        <v>142</v>
      </c>
      <c r="D121" s="2"/>
      <c r="E121" s="12"/>
      <c r="F121" s="2"/>
      <c r="G121" s="2">
        <v>12</v>
      </c>
      <c r="H121" s="2">
        <v>1</v>
      </c>
      <c r="I121" s="2" t="s">
        <v>81</v>
      </c>
      <c r="J121" s="2">
        <v>0</v>
      </c>
      <c r="K121" s="2"/>
      <c r="L121" s="2">
        <v>1000011</v>
      </c>
      <c r="M121" s="2">
        <v>1</v>
      </c>
      <c r="N121" s="2">
        <v>100</v>
      </c>
      <c r="O121" s="2">
        <v>0</v>
      </c>
      <c r="P121" s="2">
        <v>15</v>
      </c>
      <c r="Q121" s="2">
        <v>0</v>
      </c>
      <c r="R121" s="2">
        <v>36</v>
      </c>
      <c r="S121" s="2">
        <v>-5500</v>
      </c>
      <c r="T121" s="2">
        <v>1</v>
      </c>
      <c r="U121" s="2">
        <v>0</v>
      </c>
      <c r="V121" s="2" t="s">
        <v>110</v>
      </c>
      <c r="W121" s="2" t="s">
        <v>111</v>
      </c>
      <c r="X121" s="2" t="s">
        <v>124</v>
      </c>
      <c r="Y121" s="17">
        <v>201002011</v>
      </c>
      <c r="Z121" s="17">
        <v>0</v>
      </c>
      <c r="AA121" s="2">
        <v>1</v>
      </c>
      <c r="AB121" s="12" t="s">
        <v>83</v>
      </c>
      <c r="AC121" s="2">
        <v>15000</v>
      </c>
      <c r="AD121" s="2">
        <v>10000</v>
      </c>
      <c r="AE121" s="2">
        <v>0</v>
      </c>
      <c r="AF121" s="8">
        <v>40</v>
      </c>
      <c r="AG121" s="8">
        <v>0</v>
      </c>
      <c r="AH121" s="8">
        <v>0</v>
      </c>
      <c r="AI121" s="8">
        <v>0</v>
      </c>
      <c r="AJ121" s="8">
        <v>0</v>
      </c>
    </row>
    <row r="122" spans="1:36">
      <c r="A122" s="3">
        <v>52101</v>
      </c>
      <c r="B122" s="3">
        <v>30</v>
      </c>
      <c r="C122" s="3" t="s">
        <v>108</v>
      </c>
      <c r="D122" s="3"/>
      <c r="F122" s="3"/>
      <c r="G122" s="3">
        <v>12</v>
      </c>
      <c r="H122" s="3">
        <v>1</v>
      </c>
      <c r="I122" s="3" t="s">
        <v>81</v>
      </c>
      <c r="J122" s="3">
        <v>0</v>
      </c>
      <c r="K122" s="3" t="s">
        <v>109</v>
      </c>
      <c r="L122" s="3">
        <v>800001011</v>
      </c>
      <c r="M122" s="3">
        <v>1</v>
      </c>
      <c r="N122" s="3">
        <v>70</v>
      </c>
      <c r="O122" s="3">
        <v>0</v>
      </c>
      <c r="P122" s="3">
        <v>15</v>
      </c>
      <c r="Q122" s="3">
        <v>0</v>
      </c>
      <c r="R122" s="3">
        <v>20</v>
      </c>
      <c r="S122" s="3">
        <v>-5500</v>
      </c>
      <c r="T122" s="3">
        <v>1</v>
      </c>
      <c r="U122" s="3">
        <v>0</v>
      </c>
      <c r="V122" s="3" t="s">
        <v>110</v>
      </c>
      <c r="W122" s="3" t="s">
        <v>111</v>
      </c>
      <c r="X122" s="3" t="s">
        <v>112</v>
      </c>
      <c r="Y122" s="16">
        <v>201001011</v>
      </c>
      <c r="Z122" s="16">
        <v>0</v>
      </c>
      <c r="AA122" s="3">
        <v>1</v>
      </c>
      <c r="AB122" s="8" t="s">
        <v>113</v>
      </c>
      <c r="AC122" s="3">
        <v>15000</v>
      </c>
      <c r="AD122" s="3">
        <v>10000</v>
      </c>
      <c r="AE122" s="3">
        <v>25010001</v>
      </c>
      <c r="AF122" s="8">
        <v>40</v>
      </c>
      <c r="AG122" s="8">
        <v>10000</v>
      </c>
      <c r="AH122" s="8">
        <v>10000</v>
      </c>
      <c r="AI122" s="8">
        <v>50</v>
      </c>
      <c r="AJ122" s="8">
        <v>0</v>
      </c>
    </row>
    <row r="123" spans="1:36">
      <c r="A123" s="3">
        <v>52102</v>
      </c>
      <c r="B123" s="3">
        <v>30</v>
      </c>
      <c r="C123" s="3" t="s">
        <v>114</v>
      </c>
      <c r="D123" s="3"/>
      <c r="F123" s="3"/>
      <c r="G123" s="3">
        <v>12</v>
      </c>
      <c r="H123" s="3">
        <v>1</v>
      </c>
      <c r="I123" s="3" t="s">
        <v>81</v>
      </c>
      <c r="J123" s="3">
        <v>0</v>
      </c>
      <c r="K123" s="3" t="s">
        <v>115</v>
      </c>
      <c r="L123" s="3">
        <v>800001021</v>
      </c>
      <c r="M123" s="3">
        <v>1</v>
      </c>
      <c r="N123" s="3">
        <v>200</v>
      </c>
      <c r="O123" s="3">
        <v>0</v>
      </c>
      <c r="P123" s="3">
        <v>30</v>
      </c>
      <c r="Q123" s="3">
        <v>2</v>
      </c>
      <c r="R123" s="3">
        <v>105</v>
      </c>
      <c r="S123" s="3">
        <v>-5500</v>
      </c>
      <c r="T123" s="3">
        <v>1</v>
      </c>
      <c r="U123" s="3">
        <v>0</v>
      </c>
      <c r="V123" s="3" t="s">
        <v>110</v>
      </c>
      <c r="W123" s="3" t="s">
        <v>111</v>
      </c>
      <c r="X123" s="3" t="s">
        <v>112</v>
      </c>
      <c r="Y123" s="16">
        <v>201002011</v>
      </c>
      <c r="Z123" s="16">
        <v>0</v>
      </c>
      <c r="AA123" s="3">
        <v>1</v>
      </c>
      <c r="AB123" s="8" t="s">
        <v>116</v>
      </c>
      <c r="AC123" s="3">
        <v>15000</v>
      </c>
      <c r="AD123" s="3">
        <v>10000</v>
      </c>
      <c r="AE123" s="3">
        <v>25010001</v>
      </c>
      <c r="AF123" s="8">
        <v>40</v>
      </c>
      <c r="AG123" s="8">
        <v>3000</v>
      </c>
      <c r="AH123" s="8">
        <v>10000</v>
      </c>
      <c r="AI123" s="8">
        <v>15</v>
      </c>
      <c r="AJ123" s="8">
        <v>0</v>
      </c>
    </row>
    <row r="124" spans="1:36">
      <c r="A124" s="3">
        <v>52103</v>
      </c>
      <c r="B124" s="2">
        <v>30</v>
      </c>
      <c r="C124" s="2" t="s">
        <v>117</v>
      </c>
      <c r="D124" s="2"/>
      <c r="E124" s="12"/>
      <c r="F124" s="2"/>
      <c r="G124" s="2">
        <v>12</v>
      </c>
      <c r="H124" s="2">
        <v>1</v>
      </c>
      <c r="I124" s="2" t="s">
        <v>81</v>
      </c>
      <c r="J124" s="2">
        <v>0</v>
      </c>
      <c r="K124" s="2"/>
      <c r="L124" s="2">
        <v>800001021</v>
      </c>
      <c r="M124" s="2">
        <v>1</v>
      </c>
      <c r="N124" s="2">
        <v>70</v>
      </c>
      <c r="O124" s="2">
        <v>0</v>
      </c>
      <c r="P124" s="2">
        <v>15</v>
      </c>
      <c r="Q124" s="2">
        <v>1</v>
      </c>
      <c r="R124" s="2">
        <v>300</v>
      </c>
      <c r="S124" s="2">
        <v>-5500</v>
      </c>
      <c r="T124" s="2">
        <v>1</v>
      </c>
      <c r="U124" s="2">
        <v>250</v>
      </c>
      <c r="V124" s="2" t="s">
        <v>110</v>
      </c>
      <c r="W124" s="2" t="s">
        <v>111</v>
      </c>
      <c r="X124" s="2" t="s">
        <v>112</v>
      </c>
      <c r="Y124" s="17">
        <v>201001011</v>
      </c>
      <c r="Z124" s="17">
        <v>0</v>
      </c>
      <c r="AA124" s="2">
        <v>1</v>
      </c>
      <c r="AB124" s="12" t="s">
        <v>113</v>
      </c>
      <c r="AC124" s="2">
        <v>15000</v>
      </c>
      <c r="AD124" s="2">
        <v>10000</v>
      </c>
      <c r="AE124" s="2">
        <v>25010001</v>
      </c>
      <c r="AF124" s="8">
        <v>40</v>
      </c>
      <c r="AG124" s="8">
        <v>0</v>
      </c>
      <c r="AH124" s="8">
        <v>0</v>
      </c>
      <c r="AI124" s="8">
        <v>0</v>
      </c>
      <c r="AJ124" s="8">
        <v>0</v>
      </c>
    </row>
    <row r="125" spans="1:36">
      <c r="A125" s="3">
        <v>52104</v>
      </c>
      <c r="B125" s="3">
        <v>30</v>
      </c>
      <c r="C125" s="3" t="s">
        <v>118</v>
      </c>
      <c r="D125" s="3"/>
      <c r="F125" s="3"/>
      <c r="G125" s="3">
        <v>12</v>
      </c>
      <c r="H125" s="3">
        <v>1</v>
      </c>
      <c r="I125" s="3" t="s">
        <v>81</v>
      </c>
      <c r="J125" s="3">
        <v>0</v>
      </c>
      <c r="K125" s="3" t="s">
        <v>119</v>
      </c>
      <c r="L125" s="3">
        <v>800001041</v>
      </c>
      <c r="M125" s="3">
        <v>1</v>
      </c>
      <c r="N125" s="3">
        <v>70</v>
      </c>
      <c r="O125" s="3">
        <v>0</v>
      </c>
      <c r="P125" s="3">
        <v>24</v>
      </c>
      <c r="Q125" s="3">
        <v>0</v>
      </c>
      <c r="R125" s="3">
        <v>17</v>
      </c>
      <c r="S125" s="3">
        <v>-5500</v>
      </c>
      <c r="T125" s="3">
        <v>1</v>
      </c>
      <c r="U125" s="3">
        <v>0</v>
      </c>
      <c r="V125" s="3" t="s">
        <v>110</v>
      </c>
      <c r="W125" s="3" t="s">
        <v>111</v>
      </c>
      <c r="X125" s="3" t="s">
        <v>112</v>
      </c>
      <c r="Y125" s="16">
        <v>201004011</v>
      </c>
      <c r="Z125" s="16">
        <v>0</v>
      </c>
      <c r="AA125" s="3">
        <v>1</v>
      </c>
      <c r="AB125" s="8" t="s">
        <v>113</v>
      </c>
      <c r="AC125" s="3">
        <v>15000</v>
      </c>
      <c r="AD125" s="3">
        <v>10000</v>
      </c>
      <c r="AE125" s="3">
        <v>25010001</v>
      </c>
      <c r="AF125" s="8">
        <v>40</v>
      </c>
      <c r="AG125" s="8">
        <v>10000</v>
      </c>
      <c r="AH125" s="8">
        <v>10000</v>
      </c>
      <c r="AI125" s="8">
        <v>80</v>
      </c>
      <c r="AJ125" s="8">
        <v>10</v>
      </c>
    </row>
    <row r="126" spans="1:36">
      <c r="A126" s="3">
        <v>52105</v>
      </c>
      <c r="B126" s="3">
        <v>30</v>
      </c>
      <c r="C126" s="3" t="s">
        <v>120</v>
      </c>
      <c r="D126" s="3"/>
      <c r="F126" s="3"/>
      <c r="G126" s="3">
        <v>12</v>
      </c>
      <c r="H126" s="3">
        <v>1</v>
      </c>
      <c r="I126" s="3" t="s">
        <v>81</v>
      </c>
      <c r="J126" s="3">
        <v>0</v>
      </c>
      <c r="K126" s="3" t="s">
        <v>121</v>
      </c>
      <c r="L126" s="3">
        <v>800014011</v>
      </c>
      <c r="M126" s="3">
        <v>1</v>
      </c>
      <c r="N126" s="3">
        <v>125</v>
      </c>
      <c r="O126" s="3">
        <v>0</v>
      </c>
      <c r="P126" s="3">
        <v>19</v>
      </c>
      <c r="Q126" s="3">
        <v>1</v>
      </c>
      <c r="R126" s="3">
        <v>43</v>
      </c>
      <c r="S126" s="3">
        <v>-5500</v>
      </c>
      <c r="T126" s="3">
        <v>1</v>
      </c>
      <c r="U126" s="3">
        <v>0</v>
      </c>
      <c r="V126" s="3" t="s">
        <v>110</v>
      </c>
      <c r="W126" s="3" t="s">
        <v>111</v>
      </c>
      <c r="X126" s="3" t="s">
        <v>112</v>
      </c>
      <c r="Y126" s="16">
        <v>214001011</v>
      </c>
      <c r="Z126" s="16">
        <v>0</v>
      </c>
      <c r="AA126" s="3">
        <v>1</v>
      </c>
      <c r="AB126" s="8" t="s">
        <v>122</v>
      </c>
      <c r="AC126" s="3">
        <v>15000</v>
      </c>
      <c r="AD126" s="3">
        <v>10000</v>
      </c>
      <c r="AE126" s="3">
        <v>25010001</v>
      </c>
      <c r="AF126" s="8">
        <v>40</v>
      </c>
      <c r="AG126" s="8">
        <v>10000</v>
      </c>
      <c r="AH126" s="8">
        <v>10000</v>
      </c>
      <c r="AI126" s="8">
        <v>40</v>
      </c>
      <c r="AJ126" s="8">
        <v>0</v>
      </c>
    </row>
    <row r="127" spans="1:36">
      <c r="A127" s="3">
        <v>52106</v>
      </c>
      <c r="B127" s="2">
        <v>30</v>
      </c>
      <c r="C127" s="2" t="s">
        <v>123</v>
      </c>
      <c r="D127" s="2"/>
      <c r="E127" s="12"/>
      <c r="F127" s="2"/>
      <c r="G127" s="2">
        <v>12</v>
      </c>
      <c r="H127" s="2">
        <v>1</v>
      </c>
      <c r="I127" s="2" t="s">
        <v>81</v>
      </c>
      <c r="J127" s="2">
        <v>0</v>
      </c>
      <c r="K127" s="2"/>
      <c r="L127" s="2">
        <v>1000010</v>
      </c>
      <c r="M127" s="2">
        <v>1</v>
      </c>
      <c r="N127" s="2">
        <v>100</v>
      </c>
      <c r="O127" s="2">
        <v>0</v>
      </c>
      <c r="P127" s="2">
        <v>15</v>
      </c>
      <c r="Q127" s="2">
        <v>0</v>
      </c>
      <c r="R127" s="2">
        <v>36</v>
      </c>
      <c r="S127" s="2">
        <v>-5500</v>
      </c>
      <c r="T127" s="2">
        <v>1</v>
      </c>
      <c r="U127" s="2">
        <v>0</v>
      </c>
      <c r="V127" s="2" t="s">
        <v>110</v>
      </c>
      <c r="W127" s="2" t="s">
        <v>111</v>
      </c>
      <c r="X127" s="2" t="s">
        <v>124</v>
      </c>
      <c r="Y127" s="2">
        <v>201002011</v>
      </c>
      <c r="Z127" s="17">
        <v>0</v>
      </c>
      <c r="AA127" s="2">
        <v>1</v>
      </c>
      <c r="AB127" s="12" t="s">
        <v>83</v>
      </c>
      <c r="AC127" s="2">
        <v>15000</v>
      </c>
      <c r="AD127" s="2">
        <v>10000</v>
      </c>
      <c r="AE127" s="2">
        <v>25010001</v>
      </c>
      <c r="AF127" s="8">
        <v>40</v>
      </c>
      <c r="AG127" s="8">
        <v>0</v>
      </c>
      <c r="AH127" s="8">
        <v>0</v>
      </c>
      <c r="AI127" s="8">
        <v>0</v>
      </c>
      <c r="AJ127" s="8">
        <v>0</v>
      </c>
    </row>
    <row r="128" spans="1:36">
      <c r="A128" s="3">
        <v>52107</v>
      </c>
      <c r="B128" s="2">
        <v>30</v>
      </c>
      <c r="C128" s="2" t="s">
        <v>125</v>
      </c>
      <c r="D128" s="2"/>
      <c r="E128" s="12"/>
      <c r="F128" s="2"/>
      <c r="G128" s="2">
        <v>12</v>
      </c>
      <c r="H128" s="2">
        <v>1</v>
      </c>
      <c r="I128" s="2" t="s">
        <v>81</v>
      </c>
      <c r="J128" s="2">
        <v>0</v>
      </c>
      <c r="K128" s="2" t="s">
        <v>121</v>
      </c>
      <c r="L128" s="2">
        <v>800014011</v>
      </c>
      <c r="M128" s="2">
        <v>1</v>
      </c>
      <c r="N128" s="2">
        <v>100</v>
      </c>
      <c r="O128" s="2">
        <v>0</v>
      </c>
      <c r="P128" s="2">
        <v>15</v>
      </c>
      <c r="Q128" s="2">
        <v>0</v>
      </c>
      <c r="R128" s="2">
        <v>36</v>
      </c>
      <c r="S128" s="2">
        <v>-5500</v>
      </c>
      <c r="T128" s="2">
        <v>1</v>
      </c>
      <c r="U128" s="2">
        <v>0</v>
      </c>
      <c r="V128" s="2" t="s">
        <v>110</v>
      </c>
      <c r="W128" s="2" t="s">
        <v>111</v>
      </c>
      <c r="X128" s="2" t="s">
        <v>124</v>
      </c>
      <c r="Y128" s="2">
        <v>214001011</v>
      </c>
      <c r="Z128" s="17">
        <v>0</v>
      </c>
      <c r="AA128" s="2">
        <v>1</v>
      </c>
      <c r="AB128" s="12" t="s">
        <v>83</v>
      </c>
      <c r="AC128" s="2">
        <v>15000</v>
      </c>
      <c r="AD128" s="2">
        <v>10000</v>
      </c>
      <c r="AE128" s="2">
        <v>25010001</v>
      </c>
      <c r="AF128" s="8">
        <v>40</v>
      </c>
      <c r="AG128" s="8">
        <v>0</v>
      </c>
      <c r="AH128" s="8">
        <v>0</v>
      </c>
      <c r="AI128" s="8">
        <v>0</v>
      </c>
      <c r="AJ128" s="8">
        <v>0</v>
      </c>
    </row>
    <row r="129" ht="14.25" spans="1:36">
      <c r="A129" s="3">
        <v>52108</v>
      </c>
      <c r="B129" s="3">
        <v>30</v>
      </c>
      <c r="C129" s="3" t="s">
        <v>126</v>
      </c>
      <c r="D129" s="3"/>
      <c r="F129" s="3"/>
      <c r="G129" s="3">
        <v>12</v>
      </c>
      <c r="H129" s="3">
        <v>1</v>
      </c>
      <c r="I129" s="3" t="s">
        <v>81</v>
      </c>
      <c r="J129" s="3">
        <v>0</v>
      </c>
      <c r="K129" s="3" t="s">
        <v>127</v>
      </c>
      <c r="L129" s="3">
        <v>800004011</v>
      </c>
      <c r="M129" s="3">
        <v>1</v>
      </c>
      <c r="N129" s="3">
        <v>100</v>
      </c>
      <c r="O129" s="3">
        <v>0</v>
      </c>
      <c r="P129" s="3">
        <v>15</v>
      </c>
      <c r="Q129" s="3">
        <v>0</v>
      </c>
      <c r="R129" s="15">
        <v>36</v>
      </c>
      <c r="S129" s="3">
        <v>-5500</v>
      </c>
      <c r="T129" s="3">
        <v>1</v>
      </c>
      <c r="U129" s="3">
        <v>0</v>
      </c>
      <c r="V129" s="3" t="s">
        <v>110</v>
      </c>
      <c r="W129" s="3" t="s">
        <v>111</v>
      </c>
      <c r="X129" s="3" t="s">
        <v>124</v>
      </c>
      <c r="Y129" s="16">
        <v>204001001</v>
      </c>
      <c r="Z129" s="16">
        <v>0</v>
      </c>
      <c r="AA129" s="3">
        <v>1</v>
      </c>
      <c r="AB129" s="8" t="s">
        <v>83</v>
      </c>
      <c r="AC129" s="3">
        <v>15000</v>
      </c>
      <c r="AD129" s="3">
        <v>10000</v>
      </c>
      <c r="AE129" s="3">
        <v>25010001</v>
      </c>
      <c r="AF129" s="8">
        <v>40</v>
      </c>
      <c r="AG129" s="8">
        <v>0</v>
      </c>
      <c r="AH129" s="8">
        <v>0</v>
      </c>
      <c r="AI129" s="8">
        <v>0</v>
      </c>
      <c r="AJ129" s="8">
        <v>0</v>
      </c>
    </row>
    <row r="130" ht="14.25" spans="1:36">
      <c r="A130" s="3">
        <v>52109</v>
      </c>
      <c r="B130" s="3">
        <v>30</v>
      </c>
      <c r="C130" s="3" t="s">
        <v>128</v>
      </c>
      <c r="D130" s="3"/>
      <c r="F130" s="3"/>
      <c r="G130" s="3">
        <v>12</v>
      </c>
      <c r="H130" s="3">
        <v>1</v>
      </c>
      <c r="I130" s="3" t="s">
        <v>81</v>
      </c>
      <c r="J130" s="3">
        <v>0</v>
      </c>
      <c r="K130" s="3" t="s">
        <v>129</v>
      </c>
      <c r="L130" s="3">
        <v>800004021</v>
      </c>
      <c r="M130" s="3">
        <v>1</v>
      </c>
      <c r="N130" s="3">
        <v>100</v>
      </c>
      <c r="O130" s="3">
        <v>0</v>
      </c>
      <c r="P130" s="3">
        <v>15</v>
      </c>
      <c r="Q130" s="3">
        <v>0</v>
      </c>
      <c r="R130" s="15">
        <v>36</v>
      </c>
      <c r="S130" s="3">
        <v>-5500</v>
      </c>
      <c r="T130" s="3">
        <v>1</v>
      </c>
      <c r="U130" s="3">
        <v>0</v>
      </c>
      <c r="V130" s="3" t="s">
        <v>110</v>
      </c>
      <c r="W130" s="3" t="s">
        <v>111</v>
      </c>
      <c r="X130" s="3" t="s">
        <v>124</v>
      </c>
      <c r="Y130" s="16">
        <v>204002001</v>
      </c>
      <c r="Z130" s="16">
        <v>0</v>
      </c>
      <c r="AA130" s="3">
        <v>1</v>
      </c>
      <c r="AB130" s="8" t="s">
        <v>83</v>
      </c>
      <c r="AC130" s="3">
        <v>15000</v>
      </c>
      <c r="AD130" s="3">
        <v>10000</v>
      </c>
      <c r="AE130" s="3">
        <v>25010001</v>
      </c>
      <c r="AF130" s="8">
        <v>40</v>
      </c>
      <c r="AG130" s="8">
        <v>0</v>
      </c>
      <c r="AH130" s="8">
        <v>0</v>
      </c>
      <c r="AI130" s="8">
        <v>0</v>
      </c>
      <c r="AJ130" s="8">
        <v>0</v>
      </c>
    </row>
    <row r="131" ht="14.25" spans="1:36">
      <c r="A131" s="3">
        <v>52110</v>
      </c>
      <c r="B131" s="3">
        <v>30</v>
      </c>
      <c r="C131" s="3" t="s">
        <v>130</v>
      </c>
      <c r="D131" s="3"/>
      <c r="F131" s="3"/>
      <c r="G131" s="3">
        <v>12</v>
      </c>
      <c r="H131" s="3">
        <v>1</v>
      </c>
      <c r="I131" s="3" t="s">
        <v>81</v>
      </c>
      <c r="J131" s="3">
        <v>0</v>
      </c>
      <c r="K131" s="3" t="s">
        <v>131</v>
      </c>
      <c r="L131" s="3">
        <v>800011011</v>
      </c>
      <c r="M131" s="3">
        <v>1</v>
      </c>
      <c r="N131" s="3">
        <v>100</v>
      </c>
      <c r="O131" s="3">
        <v>0</v>
      </c>
      <c r="P131" s="3">
        <v>15</v>
      </c>
      <c r="Q131" s="3">
        <v>0</v>
      </c>
      <c r="R131" s="15">
        <v>36</v>
      </c>
      <c r="S131" s="3">
        <v>-5500</v>
      </c>
      <c r="T131" s="3">
        <v>1</v>
      </c>
      <c r="U131" s="3">
        <v>0</v>
      </c>
      <c r="V131" s="3" t="s">
        <v>110</v>
      </c>
      <c r="W131" s="3" t="s">
        <v>111</v>
      </c>
      <c r="X131" s="3" t="s">
        <v>124</v>
      </c>
      <c r="Y131" s="16">
        <v>211001001</v>
      </c>
      <c r="Z131" s="16">
        <v>0</v>
      </c>
      <c r="AA131" s="3">
        <v>1</v>
      </c>
      <c r="AB131" s="8" t="s">
        <v>83</v>
      </c>
      <c r="AC131" s="3">
        <v>15000</v>
      </c>
      <c r="AD131" s="3">
        <v>10000</v>
      </c>
      <c r="AE131" s="3">
        <v>25010001</v>
      </c>
      <c r="AF131" s="8">
        <v>40</v>
      </c>
      <c r="AG131" s="8">
        <v>0</v>
      </c>
      <c r="AH131" s="8">
        <v>0</v>
      </c>
      <c r="AI131" s="8">
        <v>0</v>
      </c>
      <c r="AJ131" s="8">
        <v>0</v>
      </c>
    </row>
    <row r="132" ht="14.25" spans="1:36">
      <c r="A132" s="3">
        <v>52111</v>
      </c>
      <c r="B132" s="3">
        <v>30</v>
      </c>
      <c r="C132" s="3" t="s">
        <v>132</v>
      </c>
      <c r="D132" s="3"/>
      <c r="F132" s="3"/>
      <c r="G132" s="3">
        <v>12</v>
      </c>
      <c r="H132" s="3">
        <v>1</v>
      </c>
      <c r="I132" s="3" t="s">
        <v>81</v>
      </c>
      <c r="J132" s="3">
        <v>0</v>
      </c>
      <c r="K132" s="3" t="s">
        <v>133</v>
      </c>
      <c r="L132" s="3">
        <v>800011021</v>
      </c>
      <c r="M132" s="3">
        <v>1</v>
      </c>
      <c r="N132" s="3">
        <v>100</v>
      </c>
      <c r="O132" s="3">
        <v>0</v>
      </c>
      <c r="P132" s="3">
        <v>15</v>
      </c>
      <c r="Q132" s="3">
        <v>0</v>
      </c>
      <c r="R132" s="15">
        <v>36</v>
      </c>
      <c r="S132" s="3">
        <v>-5500</v>
      </c>
      <c r="T132" s="3">
        <v>1</v>
      </c>
      <c r="U132" s="3">
        <v>0</v>
      </c>
      <c r="V132" s="3" t="s">
        <v>110</v>
      </c>
      <c r="W132" s="3" t="s">
        <v>111</v>
      </c>
      <c r="X132" s="3" t="s">
        <v>124</v>
      </c>
      <c r="Y132" s="16">
        <v>211002001</v>
      </c>
      <c r="Z132" s="16">
        <v>0</v>
      </c>
      <c r="AA132" s="3">
        <v>1</v>
      </c>
      <c r="AB132" s="8" t="s">
        <v>83</v>
      </c>
      <c r="AC132" s="3">
        <v>15000</v>
      </c>
      <c r="AD132" s="3">
        <v>10000</v>
      </c>
      <c r="AE132" s="3">
        <v>25010001</v>
      </c>
      <c r="AF132" s="8">
        <v>40</v>
      </c>
      <c r="AG132" s="8">
        <v>0</v>
      </c>
      <c r="AH132" s="8">
        <v>0</v>
      </c>
      <c r="AI132" s="8">
        <v>0</v>
      </c>
      <c r="AJ132" s="8">
        <v>0</v>
      </c>
    </row>
    <row r="133" ht="14.25" spans="1:36">
      <c r="A133" s="3">
        <v>52112</v>
      </c>
      <c r="B133" s="3">
        <v>30</v>
      </c>
      <c r="C133" s="3" t="s">
        <v>134</v>
      </c>
      <c r="D133" s="3"/>
      <c r="F133" s="3"/>
      <c r="G133" s="3">
        <v>12</v>
      </c>
      <c r="H133" s="3">
        <v>1</v>
      </c>
      <c r="I133" s="3" t="s">
        <v>81</v>
      </c>
      <c r="J133" s="3">
        <v>0</v>
      </c>
      <c r="K133" s="3" t="s">
        <v>135</v>
      </c>
      <c r="L133" s="3">
        <v>800003011</v>
      </c>
      <c r="M133" s="3">
        <v>1</v>
      </c>
      <c r="N133" s="3">
        <v>100</v>
      </c>
      <c r="O133" s="3">
        <v>0</v>
      </c>
      <c r="P133" s="3">
        <v>15</v>
      </c>
      <c r="Q133" s="3">
        <v>0</v>
      </c>
      <c r="R133" s="15">
        <v>36</v>
      </c>
      <c r="S133" s="3">
        <v>-5500</v>
      </c>
      <c r="T133" s="3">
        <v>1</v>
      </c>
      <c r="U133" s="3">
        <v>0</v>
      </c>
      <c r="V133" s="3" t="s">
        <v>110</v>
      </c>
      <c r="W133" s="3" t="s">
        <v>111</v>
      </c>
      <c r="X133" s="3" t="s">
        <v>124</v>
      </c>
      <c r="Y133" s="16">
        <v>203001001</v>
      </c>
      <c r="Z133" s="16">
        <v>0</v>
      </c>
      <c r="AA133" s="3">
        <v>1</v>
      </c>
      <c r="AB133" s="8" t="s">
        <v>83</v>
      </c>
      <c r="AC133" s="3">
        <v>15000</v>
      </c>
      <c r="AD133" s="3">
        <v>10000</v>
      </c>
      <c r="AE133" s="3">
        <v>25010001</v>
      </c>
      <c r="AF133" s="8">
        <v>40</v>
      </c>
      <c r="AG133" s="8">
        <v>0</v>
      </c>
      <c r="AH133" s="8">
        <v>0</v>
      </c>
      <c r="AI133" s="8">
        <v>0</v>
      </c>
      <c r="AJ133" s="8">
        <v>0</v>
      </c>
    </row>
    <row r="134" ht="14.25" spans="1:36">
      <c r="A134" s="3">
        <v>52113</v>
      </c>
      <c r="B134" s="3">
        <v>30</v>
      </c>
      <c r="C134" s="3" t="s">
        <v>136</v>
      </c>
      <c r="D134" s="3"/>
      <c r="F134" s="3"/>
      <c r="G134" s="3">
        <v>12</v>
      </c>
      <c r="H134" s="3">
        <v>1</v>
      </c>
      <c r="I134" s="3" t="s">
        <v>81</v>
      </c>
      <c r="J134" s="3">
        <v>0</v>
      </c>
      <c r="K134" s="3" t="s">
        <v>137</v>
      </c>
      <c r="L134" s="3">
        <v>800003021</v>
      </c>
      <c r="M134" s="3">
        <v>1</v>
      </c>
      <c r="N134" s="3">
        <v>500</v>
      </c>
      <c r="O134" s="3">
        <v>0</v>
      </c>
      <c r="P134" s="3">
        <v>42</v>
      </c>
      <c r="Q134" s="3">
        <v>3</v>
      </c>
      <c r="R134" s="15">
        <v>1496</v>
      </c>
      <c r="S134" s="3">
        <v>-5500</v>
      </c>
      <c r="T134" s="3">
        <v>1</v>
      </c>
      <c r="U134" s="3">
        <v>30000</v>
      </c>
      <c r="V134" s="3" t="s">
        <v>110</v>
      </c>
      <c r="W134" s="3" t="s">
        <v>111</v>
      </c>
      <c r="X134" s="3" t="s">
        <v>138</v>
      </c>
      <c r="Y134" s="16">
        <v>203002011</v>
      </c>
      <c r="Z134" s="16">
        <v>0</v>
      </c>
      <c r="AA134" s="3">
        <v>1</v>
      </c>
      <c r="AB134" s="8" t="s">
        <v>139</v>
      </c>
      <c r="AC134" s="3">
        <v>15000</v>
      </c>
      <c r="AD134" s="3">
        <v>10000</v>
      </c>
      <c r="AE134" s="3">
        <v>25010001</v>
      </c>
      <c r="AF134" s="8">
        <v>40</v>
      </c>
      <c r="AG134" s="8">
        <v>1000</v>
      </c>
      <c r="AH134" s="8">
        <v>5000</v>
      </c>
      <c r="AI134" s="8">
        <v>40</v>
      </c>
      <c r="AJ134" s="8">
        <v>0</v>
      </c>
    </row>
    <row r="135" ht="14.25" spans="1:36">
      <c r="A135" s="3">
        <v>52114</v>
      </c>
      <c r="B135" s="3">
        <v>30</v>
      </c>
      <c r="C135" s="3" t="s">
        <v>140</v>
      </c>
      <c r="D135" s="3"/>
      <c r="F135" s="3"/>
      <c r="G135" s="3">
        <v>12</v>
      </c>
      <c r="H135" s="3">
        <v>1</v>
      </c>
      <c r="I135" s="3" t="s">
        <v>81</v>
      </c>
      <c r="J135" s="3">
        <v>0</v>
      </c>
      <c r="K135" s="3" t="s">
        <v>141</v>
      </c>
      <c r="L135" s="3">
        <v>800003031</v>
      </c>
      <c r="M135" s="3">
        <v>1</v>
      </c>
      <c r="N135" s="3">
        <v>100</v>
      </c>
      <c r="O135" s="3">
        <v>0</v>
      </c>
      <c r="P135" s="3">
        <v>15</v>
      </c>
      <c r="Q135" s="3">
        <v>0</v>
      </c>
      <c r="R135" s="15">
        <v>36</v>
      </c>
      <c r="S135" s="3">
        <v>-5500</v>
      </c>
      <c r="T135" s="3">
        <v>1</v>
      </c>
      <c r="U135" s="3">
        <v>0</v>
      </c>
      <c r="V135" s="3" t="s">
        <v>110</v>
      </c>
      <c r="W135" s="3" t="s">
        <v>111</v>
      </c>
      <c r="X135" s="3" t="s">
        <v>124</v>
      </c>
      <c r="Y135" s="16">
        <v>203003001</v>
      </c>
      <c r="Z135" s="16">
        <v>0</v>
      </c>
      <c r="AA135" s="3">
        <v>1</v>
      </c>
      <c r="AB135" s="8" t="s">
        <v>83</v>
      </c>
      <c r="AC135" s="3">
        <v>15000</v>
      </c>
      <c r="AD135" s="3">
        <v>10000</v>
      </c>
      <c r="AE135" s="3">
        <v>0</v>
      </c>
      <c r="AF135" s="8">
        <v>40</v>
      </c>
      <c r="AG135" s="8">
        <v>0</v>
      </c>
      <c r="AH135" s="8">
        <v>0</v>
      </c>
      <c r="AI135" s="8">
        <v>0</v>
      </c>
      <c r="AJ135" s="8">
        <v>0</v>
      </c>
    </row>
    <row r="136" spans="1:36">
      <c r="A136" s="3">
        <v>52115</v>
      </c>
      <c r="B136" s="2">
        <v>30</v>
      </c>
      <c r="C136" s="2" t="s">
        <v>142</v>
      </c>
      <c r="D136" s="2"/>
      <c r="E136" s="12"/>
      <c r="F136" s="2"/>
      <c r="G136" s="2">
        <v>12</v>
      </c>
      <c r="H136" s="2">
        <v>1</v>
      </c>
      <c r="I136" s="2" t="s">
        <v>81</v>
      </c>
      <c r="J136" s="2">
        <v>0</v>
      </c>
      <c r="K136" s="2"/>
      <c r="L136" s="2">
        <v>1000011</v>
      </c>
      <c r="M136" s="2">
        <v>1</v>
      </c>
      <c r="N136" s="2">
        <v>100</v>
      </c>
      <c r="O136" s="2">
        <v>0</v>
      </c>
      <c r="P136" s="2">
        <v>15</v>
      </c>
      <c r="Q136" s="2">
        <v>0</v>
      </c>
      <c r="R136" s="2">
        <v>36</v>
      </c>
      <c r="S136" s="2">
        <v>-5500</v>
      </c>
      <c r="T136" s="2">
        <v>1</v>
      </c>
      <c r="U136" s="2">
        <v>0</v>
      </c>
      <c r="V136" s="2" t="s">
        <v>110</v>
      </c>
      <c r="W136" s="2" t="s">
        <v>111</v>
      </c>
      <c r="X136" s="2" t="s">
        <v>124</v>
      </c>
      <c r="Y136" s="17">
        <v>201002011</v>
      </c>
      <c r="Z136" s="17">
        <v>0</v>
      </c>
      <c r="AA136" s="2">
        <v>1</v>
      </c>
      <c r="AB136" s="12" t="s">
        <v>83</v>
      </c>
      <c r="AC136" s="2">
        <v>15000</v>
      </c>
      <c r="AD136" s="2">
        <v>10000</v>
      </c>
      <c r="AE136" s="2">
        <v>0</v>
      </c>
      <c r="AF136" s="8">
        <v>40</v>
      </c>
      <c r="AG136" s="8">
        <v>0</v>
      </c>
      <c r="AH136" s="8">
        <v>0</v>
      </c>
      <c r="AI136" s="8">
        <v>0</v>
      </c>
      <c r="AJ136" s="8">
        <v>0</v>
      </c>
    </row>
    <row r="137" spans="1:36">
      <c r="A137" s="3">
        <v>61101</v>
      </c>
      <c r="B137" s="3">
        <v>30</v>
      </c>
      <c r="C137" s="3" t="s">
        <v>108</v>
      </c>
      <c r="D137" s="3"/>
      <c r="F137" s="3"/>
      <c r="G137" s="3">
        <v>12</v>
      </c>
      <c r="H137" s="3">
        <v>1</v>
      </c>
      <c r="I137" s="3" t="s">
        <v>81</v>
      </c>
      <c r="J137" s="3">
        <v>0</v>
      </c>
      <c r="K137" s="3" t="s">
        <v>109</v>
      </c>
      <c r="L137" s="3">
        <v>800001011</v>
      </c>
      <c r="M137" s="3">
        <v>1</v>
      </c>
      <c r="N137" s="3">
        <v>70</v>
      </c>
      <c r="O137" s="3">
        <v>0</v>
      </c>
      <c r="P137" s="3">
        <v>15</v>
      </c>
      <c r="Q137" s="3">
        <v>0</v>
      </c>
      <c r="R137" s="3">
        <v>20</v>
      </c>
      <c r="S137" s="3">
        <v>-5500</v>
      </c>
      <c r="T137" s="3">
        <v>1</v>
      </c>
      <c r="U137" s="3">
        <v>0</v>
      </c>
      <c r="V137" s="3" t="s">
        <v>110</v>
      </c>
      <c r="W137" s="3" t="s">
        <v>111</v>
      </c>
      <c r="X137" s="3" t="s">
        <v>112</v>
      </c>
      <c r="Y137" s="16">
        <v>201001011</v>
      </c>
      <c r="Z137" s="16">
        <v>0</v>
      </c>
      <c r="AA137" s="3">
        <v>1</v>
      </c>
      <c r="AB137" s="8" t="s">
        <v>113</v>
      </c>
      <c r="AC137" s="3">
        <v>15000</v>
      </c>
      <c r="AD137" s="3">
        <v>10000</v>
      </c>
      <c r="AE137" s="3">
        <v>25010001</v>
      </c>
      <c r="AF137" s="8">
        <v>40</v>
      </c>
      <c r="AG137" s="8">
        <v>10000</v>
      </c>
      <c r="AH137" s="8">
        <v>10000</v>
      </c>
      <c r="AI137" s="8">
        <v>50</v>
      </c>
      <c r="AJ137" s="8">
        <v>0</v>
      </c>
    </row>
    <row r="138" spans="1:36">
      <c r="A138" s="3">
        <v>61102</v>
      </c>
      <c r="B138" s="3">
        <v>30</v>
      </c>
      <c r="C138" s="3" t="s">
        <v>114</v>
      </c>
      <c r="D138" s="3"/>
      <c r="F138" s="3"/>
      <c r="G138" s="3">
        <v>12</v>
      </c>
      <c r="H138" s="3">
        <v>1</v>
      </c>
      <c r="I138" s="3" t="s">
        <v>81</v>
      </c>
      <c r="J138" s="3">
        <v>0</v>
      </c>
      <c r="K138" s="3" t="s">
        <v>115</v>
      </c>
      <c r="L138" s="3">
        <v>800001021</v>
      </c>
      <c r="M138" s="3">
        <v>1</v>
      </c>
      <c r="N138" s="3">
        <v>200</v>
      </c>
      <c r="O138" s="3">
        <v>0</v>
      </c>
      <c r="P138" s="3">
        <v>30</v>
      </c>
      <c r="Q138" s="3">
        <v>2</v>
      </c>
      <c r="R138" s="3">
        <v>105</v>
      </c>
      <c r="S138" s="3">
        <v>-5500</v>
      </c>
      <c r="T138" s="3">
        <v>1</v>
      </c>
      <c r="U138" s="3">
        <v>0</v>
      </c>
      <c r="V138" s="3" t="s">
        <v>110</v>
      </c>
      <c r="W138" s="3" t="s">
        <v>111</v>
      </c>
      <c r="X138" s="3" t="s">
        <v>112</v>
      </c>
      <c r="Y138" s="16">
        <v>201002011</v>
      </c>
      <c r="Z138" s="16">
        <v>0</v>
      </c>
      <c r="AA138" s="3">
        <v>1</v>
      </c>
      <c r="AB138" s="8" t="s">
        <v>116</v>
      </c>
      <c r="AC138" s="3">
        <v>15000</v>
      </c>
      <c r="AD138" s="3">
        <v>10000</v>
      </c>
      <c r="AE138" s="3">
        <v>25010001</v>
      </c>
      <c r="AF138" s="8">
        <v>40</v>
      </c>
      <c r="AG138" s="8">
        <v>3000</v>
      </c>
      <c r="AH138" s="8">
        <v>10000</v>
      </c>
      <c r="AI138" s="8">
        <v>15</v>
      </c>
      <c r="AJ138" s="8">
        <v>0</v>
      </c>
    </row>
    <row r="139" spans="1:36">
      <c r="A139" s="3">
        <v>61103</v>
      </c>
      <c r="B139" s="2">
        <v>30</v>
      </c>
      <c r="C139" s="2" t="s">
        <v>117</v>
      </c>
      <c r="D139" s="2"/>
      <c r="E139" s="12"/>
      <c r="F139" s="2"/>
      <c r="G139" s="2">
        <v>12</v>
      </c>
      <c r="H139" s="2">
        <v>1</v>
      </c>
      <c r="I139" s="2" t="s">
        <v>81</v>
      </c>
      <c r="J139" s="2">
        <v>0</v>
      </c>
      <c r="K139" s="2"/>
      <c r="L139" s="2">
        <v>800001021</v>
      </c>
      <c r="M139" s="2">
        <v>1</v>
      </c>
      <c r="N139" s="2">
        <v>70</v>
      </c>
      <c r="O139" s="2">
        <v>0</v>
      </c>
      <c r="P139" s="2">
        <v>15</v>
      </c>
      <c r="Q139" s="2">
        <v>1</v>
      </c>
      <c r="R139" s="2">
        <v>300</v>
      </c>
      <c r="S139" s="2">
        <v>-5500</v>
      </c>
      <c r="T139" s="2">
        <v>1</v>
      </c>
      <c r="U139" s="2">
        <v>250</v>
      </c>
      <c r="V139" s="2" t="s">
        <v>110</v>
      </c>
      <c r="W139" s="2" t="s">
        <v>111</v>
      </c>
      <c r="X139" s="2" t="s">
        <v>112</v>
      </c>
      <c r="Y139" s="17">
        <v>201001011</v>
      </c>
      <c r="Z139" s="17">
        <v>0</v>
      </c>
      <c r="AA139" s="2">
        <v>1</v>
      </c>
      <c r="AB139" s="12" t="s">
        <v>113</v>
      </c>
      <c r="AC139" s="2">
        <v>15000</v>
      </c>
      <c r="AD139" s="2">
        <v>10000</v>
      </c>
      <c r="AE139" s="2">
        <v>25010001</v>
      </c>
      <c r="AF139" s="8">
        <v>40</v>
      </c>
      <c r="AG139" s="8">
        <v>0</v>
      </c>
      <c r="AH139" s="8">
        <v>0</v>
      </c>
      <c r="AI139" s="8">
        <v>0</v>
      </c>
      <c r="AJ139" s="8">
        <v>0</v>
      </c>
    </row>
    <row r="140" spans="1:36">
      <c r="A140" s="3">
        <v>61104</v>
      </c>
      <c r="B140" s="3">
        <v>30</v>
      </c>
      <c r="C140" s="3" t="s">
        <v>118</v>
      </c>
      <c r="D140" s="3"/>
      <c r="F140" s="3"/>
      <c r="G140" s="3">
        <v>12</v>
      </c>
      <c r="H140" s="3">
        <v>1</v>
      </c>
      <c r="I140" s="3" t="s">
        <v>81</v>
      </c>
      <c r="J140" s="3">
        <v>0</v>
      </c>
      <c r="K140" s="3" t="s">
        <v>119</v>
      </c>
      <c r="L140" s="3">
        <v>800001041</v>
      </c>
      <c r="M140" s="3">
        <v>1</v>
      </c>
      <c r="N140" s="3">
        <v>70</v>
      </c>
      <c r="O140" s="3">
        <v>0</v>
      </c>
      <c r="P140" s="3">
        <v>24</v>
      </c>
      <c r="Q140" s="3">
        <v>0</v>
      </c>
      <c r="R140" s="3">
        <v>17</v>
      </c>
      <c r="S140" s="3">
        <v>-5500</v>
      </c>
      <c r="T140" s="3">
        <v>1</v>
      </c>
      <c r="U140" s="3">
        <v>0</v>
      </c>
      <c r="V140" s="3" t="s">
        <v>110</v>
      </c>
      <c r="W140" s="3" t="s">
        <v>111</v>
      </c>
      <c r="X140" s="3" t="s">
        <v>112</v>
      </c>
      <c r="Y140" s="16">
        <v>201004011</v>
      </c>
      <c r="Z140" s="16">
        <v>0</v>
      </c>
      <c r="AA140" s="3">
        <v>1</v>
      </c>
      <c r="AB140" s="8" t="s">
        <v>113</v>
      </c>
      <c r="AC140" s="3">
        <v>15000</v>
      </c>
      <c r="AD140" s="3">
        <v>10000</v>
      </c>
      <c r="AE140" s="3">
        <v>25010001</v>
      </c>
      <c r="AF140" s="8">
        <v>40</v>
      </c>
      <c r="AG140" s="8">
        <v>10000</v>
      </c>
      <c r="AH140" s="8">
        <v>10000</v>
      </c>
      <c r="AI140" s="8">
        <v>80</v>
      </c>
      <c r="AJ140" s="8">
        <v>10</v>
      </c>
    </row>
    <row r="141" spans="1:36">
      <c r="A141" s="3">
        <v>61105</v>
      </c>
      <c r="B141" s="3">
        <v>30</v>
      </c>
      <c r="C141" s="3" t="s">
        <v>120</v>
      </c>
      <c r="D141" s="3"/>
      <c r="F141" s="3"/>
      <c r="G141" s="3">
        <v>12</v>
      </c>
      <c r="H141" s="3">
        <v>1</v>
      </c>
      <c r="I141" s="3" t="s">
        <v>81</v>
      </c>
      <c r="J141" s="3">
        <v>0</v>
      </c>
      <c r="K141" s="3" t="s">
        <v>121</v>
      </c>
      <c r="L141" s="3">
        <v>800014011</v>
      </c>
      <c r="M141" s="3">
        <v>1</v>
      </c>
      <c r="N141" s="3">
        <v>125</v>
      </c>
      <c r="O141" s="3">
        <v>0</v>
      </c>
      <c r="P141" s="3">
        <v>19</v>
      </c>
      <c r="Q141" s="3">
        <v>1</v>
      </c>
      <c r="R141" s="3">
        <v>43</v>
      </c>
      <c r="S141" s="3">
        <v>-5500</v>
      </c>
      <c r="T141" s="3">
        <v>1</v>
      </c>
      <c r="U141" s="3">
        <v>0</v>
      </c>
      <c r="V141" s="3" t="s">
        <v>110</v>
      </c>
      <c r="W141" s="3" t="s">
        <v>111</v>
      </c>
      <c r="X141" s="3" t="s">
        <v>112</v>
      </c>
      <c r="Y141" s="16">
        <v>214001011</v>
      </c>
      <c r="Z141" s="16">
        <v>0</v>
      </c>
      <c r="AA141" s="3">
        <v>1</v>
      </c>
      <c r="AB141" s="8" t="s">
        <v>122</v>
      </c>
      <c r="AC141" s="3">
        <v>15000</v>
      </c>
      <c r="AD141" s="3">
        <v>10000</v>
      </c>
      <c r="AE141" s="3">
        <v>25010001</v>
      </c>
      <c r="AF141" s="8">
        <v>40</v>
      </c>
      <c r="AG141" s="8">
        <v>10000</v>
      </c>
      <c r="AH141" s="8">
        <v>10000</v>
      </c>
      <c r="AI141" s="8">
        <v>40</v>
      </c>
      <c r="AJ141" s="8">
        <v>0</v>
      </c>
    </row>
    <row r="142" spans="1:36">
      <c r="A142" s="3">
        <v>61106</v>
      </c>
      <c r="B142" s="2">
        <v>30</v>
      </c>
      <c r="C142" s="2" t="s">
        <v>123</v>
      </c>
      <c r="D142" s="2"/>
      <c r="E142" s="12"/>
      <c r="F142" s="2"/>
      <c r="G142" s="2">
        <v>12</v>
      </c>
      <c r="H142" s="2">
        <v>1</v>
      </c>
      <c r="I142" s="2" t="s">
        <v>81</v>
      </c>
      <c r="J142" s="2">
        <v>0</v>
      </c>
      <c r="K142" s="2"/>
      <c r="L142" s="2">
        <v>1000010</v>
      </c>
      <c r="M142" s="2">
        <v>1</v>
      </c>
      <c r="N142" s="2">
        <v>100</v>
      </c>
      <c r="O142" s="2">
        <v>0</v>
      </c>
      <c r="P142" s="2">
        <v>15</v>
      </c>
      <c r="Q142" s="2">
        <v>0</v>
      </c>
      <c r="R142" s="2">
        <v>36</v>
      </c>
      <c r="S142" s="2">
        <v>-5500</v>
      </c>
      <c r="T142" s="2">
        <v>1</v>
      </c>
      <c r="U142" s="2">
        <v>0</v>
      </c>
      <c r="V142" s="2" t="s">
        <v>110</v>
      </c>
      <c r="W142" s="2" t="s">
        <v>111</v>
      </c>
      <c r="X142" s="2" t="s">
        <v>124</v>
      </c>
      <c r="Y142" s="2">
        <v>201002011</v>
      </c>
      <c r="Z142" s="17">
        <v>0</v>
      </c>
      <c r="AA142" s="2">
        <v>1</v>
      </c>
      <c r="AB142" s="12" t="s">
        <v>83</v>
      </c>
      <c r="AC142" s="2">
        <v>15000</v>
      </c>
      <c r="AD142" s="2">
        <v>10000</v>
      </c>
      <c r="AE142" s="2">
        <v>25010001</v>
      </c>
      <c r="AF142" s="8">
        <v>40</v>
      </c>
      <c r="AG142" s="8">
        <v>0</v>
      </c>
      <c r="AH142" s="8">
        <v>0</v>
      </c>
      <c r="AI142" s="8">
        <v>0</v>
      </c>
      <c r="AJ142" s="8">
        <v>0</v>
      </c>
    </row>
    <row r="143" spans="1:36">
      <c r="A143" s="3">
        <v>61107</v>
      </c>
      <c r="B143" s="2">
        <v>30</v>
      </c>
      <c r="C143" s="2" t="s">
        <v>125</v>
      </c>
      <c r="D143" s="2"/>
      <c r="E143" s="12"/>
      <c r="F143" s="2"/>
      <c r="G143" s="2">
        <v>12</v>
      </c>
      <c r="H143" s="2">
        <v>1</v>
      </c>
      <c r="I143" s="2" t="s">
        <v>81</v>
      </c>
      <c r="J143" s="2">
        <v>0</v>
      </c>
      <c r="K143" s="2" t="s">
        <v>121</v>
      </c>
      <c r="L143" s="2">
        <v>800014011</v>
      </c>
      <c r="M143" s="2">
        <v>1</v>
      </c>
      <c r="N143" s="2">
        <v>100</v>
      </c>
      <c r="O143" s="2">
        <v>0</v>
      </c>
      <c r="P143" s="2">
        <v>15</v>
      </c>
      <c r="Q143" s="2">
        <v>0</v>
      </c>
      <c r="R143" s="2">
        <v>36</v>
      </c>
      <c r="S143" s="2">
        <v>-5500</v>
      </c>
      <c r="T143" s="2">
        <v>1</v>
      </c>
      <c r="U143" s="2">
        <v>0</v>
      </c>
      <c r="V143" s="2" t="s">
        <v>110</v>
      </c>
      <c r="W143" s="2" t="s">
        <v>111</v>
      </c>
      <c r="X143" s="2" t="s">
        <v>124</v>
      </c>
      <c r="Y143" s="2">
        <v>214001011</v>
      </c>
      <c r="Z143" s="17">
        <v>0</v>
      </c>
      <c r="AA143" s="2">
        <v>1</v>
      </c>
      <c r="AB143" s="12" t="s">
        <v>83</v>
      </c>
      <c r="AC143" s="2">
        <v>15000</v>
      </c>
      <c r="AD143" s="2">
        <v>10000</v>
      </c>
      <c r="AE143" s="2">
        <v>25010001</v>
      </c>
      <c r="AF143" s="8">
        <v>40</v>
      </c>
      <c r="AG143" s="8">
        <v>0</v>
      </c>
      <c r="AH143" s="8">
        <v>0</v>
      </c>
      <c r="AI143" s="8">
        <v>0</v>
      </c>
      <c r="AJ143" s="8">
        <v>0</v>
      </c>
    </row>
    <row r="144" ht="14.25" spans="1:36">
      <c r="A144" s="3">
        <v>61108</v>
      </c>
      <c r="B144" s="3">
        <v>30</v>
      </c>
      <c r="C144" s="3" t="s">
        <v>126</v>
      </c>
      <c r="D144" s="3"/>
      <c r="F144" s="3"/>
      <c r="G144" s="3">
        <v>12</v>
      </c>
      <c r="H144" s="3">
        <v>1</v>
      </c>
      <c r="I144" s="3" t="s">
        <v>81</v>
      </c>
      <c r="J144" s="3">
        <v>0</v>
      </c>
      <c r="K144" s="3" t="s">
        <v>127</v>
      </c>
      <c r="L144" s="3">
        <v>800004011</v>
      </c>
      <c r="M144" s="3">
        <v>1</v>
      </c>
      <c r="N144" s="3">
        <v>100</v>
      </c>
      <c r="O144" s="3">
        <v>0</v>
      </c>
      <c r="P144" s="3">
        <v>15</v>
      </c>
      <c r="Q144" s="3">
        <v>0</v>
      </c>
      <c r="R144" s="15">
        <v>36</v>
      </c>
      <c r="S144" s="3">
        <v>-5500</v>
      </c>
      <c r="T144" s="3">
        <v>1</v>
      </c>
      <c r="U144" s="3">
        <v>0</v>
      </c>
      <c r="V144" s="3" t="s">
        <v>110</v>
      </c>
      <c r="W144" s="3" t="s">
        <v>111</v>
      </c>
      <c r="X144" s="3" t="s">
        <v>124</v>
      </c>
      <c r="Y144" s="16">
        <v>204001001</v>
      </c>
      <c r="Z144" s="16">
        <v>0</v>
      </c>
      <c r="AA144" s="3">
        <v>1</v>
      </c>
      <c r="AB144" s="8" t="s">
        <v>83</v>
      </c>
      <c r="AC144" s="3">
        <v>15000</v>
      </c>
      <c r="AD144" s="3">
        <v>10000</v>
      </c>
      <c r="AE144" s="3">
        <v>25010001</v>
      </c>
      <c r="AF144" s="8">
        <v>40</v>
      </c>
      <c r="AG144" s="8">
        <v>0</v>
      </c>
      <c r="AH144" s="8">
        <v>0</v>
      </c>
      <c r="AI144" s="8">
        <v>0</v>
      </c>
      <c r="AJ144" s="8">
        <v>0</v>
      </c>
    </row>
    <row r="145" ht="14.25" spans="1:36">
      <c r="A145" s="3">
        <v>61109</v>
      </c>
      <c r="B145" s="3">
        <v>30</v>
      </c>
      <c r="C145" s="3" t="s">
        <v>128</v>
      </c>
      <c r="D145" s="3"/>
      <c r="F145" s="3"/>
      <c r="G145" s="3">
        <v>12</v>
      </c>
      <c r="H145" s="3">
        <v>1</v>
      </c>
      <c r="I145" s="3" t="s">
        <v>81</v>
      </c>
      <c r="J145" s="3">
        <v>0</v>
      </c>
      <c r="K145" s="3" t="s">
        <v>129</v>
      </c>
      <c r="L145" s="3">
        <v>800004021</v>
      </c>
      <c r="M145" s="3">
        <v>1</v>
      </c>
      <c r="N145" s="3">
        <v>100</v>
      </c>
      <c r="O145" s="3">
        <v>0</v>
      </c>
      <c r="P145" s="3">
        <v>15</v>
      </c>
      <c r="Q145" s="3">
        <v>0</v>
      </c>
      <c r="R145" s="15">
        <v>36</v>
      </c>
      <c r="S145" s="3">
        <v>-5500</v>
      </c>
      <c r="T145" s="3">
        <v>1</v>
      </c>
      <c r="U145" s="3">
        <v>0</v>
      </c>
      <c r="V145" s="3" t="s">
        <v>110</v>
      </c>
      <c r="W145" s="3" t="s">
        <v>111</v>
      </c>
      <c r="X145" s="3" t="s">
        <v>124</v>
      </c>
      <c r="Y145" s="16">
        <v>204002001</v>
      </c>
      <c r="Z145" s="16">
        <v>0</v>
      </c>
      <c r="AA145" s="3">
        <v>1</v>
      </c>
      <c r="AB145" s="8" t="s">
        <v>83</v>
      </c>
      <c r="AC145" s="3">
        <v>15000</v>
      </c>
      <c r="AD145" s="3">
        <v>10000</v>
      </c>
      <c r="AE145" s="3">
        <v>25010001</v>
      </c>
      <c r="AF145" s="8">
        <v>40</v>
      </c>
      <c r="AG145" s="8">
        <v>0</v>
      </c>
      <c r="AH145" s="8">
        <v>0</v>
      </c>
      <c r="AI145" s="8">
        <v>0</v>
      </c>
      <c r="AJ145" s="8">
        <v>0</v>
      </c>
    </row>
    <row r="146" ht="14.25" spans="1:36">
      <c r="A146" s="3">
        <v>61110</v>
      </c>
      <c r="B146" s="3">
        <v>30</v>
      </c>
      <c r="C146" s="3" t="s">
        <v>130</v>
      </c>
      <c r="D146" s="3"/>
      <c r="F146" s="3"/>
      <c r="G146" s="3">
        <v>12</v>
      </c>
      <c r="H146" s="3">
        <v>1</v>
      </c>
      <c r="I146" s="3" t="s">
        <v>81</v>
      </c>
      <c r="J146" s="3">
        <v>0</v>
      </c>
      <c r="K146" s="3" t="s">
        <v>131</v>
      </c>
      <c r="L146" s="3">
        <v>800011011</v>
      </c>
      <c r="M146" s="3">
        <v>1</v>
      </c>
      <c r="N146" s="3">
        <v>100</v>
      </c>
      <c r="O146" s="3">
        <v>0</v>
      </c>
      <c r="P146" s="3">
        <v>15</v>
      </c>
      <c r="Q146" s="3">
        <v>0</v>
      </c>
      <c r="R146" s="15">
        <v>36</v>
      </c>
      <c r="S146" s="3">
        <v>-5500</v>
      </c>
      <c r="T146" s="3">
        <v>1</v>
      </c>
      <c r="U146" s="3">
        <v>0</v>
      </c>
      <c r="V146" s="3" t="s">
        <v>110</v>
      </c>
      <c r="W146" s="3" t="s">
        <v>111</v>
      </c>
      <c r="X146" s="3" t="s">
        <v>124</v>
      </c>
      <c r="Y146" s="16">
        <v>211001001</v>
      </c>
      <c r="Z146" s="16">
        <v>0</v>
      </c>
      <c r="AA146" s="3">
        <v>1</v>
      </c>
      <c r="AB146" s="8" t="s">
        <v>83</v>
      </c>
      <c r="AC146" s="3">
        <v>15000</v>
      </c>
      <c r="AD146" s="3">
        <v>10000</v>
      </c>
      <c r="AE146" s="3">
        <v>25010001</v>
      </c>
      <c r="AF146" s="8">
        <v>40</v>
      </c>
      <c r="AG146" s="8">
        <v>0</v>
      </c>
      <c r="AH146" s="8">
        <v>0</v>
      </c>
      <c r="AI146" s="8">
        <v>0</v>
      </c>
      <c r="AJ146" s="8">
        <v>0</v>
      </c>
    </row>
    <row r="147" ht="14.25" spans="1:36">
      <c r="A147" s="3">
        <v>61111</v>
      </c>
      <c r="B147" s="3">
        <v>30</v>
      </c>
      <c r="C147" s="3" t="s">
        <v>132</v>
      </c>
      <c r="D147" s="3"/>
      <c r="F147" s="3"/>
      <c r="G147" s="3">
        <v>12</v>
      </c>
      <c r="H147" s="3">
        <v>1</v>
      </c>
      <c r="I147" s="3" t="s">
        <v>81</v>
      </c>
      <c r="J147" s="3">
        <v>0</v>
      </c>
      <c r="K147" s="3" t="s">
        <v>133</v>
      </c>
      <c r="L147" s="3">
        <v>800011021</v>
      </c>
      <c r="M147" s="3">
        <v>1</v>
      </c>
      <c r="N147" s="3">
        <v>100</v>
      </c>
      <c r="O147" s="3">
        <v>0</v>
      </c>
      <c r="P147" s="3">
        <v>15</v>
      </c>
      <c r="Q147" s="3">
        <v>0</v>
      </c>
      <c r="R147" s="15">
        <v>36</v>
      </c>
      <c r="S147" s="3">
        <v>-5500</v>
      </c>
      <c r="T147" s="3">
        <v>1</v>
      </c>
      <c r="U147" s="3">
        <v>0</v>
      </c>
      <c r="V147" s="3" t="s">
        <v>110</v>
      </c>
      <c r="W147" s="3" t="s">
        <v>111</v>
      </c>
      <c r="X147" s="3" t="s">
        <v>124</v>
      </c>
      <c r="Y147" s="16">
        <v>211002001</v>
      </c>
      <c r="Z147" s="16">
        <v>0</v>
      </c>
      <c r="AA147" s="3">
        <v>1</v>
      </c>
      <c r="AB147" s="8" t="s">
        <v>83</v>
      </c>
      <c r="AC147" s="3">
        <v>15000</v>
      </c>
      <c r="AD147" s="3">
        <v>10000</v>
      </c>
      <c r="AE147" s="3">
        <v>25010001</v>
      </c>
      <c r="AF147" s="8">
        <v>40</v>
      </c>
      <c r="AG147" s="8">
        <v>0</v>
      </c>
      <c r="AH147" s="8">
        <v>0</v>
      </c>
      <c r="AI147" s="8">
        <v>0</v>
      </c>
      <c r="AJ147" s="8">
        <v>0</v>
      </c>
    </row>
    <row r="148" ht="14.25" spans="1:36">
      <c r="A148" s="3">
        <v>61112</v>
      </c>
      <c r="B148" s="3">
        <v>30</v>
      </c>
      <c r="C148" s="3" t="s">
        <v>134</v>
      </c>
      <c r="D148" s="3"/>
      <c r="F148" s="3"/>
      <c r="G148" s="3">
        <v>12</v>
      </c>
      <c r="H148" s="3">
        <v>1</v>
      </c>
      <c r="I148" s="3" t="s">
        <v>81</v>
      </c>
      <c r="J148" s="3">
        <v>0</v>
      </c>
      <c r="K148" s="3" t="s">
        <v>135</v>
      </c>
      <c r="L148" s="3">
        <v>800003011</v>
      </c>
      <c r="M148" s="3">
        <v>1</v>
      </c>
      <c r="N148" s="3">
        <v>100</v>
      </c>
      <c r="O148" s="3">
        <v>0</v>
      </c>
      <c r="P148" s="3">
        <v>15</v>
      </c>
      <c r="Q148" s="3">
        <v>0</v>
      </c>
      <c r="R148" s="15">
        <v>36</v>
      </c>
      <c r="S148" s="3">
        <v>-5500</v>
      </c>
      <c r="T148" s="3">
        <v>1</v>
      </c>
      <c r="U148" s="3">
        <v>0</v>
      </c>
      <c r="V148" s="3" t="s">
        <v>110</v>
      </c>
      <c r="W148" s="3" t="s">
        <v>111</v>
      </c>
      <c r="X148" s="3" t="s">
        <v>124</v>
      </c>
      <c r="Y148" s="16">
        <v>203001001</v>
      </c>
      <c r="Z148" s="16">
        <v>0</v>
      </c>
      <c r="AA148" s="3">
        <v>1</v>
      </c>
      <c r="AB148" s="8" t="s">
        <v>83</v>
      </c>
      <c r="AC148" s="3">
        <v>15000</v>
      </c>
      <c r="AD148" s="3">
        <v>10000</v>
      </c>
      <c r="AE148" s="3">
        <v>25010001</v>
      </c>
      <c r="AF148" s="8">
        <v>40</v>
      </c>
      <c r="AG148" s="8">
        <v>0</v>
      </c>
      <c r="AH148" s="8">
        <v>0</v>
      </c>
      <c r="AI148" s="8">
        <v>0</v>
      </c>
      <c r="AJ148" s="8">
        <v>0</v>
      </c>
    </row>
    <row r="149" ht="14.25" spans="1:36">
      <c r="A149" s="3">
        <v>61113</v>
      </c>
      <c r="B149" s="3">
        <v>30</v>
      </c>
      <c r="C149" s="3" t="s">
        <v>136</v>
      </c>
      <c r="D149" s="3"/>
      <c r="F149" s="3"/>
      <c r="G149" s="3">
        <v>12</v>
      </c>
      <c r="H149" s="3">
        <v>1</v>
      </c>
      <c r="I149" s="3" t="s">
        <v>81</v>
      </c>
      <c r="J149" s="3">
        <v>0</v>
      </c>
      <c r="K149" s="3" t="s">
        <v>137</v>
      </c>
      <c r="L149" s="3">
        <v>800003021</v>
      </c>
      <c r="M149" s="3">
        <v>1</v>
      </c>
      <c r="N149" s="3">
        <v>500</v>
      </c>
      <c r="O149" s="3">
        <v>0</v>
      </c>
      <c r="P149" s="3">
        <v>42</v>
      </c>
      <c r="Q149" s="3">
        <v>3</v>
      </c>
      <c r="R149" s="15">
        <v>1496</v>
      </c>
      <c r="S149" s="3">
        <v>-5500</v>
      </c>
      <c r="T149" s="3">
        <v>1</v>
      </c>
      <c r="U149" s="3">
        <v>30000</v>
      </c>
      <c r="V149" s="3" t="s">
        <v>110</v>
      </c>
      <c r="W149" s="3" t="s">
        <v>111</v>
      </c>
      <c r="X149" s="3" t="s">
        <v>138</v>
      </c>
      <c r="Y149" s="16">
        <v>203002011</v>
      </c>
      <c r="Z149" s="16">
        <v>0</v>
      </c>
      <c r="AA149" s="3">
        <v>1</v>
      </c>
      <c r="AB149" s="8" t="s">
        <v>139</v>
      </c>
      <c r="AC149" s="3">
        <v>15000</v>
      </c>
      <c r="AD149" s="3">
        <v>10000</v>
      </c>
      <c r="AE149" s="3">
        <v>25010001</v>
      </c>
      <c r="AF149" s="8">
        <v>40</v>
      </c>
      <c r="AG149" s="8">
        <v>1000</v>
      </c>
      <c r="AH149" s="8">
        <v>5000</v>
      </c>
      <c r="AI149" s="8">
        <v>40</v>
      </c>
      <c r="AJ149" s="8">
        <v>0</v>
      </c>
    </row>
    <row r="150" ht="14.25" spans="1:36">
      <c r="A150" s="3">
        <v>61114</v>
      </c>
      <c r="B150" s="3">
        <v>30</v>
      </c>
      <c r="C150" s="3" t="s">
        <v>140</v>
      </c>
      <c r="D150" s="3"/>
      <c r="F150" s="3"/>
      <c r="G150" s="3">
        <v>12</v>
      </c>
      <c r="H150" s="3">
        <v>1</v>
      </c>
      <c r="I150" s="3" t="s">
        <v>81</v>
      </c>
      <c r="J150" s="3">
        <v>0</v>
      </c>
      <c r="K150" s="3" t="s">
        <v>141</v>
      </c>
      <c r="L150" s="3">
        <v>800003031</v>
      </c>
      <c r="M150" s="3">
        <v>1</v>
      </c>
      <c r="N150" s="3">
        <v>100</v>
      </c>
      <c r="O150" s="3">
        <v>0</v>
      </c>
      <c r="P150" s="3">
        <v>15</v>
      </c>
      <c r="Q150" s="3">
        <v>0</v>
      </c>
      <c r="R150" s="15">
        <v>36</v>
      </c>
      <c r="S150" s="3">
        <v>-5500</v>
      </c>
      <c r="T150" s="3">
        <v>1</v>
      </c>
      <c r="U150" s="3">
        <v>0</v>
      </c>
      <c r="V150" s="3" t="s">
        <v>110</v>
      </c>
      <c r="W150" s="3" t="s">
        <v>111</v>
      </c>
      <c r="X150" s="3" t="s">
        <v>124</v>
      </c>
      <c r="Y150" s="16">
        <v>203003001</v>
      </c>
      <c r="Z150" s="16">
        <v>0</v>
      </c>
      <c r="AA150" s="3">
        <v>1</v>
      </c>
      <c r="AB150" s="8" t="s">
        <v>83</v>
      </c>
      <c r="AC150" s="3">
        <v>15000</v>
      </c>
      <c r="AD150" s="3">
        <v>10000</v>
      </c>
      <c r="AE150" s="3">
        <v>0</v>
      </c>
      <c r="AF150" s="8">
        <v>40</v>
      </c>
      <c r="AG150" s="8">
        <v>0</v>
      </c>
      <c r="AH150" s="8">
        <v>0</v>
      </c>
      <c r="AI150" s="8">
        <v>0</v>
      </c>
      <c r="AJ150" s="8">
        <v>0</v>
      </c>
    </row>
    <row r="151" spans="1:36">
      <c r="A151" s="3">
        <v>61115</v>
      </c>
      <c r="B151" s="2">
        <v>30</v>
      </c>
      <c r="C151" s="2" t="s">
        <v>142</v>
      </c>
      <c r="D151" s="2"/>
      <c r="E151" s="12"/>
      <c r="F151" s="2"/>
      <c r="G151" s="2">
        <v>12</v>
      </c>
      <c r="H151" s="2">
        <v>1</v>
      </c>
      <c r="I151" s="2" t="s">
        <v>81</v>
      </c>
      <c r="J151" s="2">
        <v>0</v>
      </c>
      <c r="K151" s="2"/>
      <c r="L151" s="2">
        <v>1000011</v>
      </c>
      <c r="M151" s="2">
        <v>1</v>
      </c>
      <c r="N151" s="2">
        <v>100</v>
      </c>
      <c r="O151" s="2">
        <v>0</v>
      </c>
      <c r="P151" s="2">
        <v>15</v>
      </c>
      <c r="Q151" s="2">
        <v>0</v>
      </c>
      <c r="R151" s="2">
        <v>36</v>
      </c>
      <c r="S151" s="2">
        <v>-5500</v>
      </c>
      <c r="T151" s="2">
        <v>1</v>
      </c>
      <c r="U151" s="2">
        <v>0</v>
      </c>
      <c r="V151" s="2" t="s">
        <v>110</v>
      </c>
      <c r="W151" s="2" t="s">
        <v>111</v>
      </c>
      <c r="X151" s="2" t="s">
        <v>124</v>
      </c>
      <c r="Y151" s="17">
        <v>201002011</v>
      </c>
      <c r="Z151" s="17">
        <v>0</v>
      </c>
      <c r="AA151" s="2">
        <v>1</v>
      </c>
      <c r="AB151" s="12" t="s">
        <v>83</v>
      </c>
      <c r="AC151" s="2">
        <v>15000</v>
      </c>
      <c r="AD151" s="2">
        <v>10000</v>
      </c>
      <c r="AE151" s="2">
        <v>0</v>
      </c>
      <c r="AF151" s="8">
        <v>40</v>
      </c>
      <c r="AG151" s="8">
        <v>0</v>
      </c>
      <c r="AH151" s="8">
        <v>0</v>
      </c>
      <c r="AI151" s="8">
        <v>0</v>
      </c>
      <c r="AJ151" s="8">
        <v>0</v>
      </c>
    </row>
    <row r="152" spans="1:36">
      <c r="A152" s="3">
        <v>62101</v>
      </c>
      <c r="B152" s="3">
        <v>30</v>
      </c>
      <c r="C152" s="3" t="s">
        <v>108</v>
      </c>
      <c r="D152" s="3"/>
      <c r="F152" s="3"/>
      <c r="G152" s="3">
        <v>12</v>
      </c>
      <c r="H152" s="3">
        <v>1</v>
      </c>
      <c r="I152" s="3" t="s">
        <v>81</v>
      </c>
      <c r="J152" s="3">
        <v>0</v>
      </c>
      <c r="K152" s="3" t="s">
        <v>109</v>
      </c>
      <c r="L152" s="3">
        <v>800001011</v>
      </c>
      <c r="M152" s="3">
        <v>1</v>
      </c>
      <c r="N152" s="3">
        <v>70</v>
      </c>
      <c r="O152" s="3">
        <v>0</v>
      </c>
      <c r="P152" s="3">
        <v>15</v>
      </c>
      <c r="Q152" s="3">
        <v>0</v>
      </c>
      <c r="R152" s="3">
        <v>20</v>
      </c>
      <c r="S152" s="3">
        <v>-5500</v>
      </c>
      <c r="T152" s="3">
        <v>1</v>
      </c>
      <c r="U152" s="3">
        <v>0</v>
      </c>
      <c r="V152" s="3" t="s">
        <v>110</v>
      </c>
      <c r="W152" s="3" t="s">
        <v>111</v>
      </c>
      <c r="X152" s="3" t="s">
        <v>112</v>
      </c>
      <c r="Y152" s="16">
        <v>201001011</v>
      </c>
      <c r="Z152" s="16">
        <v>0</v>
      </c>
      <c r="AA152" s="3">
        <v>1</v>
      </c>
      <c r="AB152" s="8" t="s">
        <v>113</v>
      </c>
      <c r="AC152" s="3">
        <v>15000</v>
      </c>
      <c r="AD152" s="3">
        <v>10000</v>
      </c>
      <c r="AE152" s="3">
        <v>25010001</v>
      </c>
      <c r="AF152" s="8">
        <v>40</v>
      </c>
      <c r="AG152" s="8">
        <v>10000</v>
      </c>
      <c r="AH152" s="8">
        <v>10000</v>
      </c>
      <c r="AI152" s="8">
        <v>50</v>
      </c>
      <c r="AJ152" s="8">
        <v>0</v>
      </c>
    </row>
    <row r="153" spans="1:36">
      <c r="A153" s="3">
        <v>62102</v>
      </c>
      <c r="B153" s="3">
        <v>30</v>
      </c>
      <c r="C153" s="3" t="s">
        <v>114</v>
      </c>
      <c r="D153" s="3"/>
      <c r="F153" s="3"/>
      <c r="G153" s="3">
        <v>12</v>
      </c>
      <c r="H153" s="3">
        <v>1</v>
      </c>
      <c r="I153" s="3" t="s">
        <v>81</v>
      </c>
      <c r="J153" s="3">
        <v>0</v>
      </c>
      <c r="K153" s="3" t="s">
        <v>115</v>
      </c>
      <c r="L153" s="3">
        <v>800001021</v>
      </c>
      <c r="M153" s="3">
        <v>1</v>
      </c>
      <c r="N153" s="3">
        <v>200</v>
      </c>
      <c r="O153" s="3">
        <v>0</v>
      </c>
      <c r="P153" s="3">
        <v>30</v>
      </c>
      <c r="Q153" s="3">
        <v>2</v>
      </c>
      <c r="R153" s="3">
        <v>105</v>
      </c>
      <c r="S153" s="3">
        <v>-5500</v>
      </c>
      <c r="T153" s="3">
        <v>1</v>
      </c>
      <c r="U153" s="3">
        <v>0</v>
      </c>
      <c r="V153" s="3" t="s">
        <v>110</v>
      </c>
      <c r="W153" s="3" t="s">
        <v>111</v>
      </c>
      <c r="X153" s="3" t="s">
        <v>112</v>
      </c>
      <c r="Y153" s="16">
        <v>201002011</v>
      </c>
      <c r="Z153" s="16">
        <v>0</v>
      </c>
      <c r="AA153" s="3">
        <v>1</v>
      </c>
      <c r="AB153" s="8" t="s">
        <v>116</v>
      </c>
      <c r="AC153" s="3">
        <v>15000</v>
      </c>
      <c r="AD153" s="3">
        <v>10000</v>
      </c>
      <c r="AE153" s="3">
        <v>25010001</v>
      </c>
      <c r="AF153" s="8">
        <v>40</v>
      </c>
      <c r="AG153" s="8">
        <v>3000</v>
      </c>
      <c r="AH153" s="8">
        <v>10000</v>
      </c>
      <c r="AI153" s="8">
        <v>15</v>
      </c>
      <c r="AJ153" s="8">
        <v>0</v>
      </c>
    </row>
    <row r="154" spans="1:36">
      <c r="A154" s="3">
        <v>62103</v>
      </c>
      <c r="B154" s="2">
        <v>30</v>
      </c>
      <c r="C154" s="2" t="s">
        <v>117</v>
      </c>
      <c r="D154" s="2"/>
      <c r="E154" s="12"/>
      <c r="F154" s="2"/>
      <c r="G154" s="2">
        <v>12</v>
      </c>
      <c r="H154" s="2">
        <v>1</v>
      </c>
      <c r="I154" s="2" t="s">
        <v>81</v>
      </c>
      <c r="J154" s="2">
        <v>0</v>
      </c>
      <c r="K154" s="2"/>
      <c r="L154" s="2">
        <v>800001021</v>
      </c>
      <c r="M154" s="2">
        <v>1</v>
      </c>
      <c r="N154" s="2">
        <v>70</v>
      </c>
      <c r="O154" s="2">
        <v>0</v>
      </c>
      <c r="P154" s="2">
        <v>15</v>
      </c>
      <c r="Q154" s="2">
        <v>1</v>
      </c>
      <c r="R154" s="2">
        <v>300</v>
      </c>
      <c r="S154" s="2">
        <v>-5500</v>
      </c>
      <c r="T154" s="2">
        <v>1</v>
      </c>
      <c r="U154" s="2">
        <v>250</v>
      </c>
      <c r="V154" s="2" t="s">
        <v>110</v>
      </c>
      <c r="W154" s="2" t="s">
        <v>111</v>
      </c>
      <c r="X154" s="2" t="s">
        <v>112</v>
      </c>
      <c r="Y154" s="17">
        <v>201001011</v>
      </c>
      <c r="Z154" s="17">
        <v>0</v>
      </c>
      <c r="AA154" s="2">
        <v>1</v>
      </c>
      <c r="AB154" s="12" t="s">
        <v>113</v>
      </c>
      <c r="AC154" s="2">
        <v>15000</v>
      </c>
      <c r="AD154" s="2">
        <v>10000</v>
      </c>
      <c r="AE154" s="2">
        <v>25010001</v>
      </c>
      <c r="AF154" s="8">
        <v>40</v>
      </c>
      <c r="AG154" s="8">
        <v>0</v>
      </c>
      <c r="AH154" s="8">
        <v>0</v>
      </c>
      <c r="AI154" s="8">
        <v>0</v>
      </c>
      <c r="AJ154" s="8">
        <v>0</v>
      </c>
    </row>
    <row r="155" spans="1:36">
      <c r="A155" s="3">
        <v>62104</v>
      </c>
      <c r="B155" s="3">
        <v>30</v>
      </c>
      <c r="C155" s="3" t="s">
        <v>118</v>
      </c>
      <c r="D155" s="3"/>
      <c r="F155" s="3"/>
      <c r="G155" s="3">
        <v>12</v>
      </c>
      <c r="H155" s="3">
        <v>1</v>
      </c>
      <c r="I155" s="3" t="s">
        <v>81</v>
      </c>
      <c r="J155" s="3">
        <v>0</v>
      </c>
      <c r="K155" s="3" t="s">
        <v>119</v>
      </c>
      <c r="L155" s="3">
        <v>800001041</v>
      </c>
      <c r="M155" s="3">
        <v>1</v>
      </c>
      <c r="N155" s="3">
        <v>70</v>
      </c>
      <c r="O155" s="3">
        <v>0</v>
      </c>
      <c r="P155" s="3">
        <v>24</v>
      </c>
      <c r="Q155" s="3">
        <v>0</v>
      </c>
      <c r="R155" s="3">
        <v>17</v>
      </c>
      <c r="S155" s="3">
        <v>-5500</v>
      </c>
      <c r="T155" s="3">
        <v>1</v>
      </c>
      <c r="U155" s="3">
        <v>0</v>
      </c>
      <c r="V155" s="3" t="s">
        <v>110</v>
      </c>
      <c r="W155" s="3" t="s">
        <v>111</v>
      </c>
      <c r="X155" s="3" t="s">
        <v>112</v>
      </c>
      <c r="Y155" s="16">
        <v>201004011</v>
      </c>
      <c r="Z155" s="16">
        <v>0</v>
      </c>
      <c r="AA155" s="3">
        <v>1</v>
      </c>
      <c r="AB155" s="8" t="s">
        <v>113</v>
      </c>
      <c r="AC155" s="3">
        <v>15000</v>
      </c>
      <c r="AD155" s="3">
        <v>10000</v>
      </c>
      <c r="AE155" s="3">
        <v>25010001</v>
      </c>
      <c r="AF155" s="8">
        <v>40</v>
      </c>
      <c r="AG155" s="8">
        <v>10000</v>
      </c>
      <c r="AH155" s="8">
        <v>10000</v>
      </c>
      <c r="AI155" s="8">
        <v>80</v>
      </c>
      <c r="AJ155" s="8">
        <v>10</v>
      </c>
    </row>
    <row r="156" spans="1:36">
      <c r="A156" s="3">
        <v>62105</v>
      </c>
      <c r="B156" s="3">
        <v>30</v>
      </c>
      <c r="C156" s="3" t="s">
        <v>120</v>
      </c>
      <c r="D156" s="3"/>
      <c r="F156" s="3"/>
      <c r="G156" s="3">
        <v>12</v>
      </c>
      <c r="H156" s="3">
        <v>1</v>
      </c>
      <c r="I156" s="3" t="s">
        <v>81</v>
      </c>
      <c r="J156" s="3">
        <v>0</v>
      </c>
      <c r="K156" s="3" t="s">
        <v>121</v>
      </c>
      <c r="L156" s="3">
        <v>800014011</v>
      </c>
      <c r="M156" s="3">
        <v>1</v>
      </c>
      <c r="N156" s="3">
        <v>125</v>
      </c>
      <c r="O156" s="3">
        <v>0</v>
      </c>
      <c r="P156" s="3">
        <v>19</v>
      </c>
      <c r="Q156" s="3">
        <v>1</v>
      </c>
      <c r="R156" s="3">
        <v>43</v>
      </c>
      <c r="S156" s="3">
        <v>-5500</v>
      </c>
      <c r="T156" s="3">
        <v>1</v>
      </c>
      <c r="U156" s="3">
        <v>0</v>
      </c>
      <c r="V156" s="3" t="s">
        <v>110</v>
      </c>
      <c r="W156" s="3" t="s">
        <v>111</v>
      </c>
      <c r="X156" s="3" t="s">
        <v>112</v>
      </c>
      <c r="Y156" s="16">
        <v>214001011</v>
      </c>
      <c r="Z156" s="16">
        <v>0</v>
      </c>
      <c r="AA156" s="3">
        <v>1</v>
      </c>
      <c r="AB156" s="8" t="s">
        <v>122</v>
      </c>
      <c r="AC156" s="3">
        <v>15000</v>
      </c>
      <c r="AD156" s="3">
        <v>10000</v>
      </c>
      <c r="AE156" s="3">
        <v>25010001</v>
      </c>
      <c r="AF156" s="8">
        <v>40</v>
      </c>
      <c r="AG156" s="8">
        <v>10000</v>
      </c>
      <c r="AH156" s="8">
        <v>10000</v>
      </c>
      <c r="AI156" s="8">
        <v>40</v>
      </c>
      <c r="AJ156" s="8">
        <v>0</v>
      </c>
    </row>
    <row r="157" spans="1:36">
      <c r="A157" s="3">
        <v>62106</v>
      </c>
      <c r="B157" s="2">
        <v>30</v>
      </c>
      <c r="C157" s="2" t="s">
        <v>123</v>
      </c>
      <c r="D157" s="2"/>
      <c r="E157" s="12"/>
      <c r="F157" s="2"/>
      <c r="G157" s="2">
        <v>12</v>
      </c>
      <c r="H157" s="2">
        <v>1</v>
      </c>
      <c r="I157" s="2" t="s">
        <v>81</v>
      </c>
      <c r="J157" s="2">
        <v>0</v>
      </c>
      <c r="K157" s="2"/>
      <c r="L157" s="2">
        <v>1000010</v>
      </c>
      <c r="M157" s="2">
        <v>1</v>
      </c>
      <c r="N157" s="2">
        <v>100</v>
      </c>
      <c r="O157" s="2">
        <v>0</v>
      </c>
      <c r="P157" s="2">
        <v>15</v>
      </c>
      <c r="Q157" s="2">
        <v>0</v>
      </c>
      <c r="R157" s="2">
        <v>36</v>
      </c>
      <c r="S157" s="2">
        <v>-5500</v>
      </c>
      <c r="T157" s="2">
        <v>1</v>
      </c>
      <c r="U157" s="2">
        <v>0</v>
      </c>
      <c r="V157" s="2" t="s">
        <v>110</v>
      </c>
      <c r="W157" s="2" t="s">
        <v>111</v>
      </c>
      <c r="X157" s="2" t="s">
        <v>124</v>
      </c>
      <c r="Y157" s="2">
        <v>201002011</v>
      </c>
      <c r="Z157" s="17">
        <v>0</v>
      </c>
      <c r="AA157" s="2">
        <v>1</v>
      </c>
      <c r="AB157" s="12" t="s">
        <v>83</v>
      </c>
      <c r="AC157" s="2">
        <v>15000</v>
      </c>
      <c r="AD157" s="2">
        <v>10000</v>
      </c>
      <c r="AE157" s="2">
        <v>25010001</v>
      </c>
      <c r="AF157" s="8">
        <v>40</v>
      </c>
      <c r="AG157" s="8">
        <v>0</v>
      </c>
      <c r="AH157" s="8">
        <v>0</v>
      </c>
      <c r="AI157" s="8">
        <v>0</v>
      </c>
      <c r="AJ157" s="8">
        <v>0</v>
      </c>
    </row>
    <row r="158" spans="1:36">
      <c r="A158" s="3">
        <v>62107</v>
      </c>
      <c r="B158" s="2">
        <v>30</v>
      </c>
      <c r="C158" s="2" t="s">
        <v>125</v>
      </c>
      <c r="D158" s="2"/>
      <c r="E158" s="12"/>
      <c r="F158" s="2"/>
      <c r="G158" s="2">
        <v>12</v>
      </c>
      <c r="H158" s="2">
        <v>1</v>
      </c>
      <c r="I158" s="2" t="s">
        <v>81</v>
      </c>
      <c r="J158" s="2">
        <v>0</v>
      </c>
      <c r="K158" s="2" t="s">
        <v>121</v>
      </c>
      <c r="L158" s="2">
        <v>800014011</v>
      </c>
      <c r="M158" s="2">
        <v>1</v>
      </c>
      <c r="N158" s="2">
        <v>100</v>
      </c>
      <c r="O158" s="2">
        <v>0</v>
      </c>
      <c r="P158" s="2">
        <v>15</v>
      </c>
      <c r="Q158" s="2">
        <v>0</v>
      </c>
      <c r="R158" s="2">
        <v>36</v>
      </c>
      <c r="S158" s="2">
        <v>-5500</v>
      </c>
      <c r="T158" s="2">
        <v>1</v>
      </c>
      <c r="U158" s="2">
        <v>0</v>
      </c>
      <c r="V158" s="2" t="s">
        <v>110</v>
      </c>
      <c r="W158" s="2" t="s">
        <v>111</v>
      </c>
      <c r="X158" s="2" t="s">
        <v>124</v>
      </c>
      <c r="Y158" s="2">
        <v>214001011</v>
      </c>
      <c r="Z158" s="17">
        <v>0</v>
      </c>
      <c r="AA158" s="2">
        <v>1</v>
      </c>
      <c r="AB158" s="12" t="s">
        <v>83</v>
      </c>
      <c r="AC158" s="2">
        <v>15000</v>
      </c>
      <c r="AD158" s="2">
        <v>10000</v>
      </c>
      <c r="AE158" s="2">
        <v>25010001</v>
      </c>
      <c r="AF158" s="8">
        <v>40</v>
      </c>
      <c r="AG158" s="8">
        <v>0</v>
      </c>
      <c r="AH158" s="8">
        <v>0</v>
      </c>
      <c r="AI158" s="8">
        <v>0</v>
      </c>
      <c r="AJ158" s="8">
        <v>0</v>
      </c>
    </row>
    <row r="159" ht="14.25" spans="1:36">
      <c r="A159" s="3">
        <v>62108</v>
      </c>
      <c r="B159" s="3">
        <v>30</v>
      </c>
      <c r="C159" s="3" t="s">
        <v>126</v>
      </c>
      <c r="D159" s="3"/>
      <c r="F159" s="3"/>
      <c r="G159" s="3">
        <v>12</v>
      </c>
      <c r="H159" s="3">
        <v>1</v>
      </c>
      <c r="I159" s="3" t="s">
        <v>81</v>
      </c>
      <c r="J159" s="3">
        <v>0</v>
      </c>
      <c r="K159" s="3" t="s">
        <v>127</v>
      </c>
      <c r="L159" s="3">
        <v>800004011</v>
      </c>
      <c r="M159" s="3">
        <v>1</v>
      </c>
      <c r="N159" s="3">
        <v>100</v>
      </c>
      <c r="O159" s="3">
        <v>0</v>
      </c>
      <c r="P159" s="3">
        <v>15</v>
      </c>
      <c r="Q159" s="3">
        <v>0</v>
      </c>
      <c r="R159" s="15">
        <v>36</v>
      </c>
      <c r="S159" s="3">
        <v>-5500</v>
      </c>
      <c r="T159" s="3">
        <v>1</v>
      </c>
      <c r="U159" s="3">
        <v>0</v>
      </c>
      <c r="V159" s="3" t="s">
        <v>110</v>
      </c>
      <c r="W159" s="3" t="s">
        <v>111</v>
      </c>
      <c r="X159" s="3" t="s">
        <v>124</v>
      </c>
      <c r="Y159" s="16">
        <v>204001001</v>
      </c>
      <c r="Z159" s="16">
        <v>0</v>
      </c>
      <c r="AA159" s="3">
        <v>1</v>
      </c>
      <c r="AB159" s="8" t="s">
        <v>83</v>
      </c>
      <c r="AC159" s="3">
        <v>15000</v>
      </c>
      <c r="AD159" s="3">
        <v>10000</v>
      </c>
      <c r="AE159" s="3">
        <v>25010001</v>
      </c>
      <c r="AF159" s="8">
        <v>40</v>
      </c>
      <c r="AG159" s="8">
        <v>0</v>
      </c>
      <c r="AH159" s="8">
        <v>0</v>
      </c>
      <c r="AI159" s="8">
        <v>0</v>
      </c>
      <c r="AJ159" s="8">
        <v>0</v>
      </c>
    </row>
    <row r="160" ht="14.25" spans="1:36">
      <c r="A160" s="3">
        <v>62109</v>
      </c>
      <c r="B160" s="3">
        <v>30</v>
      </c>
      <c r="C160" s="3" t="s">
        <v>128</v>
      </c>
      <c r="D160" s="3"/>
      <c r="F160" s="3"/>
      <c r="G160" s="3">
        <v>12</v>
      </c>
      <c r="H160" s="3">
        <v>1</v>
      </c>
      <c r="I160" s="3" t="s">
        <v>81</v>
      </c>
      <c r="J160" s="3">
        <v>0</v>
      </c>
      <c r="K160" s="3" t="s">
        <v>129</v>
      </c>
      <c r="L160" s="3">
        <v>800004021</v>
      </c>
      <c r="M160" s="3">
        <v>1</v>
      </c>
      <c r="N160" s="3">
        <v>100</v>
      </c>
      <c r="O160" s="3">
        <v>0</v>
      </c>
      <c r="P160" s="3">
        <v>15</v>
      </c>
      <c r="Q160" s="3">
        <v>0</v>
      </c>
      <c r="R160" s="15">
        <v>36</v>
      </c>
      <c r="S160" s="3">
        <v>-5500</v>
      </c>
      <c r="T160" s="3">
        <v>1</v>
      </c>
      <c r="U160" s="3">
        <v>0</v>
      </c>
      <c r="V160" s="3" t="s">
        <v>110</v>
      </c>
      <c r="W160" s="3" t="s">
        <v>111</v>
      </c>
      <c r="X160" s="3" t="s">
        <v>124</v>
      </c>
      <c r="Y160" s="16">
        <v>204002001</v>
      </c>
      <c r="Z160" s="16">
        <v>0</v>
      </c>
      <c r="AA160" s="3">
        <v>1</v>
      </c>
      <c r="AB160" s="8" t="s">
        <v>83</v>
      </c>
      <c r="AC160" s="3">
        <v>15000</v>
      </c>
      <c r="AD160" s="3">
        <v>10000</v>
      </c>
      <c r="AE160" s="3">
        <v>25010001</v>
      </c>
      <c r="AF160" s="8">
        <v>40</v>
      </c>
      <c r="AG160" s="8">
        <v>0</v>
      </c>
      <c r="AH160" s="8">
        <v>0</v>
      </c>
      <c r="AI160" s="8">
        <v>0</v>
      </c>
      <c r="AJ160" s="8">
        <v>0</v>
      </c>
    </row>
    <row r="161" ht="14.25" spans="1:36">
      <c r="A161" s="3">
        <v>62110</v>
      </c>
      <c r="B161" s="3">
        <v>30</v>
      </c>
      <c r="C161" s="3" t="s">
        <v>130</v>
      </c>
      <c r="D161" s="3"/>
      <c r="F161" s="3"/>
      <c r="G161" s="3">
        <v>12</v>
      </c>
      <c r="H161" s="3">
        <v>1</v>
      </c>
      <c r="I161" s="3" t="s">
        <v>81</v>
      </c>
      <c r="J161" s="3">
        <v>0</v>
      </c>
      <c r="K161" s="3" t="s">
        <v>131</v>
      </c>
      <c r="L161" s="3">
        <v>800011011</v>
      </c>
      <c r="M161" s="3">
        <v>1</v>
      </c>
      <c r="N161" s="3">
        <v>100</v>
      </c>
      <c r="O161" s="3">
        <v>0</v>
      </c>
      <c r="P161" s="3">
        <v>15</v>
      </c>
      <c r="Q161" s="3">
        <v>0</v>
      </c>
      <c r="R161" s="15">
        <v>36</v>
      </c>
      <c r="S161" s="3">
        <v>-5500</v>
      </c>
      <c r="T161" s="3">
        <v>1</v>
      </c>
      <c r="U161" s="3">
        <v>0</v>
      </c>
      <c r="V161" s="3" t="s">
        <v>110</v>
      </c>
      <c r="W161" s="3" t="s">
        <v>111</v>
      </c>
      <c r="X161" s="3" t="s">
        <v>124</v>
      </c>
      <c r="Y161" s="16">
        <v>211001001</v>
      </c>
      <c r="Z161" s="16">
        <v>0</v>
      </c>
      <c r="AA161" s="3">
        <v>1</v>
      </c>
      <c r="AB161" s="8" t="s">
        <v>83</v>
      </c>
      <c r="AC161" s="3">
        <v>15000</v>
      </c>
      <c r="AD161" s="3">
        <v>10000</v>
      </c>
      <c r="AE161" s="3">
        <v>25010001</v>
      </c>
      <c r="AF161" s="8">
        <v>40</v>
      </c>
      <c r="AG161" s="8">
        <v>0</v>
      </c>
      <c r="AH161" s="8">
        <v>0</v>
      </c>
      <c r="AI161" s="8">
        <v>0</v>
      </c>
      <c r="AJ161" s="8">
        <v>0</v>
      </c>
    </row>
    <row r="162" ht="14.25" spans="1:36">
      <c r="A162" s="3">
        <v>62111</v>
      </c>
      <c r="B162" s="3">
        <v>30</v>
      </c>
      <c r="C162" s="3" t="s">
        <v>132</v>
      </c>
      <c r="D162" s="3"/>
      <c r="F162" s="3"/>
      <c r="G162" s="3">
        <v>12</v>
      </c>
      <c r="H162" s="3">
        <v>1</v>
      </c>
      <c r="I162" s="3" t="s">
        <v>81</v>
      </c>
      <c r="J162" s="3">
        <v>0</v>
      </c>
      <c r="K162" s="3" t="s">
        <v>133</v>
      </c>
      <c r="L162" s="3">
        <v>800011021</v>
      </c>
      <c r="M162" s="3">
        <v>1</v>
      </c>
      <c r="N162" s="3">
        <v>100</v>
      </c>
      <c r="O162" s="3">
        <v>0</v>
      </c>
      <c r="P162" s="3">
        <v>15</v>
      </c>
      <c r="Q162" s="3">
        <v>0</v>
      </c>
      <c r="R162" s="15">
        <v>36</v>
      </c>
      <c r="S162" s="3">
        <v>-5500</v>
      </c>
      <c r="T162" s="3">
        <v>1</v>
      </c>
      <c r="U162" s="3">
        <v>0</v>
      </c>
      <c r="V162" s="3" t="s">
        <v>110</v>
      </c>
      <c r="W162" s="3" t="s">
        <v>111</v>
      </c>
      <c r="X162" s="3" t="s">
        <v>124</v>
      </c>
      <c r="Y162" s="16">
        <v>211002001</v>
      </c>
      <c r="Z162" s="16">
        <v>0</v>
      </c>
      <c r="AA162" s="3">
        <v>1</v>
      </c>
      <c r="AB162" s="8" t="s">
        <v>83</v>
      </c>
      <c r="AC162" s="3">
        <v>15000</v>
      </c>
      <c r="AD162" s="3">
        <v>10000</v>
      </c>
      <c r="AE162" s="3">
        <v>25010001</v>
      </c>
      <c r="AF162" s="8">
        <v>40</v>
      </c>
      <c r="AG162" s="8">
        <v>0</v>
      </c>
      <c r="AH162" s="8">
        <v>0</v>
      </c>
      <c r="AI162" s="8">
        <v>0</v>
      </c>
      <c r="AJ162" s="8">
        <v>0</v>
      </c>
    </row>
    <row r="163" ht="14.25" spans="1:36">
      <c r="A163" s="3">
        <v>62112</v>
      </c>
      <c r="B163" s="3">
        <v>30</v>
      </c>
      <c r="C163" s="3" t="s">
        <v>134</v>
      </c>
      <c r="D163" s="3"/>
      <c r="F163" s="3"/>
      <c r="G163" s="3">
        <v>12</v>
      </c>
      <c r="H163" s="3">
        <v>1</v>
      </c>
      <c r="I163" s="3" t="s">
        <v>81</v>
      </c>
      <c r="J163" s="3">
        <v>0</v>
      </c>
      <c r="K163" s="3" t="s">
        <v>135</v>
      </c>
      <c r="L163" s="3">
        <v>800003011</v>
      </c>
      <c r="M163" s="3">
        <v>1</v>
      </c>
      <c r="N163" s="3">
        <v>100</v>
      </c>
      <c r="O163" s="3">
        <v>0</v>
      </c>
      <c r="P163" s="3">
        <v>15</v>
      </c>
      <c r="Q163" s="3">
        <v>0</v>
      </c>
      <c r="R163" s="15">
        <v>36</v>
      </c>
      <c r="S163" s="3">
        <v>-5500</v>
      </c>
      <c r="T163" s="3">
        <v>1</v>
      </c>
      <c r="U163" s="3">
        <v>0</v>
      </c>
      <c r="V163" s="3" t="s">
        <v>110</v>
      </c>
      <c r="W163" s="3" t="s">
        <v>111</v>
      </c>
      <c r="X163" s="3" t="s">
        <v>124</v>
      </c>
      <c r="Y163" s="16">
        <v>203001001</v>
      </c>
      <c r="Z163" s="16">
        <v>0</v>
      </c>
      <c r="AA163" s="3">
        <v>1</v>
      </c>
      <c r="AB163" s="8" t="s">
        <v>83</v>
      </c>
      <c r="AC163" s="3">
        <v>15000</v>
      </c>
      <c r="AD163" s="3">
        <v>10000</v>
      </c>
      <c r="AE163" s="3">
        <v>25010001</v>
      </c>
      <c r="AF163" s="8">
        <v>40</v>
      </c>
      <c r="AG163" s="8">
        <v>0</v>
      </c>
      <c r="AH163" s="8">
        <v>0</v>
      </c>
      <c r="AI163" s="8">
        <v>0</v>
      </c>
      <c r="AJ163" s="8">
        <v>0</v>
      </c>
    </row>
    <row r="164" ht="14.25" spans="1:36">
      <c r="A164" s="3">
        <v>62113</v>
      </c>
      <c r="B164" s="3">
        <v>30</v>
      </c>
      <c r="C164" s="3" t="s">
        <v>136</v>
      </c>
      <c r="D164" s="3"/>
      <c r="F164" s="3"/>
      <c r="G164" s="3">
        <v>12</v>
      </c>
      <c r="H164" s="3">
        <v>1</v>
      </c>
      <c r="I164" s="3" t="s">
        <v>81</v>
      </c>
      <c r="J164" s="3">
        <v>0</v>
      </c>
      <c r="K164" s="3" t="s">
        <v>137</v>
      </c>
      <c r="L164" s="3">
        <v>800003021</v>
      </c>
      <c r="M164" s="3">
        <v>1</v>
      </c>
      <c r="N164" s="3">
        <v>500</v>
      </c>
      <c r="O164" s="3">
        <v>0</v>
      </c>
      <c r="P164" s="3">
        <v>42</v>
      </c>
      <c r="Q164" s="3">
        <v>3</v>
      </c>
      <c r="R164" s="15">
        <v>1496</v>
      </c>
      <c r="S164" s="3">
        <v>-5500</v>
      </c>
      <c r="T164" s="3">
        <v>1</v>
      </c>
      <c r="U164" s="3">
        <v>30000</v>
      </c>
      <c r="V164" s="3" t="s">
        <v>110</v>
      </c>
      <c r="W164" s="3" t="s">
        <v>111</v>
      </c>
      <c r="X164" s="3" t="s">
        <v>138</v>
      </c>
      <c r="Y164" s="16">
        <v>203002011</v>
      </c>
      <c r="Z164" s="16">
        <v>0</v>
      </c>
      <c r="AA164" s="3">
        <v>1</v>
      </c>
      <c r="AB164" s="8" t="s">
        <v>139</v>
      </c>
      <c r="AC164" s="3">
        <v>15000</v>
      </c>
      <c r="AD164" s="3">
        <v>10000</v>
      </c>
      <c r="AE164" s="3">
        <v>25010001</v>
      </c>
      <c r="AF164" s="8">
        <v>40</v>
      </c>
      <c r="AG164" s="8">
        <v>1000</v>
      </c>
      <c r="AH164" s="8">
        <v>5000</v>
      </c>
      <c r="AI164" s="8">
        <v>40</v>
      </c>
      <c r="AJ164" s="8">
        <v>0</v>
      </c>
    </row>
    <row r="165" ht="14.25" spans="1:36">
      <c r="A165" s="3">
        <v>62114</v>
      </c>
      <c r="B165" s="3">
        <v>30</v>
      </c>
      <c r="C165" s="3" t="s">
        <v>140</v>
      </c>
      <c r="D165" s="3"/>
      <c r="F165" s="3"/>
      <c r="G165" s="3">
        <v>12</v>
      </c>
      <c r="H165" s="3">
        <v>1</v>
      </c>
      <c r="I165" s="3" t="s">
        <v>81</v>
      </c>
      <c r="J165" s="3">
        <v>0</v>
      </c>
      <c r="K165" s="3" t="s">
        <v>141</v>
      </c>
      <c r="L165" s="3">
        <v>800003031</v>
      </c>
      <c r="M165" s="3">
        <v>1</v>
      </c>
      <c r="N165" s="3">
        <v>100</v>
      </c>
      <c r="O165" s="3">
        <v>0</v>
      </c>
      <c r="P165" s="3">
        <v>15</v>
      </c>
      <c r="Q165" s="3">
        <v>0</v>
      </c>
      <c r="R165" s="15">
        <v>36</v>
      </c>
      <c r="S165" s="3">
        <v>-5500</v>
      </c>
      <c r="T165" s="3">
        <v>1</v>
      </c>
      <c r="U165" s="3">
        <v>0</v>
      </c>
      <c r="V165" s="3" t="s">
        <v>110</v>
      </c>
      <c r="W165" s="3" t="s">
        <v>111</v>
      </c>
      <c r="X165" s="3" t="s">
        <v>124</v>
      </c>
      <c r="Y165" s="16">
        <v>203003001</v>
      </c>
      <c r="Z165" s="16">
        <v>0</v>
      </c>
      <c r="AA165" s="3">
        <v>1</v>
      </c>
      <c r="AB165" s="8" t="s">
        <v>83</v>
      </c>
      <c r="AC165" s="3">
        <v>15000</v>
      </c>
      <c r="AD165" s="3">
        <v>10000</v>
      </c>
      <c r="AE165" s="3">
        <v>0</v>
      </c>
      <c r="AF165" s="8">
        <v>40</v>
      </c>
      <c r="AG165" s="8">
        <v>0</v>
      </c>
      <c r="AH165" s="8">
        <v>0</v>
      </c>
      <c r="AI165" s="8">
        <v>0</v>
      </c>
      <c r="AJ165" s="8">
        <v>0</v>
      </c>
    </row>
    <row r="166" spans="1:36">
      <c r="A166" s="3">
        <v>62115</v>
      </c>
      <c r="B166" s="2">
        <v>30</v>
      </c>
      <c r="C166" s="2" t="s">
        <v>142</v>
      </c>
      <c r="D166" s="2"/>
      <c r="E166" s="12"/>
      <c r="F166" s="2"/>
      <c r="G166" s="2">
        <v>12</v>
      </c>
      <c r="H166" s="2">
        <v>1</v>
      </c>
      <c r="I166" s="2" t="s">
        <v>81</v>
      </c>
      <c r="J166" s="2">
        <v>0</v>
      </c>
      <c r="K166" s="2"/>
      <c r="L166" s="2">
        <v>1000011</v>
      </c>
      <c r="M166" s="2">
        <v>1</v>
      </c>
      <c r="N166" s="2">
        <v>100</v>
      </c>
      <c r="O166" s="2">
        <v>0</v>
      </c>
      <c r="P166" s="2">
        <v>15</v>
      </c>
      <c r="Q166" s="2">
        <v>0</v>
      </c>
      <c r="R166" s="2">
        <v>36</v>
      </c>
      <c r="S166" s="2">
        <v>-5500</v>
      </c>
      <c r="T166" s="2">
        <v>1</v>
      </c>
      <c r="U166" s="2">
        <v>0</v>
      </c>
      <c r="V166" s="2" t="s">
        <v>110</v>
      </c>
      <c r="W166" s="2" t="s">
        <v>111</v>
      </c>
      <c r="X166" s="2" t="s">
        <v>124</v>
      </c>
      <c r="Y166" s="17">
        <v>201002011</v>
      </c>
      <c r="Z166" s="17">
        <v>0</v>
      </c>
      <c r="AA166" s="2">
        <v>1</v>
      </c>
      <c r="AB166" s="12" t="s">
        <v>83</v>
      </c>
      <c r="AC166" s="2">
        <v>15000</v>
      </c>
      <c r="AD166" s="2">
        <v>10000</v>
      </c>
      <c r="AE166" s="2">
        <v>0</v>
      </c>
      <c r="AF166" s="8">
        <v>40</v>
      </c>
      <c r="AG166" s="8">
        <v>0</v>
      </c>
      <c r="AH166" s="8">
        <v>0</v>
      </c>
      <c r="AI166" s="8">
        <v>0</v>
      </c>
      <c r="AJ166" s="8">
        <v>0</v>
      </c>
    </row>
    <row r="167" spans="1:36">
      <c r="A167" s="3">
        <v>71101</v>
      </c>
      <c r="B167" s="3">
        <v>30</v>
      </c>
      <c r="C167" s="3" t="s">
        <v>108</v>
      </c>
      <c r="D167" s="3"/>
      <c r="F167" s="3"/>
      <c r="G167" s="3">
        <v>12</v>
      </c>
      <c r="H167" s="3">
        <v>1</v>
      </c>
      <c r="I167" s="3" t="s">
        <v>81</v>
      </c>
      <c r="J167" s="3">
        <v>0</v>
      </c>
      <c r="K167" s="3" t="s">
        <v>109</v>
      </c>
      <c r="L167" s="3">
        <v>800001011</v>
      </c>
      <c r="M167" s="3">
        <v>1</v>
      </c>
      <c r="N167" s="3">
        <v>70</v>
      </c>
      <c r="O167" s="3">
        <v>0</v>
      </c>
      <c r="P167" s="3">
        <v>15</v>
      </c>
      <c r="Q167" s="3">
        <v>0</v>
      </c>
      <c r="R167" s="3">
        <v>20</v>
      </c>
      <c r="S167" s="3">
        <v>-5500</v>
      </c>
      <c r="T167" s="3">
        <v>1</v>
      </c>
      <c r="U167" s="3">
        <v>0</v>
      </c>
      <c r="V167" s="3" t="s">
        <v>110</v>
      </c>
      <c r="W167" s="3" t="s">
        <v>111</v>
      </c>
      <c r="X167" s="3" t="s">
        <v>112</v>
      </c>
      <c r="Y167" s="16">
        <v>201001011</v>
      </c>
      <c r="Z167" s="16">
        <v>0</v>
      </c>
      <c r="AA167" s="3">
        <v>1</v>
      </c>
      <c r="AB167" s="8" t="s">
        <v>113</v>
      </c>
      <c r="AC167" s="3">
        <v>15000</v>
      </c>
      <c r="AD167" s="3">
        <v>10000</v>
      </c>
      <c r="AE167" s="3">
        <v>25010001</v>
      </c>
      <c r="AF167" s="8">
        <v>40</v>
      </c>
      <c r="AG167" s="8">
        <v>10000</v>
      </c>
      <c r="AH167" s="8">
        <v>10000</v>
      </c>
      <c r="AI167" s="8">
        <v>50</v>
      </c>
      <c r="AJ167" s="8">
        <v>0</v>
      </c>
    </row>
    <row r="168" spans="1:36">
      <c r="A168" s="3">
        <v>71102</v>
      </c>
      <c r="B168" s="3">
        <v>30</v>
      </c>
      <c r="C168" s="3" t="s">
        <v>114</v>
      </c>
      <c r="D168" s="3"/>
      <c r="F168" s="3"/>
      <c r="G168" s="3">
        <v>12</v>
      </c>
      <c r="H168" s="3">
        <v>1</v>
      </c>
      <c r="I168" s="3" t="s">
        <v>81</v>
      </c>
      <c r="J168" s="3">
        <v>0</v>
      </c>
      <c r="K168" s="3" t="s">
        <v>115</v>
      </c>
      <c r="L168" s="3">
        <v>800001021</v>
      </c>
      <c r="M168" s="3">
        <v>1</v>
      </c>
      <c r="N168" s="3">
        <v>200</v>
      </c>
      <c r="O168" s="3">
        <v>0</v>
      </c>
      <c r="P168" s="3">
        <v>30</v>
      </c>
      <c r="Q168" s="3">
        <v>2</v>
      </c>
      <c r="R168" s="3">
        <v>105</v>
      </c>
      <c r="S168" s="3">
        <v>-5500</v>
      </c>
      <c r="T168" s="3">
        <v>1</v>
      </c>
      <c r="U168" s="3">
        <v>0</v>
      </c>
      <c r="V168" s="3" t="s">
        <v>110</v>
      </c>
      <c r="W168" s="3" t="s">
        <v>111</v>
      </c>
      <c r="X168" s="3" t="s">
        <v>112</v>
      </c>
      <c r="Y168" s="16">
        <v>201002011</v>
      </c>
      <c r="Z168" s="16">
        <v>0</v>
      </c>
      <c r="AA168" s="3">
        <v>1</v>
      </c>
      <c r="AB168" s="8" t="s">
        <v>116</v>
      </c>
      <c r="AC168" s="3">
        <v>15000</v>
      </c>
      <c r="AD168" s="3">
        <v>10000</v>
      </c>
      <c r="AE168" s="3">
        <v>25010001</v>
      </c>
      <c r="AF168" s="8">
        <v>40</v>
      </c>
      <c r="AG168" s="8">
        <v>3000</v>
      </c>
      <c r="AH168" s="8">
        <v>10000</v>
      </c>
      <c r="AI168" s="8">
        <v>15</v>
      </c>
      <c r="AJ168" s="8">
        <v>0</v>
      </c>
    </row>
    <row r="169" spans="1:36">
      <c r="A169" s="3">
        <v>71103</v>
      </c>
      <c r="B169" s="2">
        <v>30</v>
      </c>
      <c r="C169" s="2" t="s">
        <v>117</v>
      </c>
      <c r="D169" s="2"/>
      <c r="E169" s="12"/>
      <c r="F169" s="2"/>
      <c r="G169" s="2">
        <v>12</v>
      </c>
      <c r="H169" s="2">
        <v>1</v>
      </c>
      <c r="I169" s="2" t="s">
        <v>81</v>
      </c>
      <c r="J169" s="2">
        <v>0</v>
      </c>
      <c r="K169" s="2"/>
      <c r="L169" s="2">
        <v>800001021</v>
      </c>
      <c r="M169" s="2">
        <v>1</v>
      </c>
      <c r="N169" s="2">
        <v>70</v>
      </c>
      <c r="O169" s="2">
        <v>0</v>
      </c>
      <c r="P169" s="2">
        <v>15</v>
      </c>
      <c r="Q169" s="2">
        <v>1</v>
      </c>
      <c r="R169" s="2">
        <v>300</v>
      </c>
      <c r="S169" s="2">
        <v>-5500</v>
      </c>
      <c r="T169" s="2">
        <v>1</v>
      </c>
      <c r="U169" s="2">
        <v>250</v>
      </c>
      <c r="V169" s="2" t="s">
        <v>110</v>
      </c>
      <c r="W169" s="2" t="s">
        <v>111</v>
      </c>
      <c r="X169" s="2" t="s">
        <v>112</v>
      </c>
      <c r="Y169" s="17">
        <v>201001011</v>
      </c>
      <c r="Z169" s="17">
        <v>0</v>
      </c>
      <c r="AA169" s="2">
        <v>1</v>
      </c>
      <c r="AB169" s="12" t="s">
        <v>113</v>
      </c>
      <c r="AC169" s="2">
        <v>15000</v>
      </c>
      <c r="AD169" s="2">
        <v>10000</v>
      </c>
      <c r="AE169" s="2">
        <v>25010001</v>
      </c>
      <c r="AF169" s="8">
        <v>40</v>
      </c>
      <c r="AG169" s="8">
        <v>0</v>
      </c>
      <c r="AH169" s="8">
        <v>0</v>
      </c>
      <c r="AI169" s="8">
        <v>0</v>
      </c>
      <c r="AJ169" s="8">
        <v>0</v>
      </c>
    </row>
    <row r="170" spans="1:36">
      <c r="A170" s="3">
        <v>71104</v>
      </c>
      <c r="B170" s="3">
        <v>30</v>
      </c>
      <c r="C170" s="3" t="s">
        <v>118</v>
      </c>
      <c r="D170" s="3"/>
      <c r="F170" s="3"/>
      <c r="G170" s="3">
        <v>12</v>
      </c>
      <c r="H170" s="3">
        <v>1</v>
      </c>
      <c r="I170" s="3" t="s">
        <v>81</v>
      </c>
      <c r="J170" s="3">
        <v>0</v>
      </c>
      <c r="K170" s="3" t="s">
        <v>119</v>
      </c>
      <c r="L170" s="3">
        <v>800001041</v>
      </c>
      <c r="M170" s="3">
        <v>1</v>
      </c>
      <c r="N170" s="3">
        <v>70</v>
      </c>
      <c r="O170" s="3">
        <v>0</v>
      </c>
      <c r="P170" s="3">
        <v>24</v>
      </c>
      <c r="Q170" s="3">
        <v>0</v>
      </c>
      <c r="R170" s="3">
        <v>17</v>
      </c>
      <c r="S170" s="3">
        <v>-5500</v>
      </c>
      <c r="T170" s="3">
        <v>1</v>
      </c>
      <c r="U170" s="3">
        <v>0</v>
      </c>
      <c r="V170" s="3" t="s">
        <v>110</v>
      </c>
      <c r="W170" s="3" t="s">
        <v>111</v>
      </c>
      <c r="X170" s="3" t="s">
        <v>112</v>
      </c>
      <c r="Y170" s="16">
        <v>201004011</v>
      </c>
      <c r="Z170" s="16">
        <v>0</v>
      </c>
      <c r="AA170" s="3">
        <v>1</v>
      </c>
      <c r="AB170" s="8" t="s">
        <v>113</v>
      </c>
      <c r="AC170" s="3">
        <v>15000</v>
      </c>
      <c r="AD170" s="3">
        <v>10000</v>
      </c>
      <c r="AE170" s="3">
        <v>25010001</v>
      </c>
      <c r="AF170" s="8">
        <v>40</v>
      </c>
      <c r="AG170" s="8">
        <v>10000</v>
      </c>
      <c r="AH170" s="8">
        <v>10000</v>
      </c>
      <c r="AI170" s="8">
        <v>80</v>
      </c>
      <c r="AJ170" s="8">
        <v>10</v>
      </c>
    </row>
    <row r="171" spans="1:36">
      <c r="A171" s="3">
        <v>71105</v>
      </c>
      <c r="B171" s="3">
        <v>30</v>
      </c>
      <c r="C171" s="3" t="s">
        <v>120</v>
      </c>
      <c r="D171" s="3"/>
      <c r="F171" s="3"/>
      <c r="G171" s="3">
        <v>12</v>
      </c>
      <c r="H171" s="3">
        <v>1</v>
      </c>
      <c r="I171" s="3" t="s">
        <v>81</v>
      </c>
      <c r="J171" s="3">
        <v>0</v>
      </c>
      <c r="K171" s="3" t="s">
        <v>121</v>
      </c>
      <c r="L171" s="3">
        <v>800014011</v>
      </c>
      <c r="M171" s="3">
        <v>1</v>
      </c>
      <c r="N171" s="3">
        <v>125</v>
      </c>
      <c r="O171" s="3">
        <v>0</v>
      </c>
      <c r="P171" s="3">
        <v>19</v>
      </c>
      <c r="Q171" s="3">
        <v>1</v>
      </c>
      <c r="R171" s="3">
        <v>43</v>
      </c>
      <c r="S171" s="3">
        <v>-5500</v>
      </c>
      <c r="T171" s="3">
        <v>1</v>
      </c>
      <c r="U171" s="3">
        <v>0</v>
      </c>
      <c r="V171" s="3" t="s">
        <v>110</v>
      </c>
      <c r="W171" s="3" t="s">
        <v>111</v>
      </c>
      <c r="X171" s="3" t="s">
        <v>112</v>
      </c>
      <c r="Y171" s="16">
        <v>214001011</v>
      </c>
      <c r="Z171" s="16">
        <v>0</v>
      </c>
      <c r="AA171" s="3">
        <v>1</v>
      </c>
      <c r="AB171" s="8" t="s">
        <v>122</v>
      </c>
      <c r="AC171" s="3">
        <v>15000</v>
      </c>
      <c r="AD171" s="3">
        <v>10000</v>
      </c>
      <c r="AE171" s="3">
        <v>25010001</v>
      </c>
      <c r="AF171" s="8">
        <v>40</v>
      </c>
      <c r="AG171" s="8">
        <v>10000</v>
      </c>
      <c r="AH171" s="8">
        <v>10000</v>
      </c>
      <c r="AI171" s="8">
        <v>40</v>
      </c>
      <c r="AJ171" s="8">
        <v>0</v>
      </c>
    </row>
    <row r="172" spans="1:36">
      <c r="A172" s="3">
        <v>71106</v>
      </c>
      <c r="B172" s="2">
        <v>30</v>
      </c>
      <c r="C172" s="2" t="s">
        <v>123</v>
      </c>
      <c r="D172" s="2"/>
      <c r="E172" s="12"/>
      <c r="F172" s="2"/>
      <c r="G172" s="2">
        <v>12</v>
      </c>
      <c r="H172" s="2">
        <v>1</v>
      </c>
      <c r="I172" s="2" t="s">
        <v>81</v>
      </c>
      <c r="J172" s="2">
        <v>0</v>
      </c>
      <c r="K172" s="2"/>
      <c r="L172" s="2">
        <v>1000010</v>
      </c>
      <c r="M172" s="2">
        <v>1</v>
      </c>
      <c r="N172" s="2">
        <v>100</v>
      </c>
      <c r="O172" s="2">
        <v>0</v>
      </c>
      <c r="P172" s="2">
        <v>15</v>
      </c>
      <c r="Q172" s="2">
        <v>0</v>
      </c>
      <c r="R172" s="2">
        <v>36</v>
      </c>
      <c r="S172" s="2">
        <v>-5500</v>
      </c>
      <c r="T172" s="2">
        <v>1</v>
      </c>
      <c r="U172" s="2">
        <v>0</v>
      </c>
      <c r="V172" s="2" t="s">
        <v>110</v>
      </c>
      <c r="W172" s="2" t="s">
        <v>111</v>
      </c>
      <c r="X172" s="2" t="s">
        <v>124</v>
      </c>
      <c r="Y172" s="2">
        <v>201002011</v>
      </c>
      <c r="Z172" s="17">
        <v>0</v>
      </c>
      <c r="AA172" s="2">
        <v>1</v>
      </c>
      <c r="AB172" s="12" t="s">
        <v>83</v>
      </c>
      <c r="AC172" s="2">
        <v>15000</v>
      </c>
      <c r="AD172" s="2">
        <v>10000</v>
      </c>
      <c r="AE172" s="2">
        <v>25010001</v>
      </c>
      <c r="AF172" s="8">
        <v>40</v>
      </c>
      <c r="AG172" s="8">
        <v>0</v>
      </c>
      <c r="AH172" s="8">
        <v>0</v>
      </c>
      <c r="AI172" s="8">
        <v>0</v>
      </c>
      <c r="AJ172" s="8">
        <v>0</v>
      </c>
    </row>
    <row r="173" spans="1:36">
      <c r="A173" s="3">
        <v>71107</v>
      </c>
      <c r="B173" s="2">
        <v>30</v>
      </c>
      <c r="C173" s="2" t="s">
        <v>125</v>
      </c>
      <c r="D173" s="2"/>
      <c r="E173" s="12"/>
      <c r="F173" s="2"/>
      <c r="G173" s="2">
        <v>12</v>
      </c>
      <c r="H173" s="2">
        <v>1</v>
      </c>
      <c r="I173" s="2" t="s">
        <v>81</v>
      </c>
      <c r="J173" s="2">
        <v>0</v>
      </c>
      <c r="K173" s="2" t="s">
        <v>121</v>
      </c>
      <c r="L173" s="2">
        <v>800014011</v>
      </c>
      <c r="M173" s="2">
        <v>1</v>
      </c>
      <c r="N173" s="2">
        <v>100</v>
      </c>
      <c r="O173" s="2">
        <v>0</v>
      </c>
      <c r="P173" s="2">
        <v>15</v>
      </c>
      <c r="Q173" s="2">
        <v>0</v>
      </c>
      <c r="R173" s="2">
        <v>36</v>
      </c>
      <c r="S173" s="2">
        <v>-5500</v>
      </c>
      <c r="T173" s="2">
        <v>1</v>
      </c>
      <c r="U173" s="2">
        <v>0</v>
      </c>
      <c r="V173" s="2" t="s">
        <v>110</v>
      </c>
      <c r="W173" s="2" t="s">
        <v>111</v>
      </c>
      <c r="X173" s="2" t="s">
        <v>124</v>
      </c>
      <c r="Y173" s="2">
        <v>214001011</v>
      </c>
      <c r="Z173" s="17">
        <v>0</v>
      </c>
      <c r="AA173" s="2">
        <v>1</v>
      </c>
      <c r="AB173" s="12" t="s">
        <v>83</v>
      </c>
      <c r="AC173" s="2">
        <v>15000</v>
      </c>
      <c r="AD173" s="2">
        <v>10000</v>
      </c>
      <c r="AE173" s="2">
        <v>25010001</v>
      </c>
      <c r="AF173" s="8">
        <v>40</v>
      </c>
      <c r="AG173" s="8">
        <v>0</v>
      </c>
      <c r="AH173" s="8">
        <v>0</v>
      </c>
      <c r="AI173" s="8">
        <v>0</v>
      </c>
      <c r="AJ173" s="8">
        <v>0</v>
      </c>
    </row>
    <row r="174" ht="14.25" spans="1:36">
      <c r="A174" s="3">
        <v>71108</v>
      </c>
      <c r="B174" s="3">
        <v>30</v>
      </c>
      <c r="C174" s="3" t="s">
        <v>126</v>
      </c>
      <c r="D174" s="3"/>
      <c r="F174" s="3"/>
      <c r="G174" s="3">
        <v>12</v>
      </c>
      <c r="H174" s="3">
        <v>1</v>
      </c>
      <c r="I174" s="3" t="s">
        <v>81</v>
      </c>
      <c r="J174" s="3">
        <v>0</v>
      </c>
      <c r="K174" s="3" t="s">
        <v>127</v>
      </c>
      <c r="L174" s="3">
        <v>800004011</v>
      </c>
      <c r="M174" s="3">
        <v>1</v>
      </c>
      <c r="N174" s="3">
        <v>100</v>
      </c>
      <c r="O174" s="3">
        <v>0</v>
      </c>
      <c r="P174" s="3">
        <v>15</v>
      </c>
      <c r="Q174" s="3">
        <v>0</v>
      </c>
      <c r="R174" s="15">
        <v>36</v>
      </c>
      <c r="S174" s="3">
        <v>-5500</v>
      </c>
      <c r="T174" s="3">
        <v>1</v>
      </c>
      <c r="U174" s="3">
        <v>0</v>
      </c>
      <c r="V174" s="3" t="s">
        <v>110</v>
      </c>
      <c r="W174" s="3" t="s">
        <v>111</v>
      </c>
      <c r="X174" s="3" t="s">
        <v>124</v>
      </c>
      <c r="Y174" s="16">
        <v>204001001</v>
      </c>
      <c r="Z174" s="16">
        <v>0</v>
      </c>
      <c r="AA174" s="3">
        <v>1</v>
      </c>
      <c r="AB174" s="8" t="s">
        <v>83</v>
      </c>
      <c r="AC174" s="3">
        <v>15000</v>
      </c>
      <c r="AD174" s="3">
        <v>10000</v>
      </c>
      <c r="AE174" s="3">
        <v>25010001</v>
      </c>
      <c r="AF174" s="8">
        <v>40</v>
      </c>
      <c r="AG174" s="8">
        <v>0</v>
      </c>
      <c r="AH174" s="8">
        <v>0</v>
      </c>
      <c r="AI174" s="8">
        <v>0</v>
      </c>
      <c r="AJ174" s="8">
        <v>0</v>
      </c>
    </row>
    <row r="175" ht="14.25" spans="1:36">
      <c r="A175" s="3">
        <v>71109</v>
      </c>
      <c r="B175" s="3">
        <v>30</v>
      </c>
      <c r="C175" s="3" t="s">
        <v>128</v>
      </c>
      <c r="D175" s="3"/>
      <c r="F175" s="3"/>
      <c r="G175" s="3">
        <v>12</v>
      </c>
      <c r="H175" s="3">
        <v>1</v>
      </c>
      <c r="I175" s="3" t="s">
        <v>81</v>
      </c>
      <c r="J175" s="3">
        <v>0</v>
      </c>
      <c r="K175" s="3" t="s">
        <v>129</v>
      </c>
      <c r="L175" s="3">
        <v>800004021</v>
      </c>
      <c r="M175" s="3">
        <v>1</v>
      </c>
      <c r="N175" s="3">
        <v>100</v>
      </c>
      <c r="O175" s="3">
        <v>0</v>
      </c>
      <c r="P175" s="3">
        <v>15</v>
      </c>
      <c r="Q175" s="3">
        <v>0</v>
      </c>
      <c r="R175" s="15">
        <v>36</v>
      </c>
      <c r="S175" s="3">
        <v>-5500</v>
      </c>
      <c r="T175" s="3">
        <v>1</v>
      </c>
      <c r="U175" s="3">
        <v>0</v>
      </c>
      <c r="V175" s="3" t="s">
        <v>110</v>
      </c>
      <c r="W175" s="3" t="s">
        <v>111</v>
      </c>
      <c r="X175" s="3" t="s">
        <v>124</v>
      </c>
      <c r="Y175" s="16">
        <v>204002001</v>
      </c>
      <c r="Z175" s="16">
        <v>0</v>
      </c>
      <c r="AA175" s="3">
        <v>1</v>
      </c>
      <c r="AB175" s="8" t="s">
        <v>83</v>
      </c>
      <c r="AC175" s="3">
        <v>15000</v>
      </c>
      <c r="AD175" s="3">
        <v>10000</v>
      </c>
      <c r="AE175" s="3">
        <v>25010001</v>
      </c>
      <c r="AF175" s="8">
        <v>40</v>
      </c>
      <c r="AG175" s="8">
        <v>0</v>
      </c>
      <c r="AH175" s="8">
        <v>0</v>
      </c>
      <c r="AI175" s="8">
        <v>0</v>
      </c>
      <c r="AJ175" s="8">
        <v>0</v>
      </c>
    </row>
    <row r="176" ht="14.25" spans="1:36">
      <c r="A176" s="3">
        <v>71110</v>
      </c>
      <c r="B176" s="3">
        <v>30</v>
      </c>
      <c r="C176" s="3" t="s">
        <v>130</v>
      </c>
      <c r="D176" s="3"/>
      <c r="F176" s="3"/>
      <c r="G176" s="3">
        <v>12</v>
      </c>
      <c r="H176" s="3">
        <v>1</v>
      </c>
      <c r="I176" s="3" t="s">
        <v>81</v>
      </c>
      <c r="J176" s="3">
        <v>0</v>
      </c>
      <c r="K176" s="3" t="s">
        <v>131</v>
      </c>
      <c r="L176" s="3">
        <v>800011011</v>
      </c>
      <c r="M176" s="3">
        <v>1</v>
      </c>
      <c r="N176" s="3">
        <v>100</v>
      </c>
      <c r="O176" s="3">
        <v>0</v>
      </c>
      <c r="P176" s="3">
        <v>15</v>
      </c>
      <c r="Q176" s="3">
        <v>0</v>
      </c>
      <c r="R176" s="15">
        <v>36</v>
      </c>
      <c r="S176" s="3">
        <v>-5500</v>
      </c>
      <c r="T176" s="3">
        <v>1</v>
      </c>
      <c r="U176" s="3">
        <v>0</v>
      </c>
      <c r="V176" s="3" t="s">
        <v>110</v>
      </c>
      <c r="W176" s="3" t="s">
        <v>111</v>
      </c>
      <c r="X176" s="3" t="s">
        <v>124</v>
      </c>
      <c r="Y176" s="16">
        <v>211001001</v>
      </c>
      <c r="Z176" s="16">
        <v>0</v>
      </c>
      <c r="AA176" s="3">
        <v>1</v>
      </c>
      <c r="AB176" s="8" t="s">
        <v>83</v>
      </c>
      <c r="AC176" s="3">
        <v>15000</v>
      </c>
      <c r="AD176" s="3">
        <v>10000</v>
      </c>
      <c r="AE176" s="3">
        <v>25010001</v>
      </c>
      <c r="AF176" s="8">
        <v>40</v>
      </c>
      <c r="AG176" s="8">
        <v>0</v>
      </c>
      <c r="AH176" s="8">
        <v>0</v>
      </c>
      <c r="AI176" s="8">
        <v>0</v>
      </c>
      <c r="AJ176" s="8">
        <v>0</v>
      </c>
    </row>
    <row r="177" ht="14.25" spans="1:36">
      <c r="A177" s="3">
        <v>71111</v>
      </c>
      <c r="B177" s="3">
        <v>30</v>
      </c>
      <c r="C177" s="3" t="s">
        <v>132</v>
      </c>
      <c r="D177" s="3"/>
      <c r="F177" s="3"/>
      <c r="G177" s="3">
        <v>12</v>
      </c>
      <c r="H177" s="3">
        <v>1</v>
      </c>
      <c r="I177" s="3" t="s">
        <v>81</v>
      </c>
      <c r="J177" s="3">
        <v>0</v>
      </c>
      <c r="K177" s="3" t="s">
        <v>133</v>
      </c>
      <c r="L177" s="3">
        <v>800011021</v>
      </c>
      <c r="M177" s="3">
        <v>1</v>
      </c>
      <c r="N177" s="3">
        <v>100</v>
      </c>
      <c r="O177" s="3">
        <v>0</v>
      </c>
      <c r="P177" s="3">
        <v>15</v>
      </c>
      <c r="Q177" s="3">
        <v>0</v>
      </c>
      <c r="R177" s="15">
        <v>36</v>
      </c>
      <c r="S177" s="3">
        <v>-5500</v>
      </c>
      <c r="T177" s="3">
        <v>1</v>
      </c>
      <c r="U177" s="3">
        <v>0</v>
      </c>
      <c r="V177" s="3" t="s">
        <v>110</v>
      </c>
      <c r="W177" s="3" t="s">
        <v>111</v>
      </c>
      <c r="X177" s="3" t="s">
        <v>124</v>
      </c>
      <c r="Y177" s="16">
        <v>211002001</v>
      </c>
      <c r="Z177" s="16">
        <v>0</v>
      </c>
      <c r="AA177" s="3">
        <v>1</v>
      </c>
      <c r="AB177" s="8" t="s">
        <v>83</v>
      </c>
      <c r="AC177" s="3">
        <v>15000</v>
      </c>
      <c r="AD177" s="3">
        <v>10000</v>
      </c>
      <c r="AE177" s="3">
        <v>25010001</v>
      </c>
      <c r="AF177" s="8">
        <v>40</v>
      </c>
      <c r="AG177" s="8">
        <v>0</v>
      </c>
      <c r="AH177" s="8">
        <v>0</v>
      </c>
      <c r="AI177" s="8">
        <v>0</v>
      </c>
      <c r="AJ177" s="8">
        <v>0</v>
      </c>
    </row>
    <row r="178" ht="14.25" spans="1:36">
      <c r="A178" s="3">
        <v>71112</v>
      </c>
      <c r="B178" s="3">
        <v>30</v>
      </c>
      <c r="C178" s="3" t="s">
        <v>134</v>
      </c>
      <c r="D178" s="3"/>
      <c r="F178" s="3"/>
      <c r="G178" s="3">
        <v>12</v>
      </c>
      <c r="H178" s="3">
        <v>1</v>
      </c>
      <c r="I178" s="3" t="s">
        <v>81</v>
      </c>
      <c r="J178" s="3">
        <v>0</v>
      </c>
      <c r="K178" s="3" t="s">
        <v>135</v>
      </c>
      <c r="L178" s="3">
        <v>800003011</v>
      </c>
      <c r="M178" s="3">
        <v>1</v>
      </c>
      <c r="N178" s="3">
        <v>100</v>
      </c>
      <c r="O178" s="3">
        <v>0</v>
      </c>
      <c r="P178" s="3">
        <v>15</v>
      </c>
      <c r="Q178" s="3">
        <v>0</v>
      </c>
      <c r="R178" s="15">
        <v>36</v>
      </c>
      <c r="S178" s="3">
        <v>-5500</v>
      </c>
      <c r="T178" s="3">
        <v>1</v>
      </c>
      <c r="U178" s="3">
        <v>0</v>
      </c>
      <c r="V178" s="3" t="s">
        <v>110</v>
      </c>
      <c r="W178" s="3" t="s">
        <v>111</v>
      </c>
      <c r="X178" s="3" t="s">
        <v>124</v>
      </c>
      <c r="Y178" s="16">
        <v>203001001</v>
      </c>
      <c r="Z178" s="16">
        <v>0</v>
      </c>
      <c r="AA178" s="3">
        <v>1</v>
      </c>
      <c r="AB178" s="8" t="s">
        <v>83</v>
      </c>
      <c r="AC178" s="3">
        <v>15000</v>
      </c>
      <c r="AD178" s="3">
        <v>10000</v>
      </c>
      <c r="AE178" s="3">
        <v>25010001</v>
      </c>
      <c r="AF178" s="8">
        <v>40</v>
      </c>
      <c r="AG178" s="8">
        <v>0</v>
      </c>
      <c r="AH178" s="8">
        <v>0</v>
      </c>
      <c r="AI178" s="8">
        <v>0</v>
      </c>
      <c r="AJ178" s="8">
        <v>0</v>
      </c>
    </row>
    <row r="179" ht="14.25" spans="1:36">
      <c r="A179" s="3">
        <v>71113</v>
      </c>
      <c r="B179" s="3">
        <v>30</v>
      </c>
      <c r="C179" s="3" t="s">
        <v>136</v>
      </c>
      <c r="D179" s="3"/>
      <c r="F179" s="3"/>
      <c r="G179" s="3">
        <v>12</v>
      </c>
      <c r="H179" s="3">
        <v>1</v>
      </c>
      <c r="I179" s="3" t="s">
        <v>81</v>
      </c>
      <c r="J179" s="3">
        <v>0</v>
      </c>
      <c r="K179" s="3" t="s">
        <v>137</v>
      </c>
      <c r="L179" s="3">
        <v>800003021</v>
      </c>
      <c r="M179" s="3">
        <v>1</v>
      </c>
      <c r="N179" s="3">
        <v>500</v>
      </c>
      <c r="O179" s="3">
        <v>0</v>
      </c>
      <c r="P179" s="3">
        <v>42</v>
      </c>
      <c r="Q179" s="3">
        <v>3</v>
      </c>
      <c r="R179" s="15">
        <v>1496</v>
      </c>
      <c r="S179" s="3">
        <v>-5500</v>
      </c>
      <c r="T179" s="3">
        <v>1</v>
      </c>
      <c r="U179" s="3">
        <v>30000</v>
      </c>
      <c r="V179" s="3" t="s">
        <v>110</v>
      </c>
      <c r="W179" s="3" t="s">
        <v>111</v>
      </c>
      <c r="X179" s="3" t="s">
        <v>138</v>
      </c>
      <c r="Y179" s="16">
        <v>203002011</v>
      </c>
      <c r="Z179" s="16">
        <v>0</v>
      </c>
      <c r="AA179" s="3">
        <v>1</v>
      </c>
      <c r="AB179" s="8" t="s">
        <v>139</v>
      </c>
      <c r="AC179" s="3">
        <v>15000</v>
      </c>
      <c r="AD179" s="3">
        <v>10000</v>
      </c>
      <c r="AE179" s="3">
        <v>25010001</v>
      </c>
      <c r="AF179" s="8">
        <v>40</v>
      </c>
      <c r="AG179" s="8">
        <v>1000</v>
      </c>
      <c r="AH179" s="8">
        <v>5000</v>
      </c>
      <c r="AI179" s="8">
        <v>40</v>
      </c>
      <c r="AJ179" s="8">
        <v>0</v>
      </c>
    </row>
    <row r="180" ht="14.25" spans="1:36">
      <c r="A180" s="3">
        <v>71114</v>
      </c>
      <c r="B180" s="3">
        <v>30</v>
      </c>
      <c r="C180" s="3" t="s">
        <v>140</v>
      </c>
      <c r="D180" s="3"/>
      <c r="F180" s="3"/>
      <c r="G180" s="3">
        <v>12</v>
      </c>
      <c r="H180" s="3">
        <v>1</v>
      </c>
      <c r="I180" s="3" t="s">
        <v>81</v>
      </c>
      <c r="J180" s="3">
        <v>0</v>
      </c>
      <c r="K180" s="3" t="s">
        <v>141</v>
      </c>
      <c r="L180" s="3">
        <v>800003031</v>
      </c>
      <c r="M180" s="3">
        <v>1</v>
      </c>
      <c r="N180" s="3">
        <v>100</v>
      </c>
      <c r="O180" s="3">
        <v>0</v>
      </c>
      <c r="P180" s="3">
        <v>15</v>
      </c>
      <c r="Q180" s="3">
        <v>0</v>
      </c>
      <c r="R180" s="15">
        <v>36</v>
      </c>
      <c r="S180" s="3">
        <v>-5500</v>
      </c>
      <c r="T180" s="3">
        <v>1</v>
      </c>
      <c r="U180" s="3">
        <v>0</v>
      </c>
      <c r="V180" s="3" t="s">
        <v>110</v>
      </c>
      <c r="W180" s="3" t="s">
        <v>111</v>
      </c>
      <c r="X180" s="3" t="s">
        <v>124</v>
      </c>
      <c r="Y180" s="16">
        <v>203003001</v>
      </c>
      <c r="Z180" s="16">
        <v>0</v>
      </c>
      <c r="AA180" s="3">
        <v>1</v>
      </c>
      <c r="AB180" s="8" t="s">
        <v>83</v>
      </c>
      <c r="AC180" s="3">
        <v>15000</v>
      </c>
      <c r="AD180" s="3">
        <v>10000</v>
      </c>
      <c r="AE180" s="3">
        <v>0</v>
      </c>
      <c r="AF180" s="8">
        <v>40</v>
      </c>
      <c r="AG180" s="8">
        <v>0</v>
      </c>
      <c r="AH180" s="8">
        <v>0</v>
      </c>
      <c r="AI180" s="8">
        <v>0</v>
      </c>
      <c r="AJ180" s="8">
        <v>0</v>
      </c>
    </row>
    <row r="181" spans="1:36">
      <c r="A181" s="3">
        <v>71115</v>
      </c>
      <c r="B181" s="2">
        <v>30</v>
      </c>
      <c r="C181" s="2" t="s">
        <v>142</v>
      </c>
      <c r="D181" s="2"/>
      <c r="E181" s="12"/>
      <c r="F181" s="2"/>
      <c r="G181" s="2">
        <v>12</v>
      </c>
      <c r="H181" s="2">
        <v>1</v>
      </c>
      <c r="I181" s="2" t="s">
        <v>81</v>
      </c>
      <c r="J181" s="2">
        <v>0</v>
      </c>
      <c r="K181" s="2"/>
      <c r="L181" s="2">
        <v>1000011</v>
      </c>
      <c r="M181" s="2">
        <v>1</v>
      </c>
      <c r="N181" s="2">
        <v>100</v>
      </c>
      <c r="O181" s="2">
        <v>0</v>
      </c>
      <c r="P181" s="2">
        <v>15</v>
      </c>
      <c r="Q181" s="2">
        <v>0</v>
      </c>
      <c r="R181" s="2">
        <v>36</v>
      </c>
      <c r="S181" s="2">
        <v>-5500</v>
      </c>
      <c r="T181" s="2">
        <v>1</v>
      </c>
      <c r="U181" s="2">
        <v>0</v>
      </c>
      <c r="V181" s="2" t="s">
        <v>110</v>
      </c>
      <c r="W181" s="2" t="s">
        <v>111</v>
      </c>
      <c r="X181" s="2" t="s">
        <v>124</v>
      </c>
      <c r="Y181" s="17">
        <v>201002011</v>
      </c>
      <c r="Z181" s="17">
        <v>0</v>
      </c>
      <c r="AA181" s="2">
        <v>1</v>
      </c>
      <c r="AB181" s="12" t="s">
        <v>83</v>
      </c>
      <c r="AC181" s="2">
        <v>15000</v>
      </c>
      <c r="AD181" s="2">
        <v>10000</v>
      </c>
      <c r="AE181" s="2">
        <v>0</v>
      </c>
      <c r="AF181" s="8">
        <v>40</v>
      </c>
      <c r="AG181" s="8">
        <v>0</v>
      </c>
      <c r="AH181" s="8">
        <v>0</v>
      </c>
      <c r="AI181" s="8">
        <v>0</v>
      </c>
      <c r="AJ181" s="8">
        <v>0</v>
      </c>
    </row>
    <row r="182" spans="1:36">
      <c r="A182" s="3">
        <v>72101</v>
      </c>
      <c r="B182" s="3">
        <v>30</v>
      </c>
      <c r="C182" s="3" t="s">
        <v>108</v>
      </c>
      <c r="D182" s="3"/>
      <c r="F182" s="3"/>
      <c r="G182" s="3">
        <v>12</v>
      </c>
      <c r="H182" s="3">
        <v>1</v>
      </c>
      <c r="I182" s="3" t="s">
        <v>81</v>
      </c>
      <c r="J182" s="3">
        <v>0</v>
      </c>
      <c r="K182" s="3" t="s">
        <v>109</v>
      </c>
      <c r="L182" s="3">
        <v>800001011</v>
      </c>
      <c r="M182" s="3">
        <v>1</v>
      </c>
      <c r="N182" s="3">
        <v>70</v>
      </c>
      <c r="O182" s="3">
        <v>0</v>
      </c>
      <c r="P182" s="3">
        <v>15</v>
      </c>
      <c r="Q182" s="3">
        <v>0</v>
      </c>
      <c r="R182" s="3">
        <v>20</v>
      </c>
      <c r="S182" s="3">
        <v>-5500</v>
      </c>
      <c r="T182" s="3">
        <v>1</v>
      </c>
      <c r="U182" s="3">
        <v>0</v>
      </c>
      <c r="V182" s="3" t="s">
        <v>110</v>
      </c>
      <c r="W182" s="3" t="s">
        <v>111</v>
      </c>
      <c r="X182" s="3" t="s">
        <v>112</v>
      </c>
      <c r="Y182" s="16">
        <v>201001011</v>
      </c>
      <c r="Z182" s="16">
        <v>0</v>
      </c>
      <c r="AA182" s="3">
        <v>1</v>
      </c>
      <c r="AB182" s="8" t="s">
        <v>113</v>
      </c>
      <c r="AC182" s="3">
        <v>15000</v>
      </c>
      <c r="AD182" s="3">
        <v>10000</v>
      </c>
      <c r="AE182" s="3">
        <v>25010001</v>
      </c>
      <c r="AF182" s="8">
        <v>40</v>
      </c>
      <c r="AG182" s="8">
        <v>10000</v>
      </c>
      <c r="AH182" s="8">
        <v>10000</v>
      </c>
      <c r="AI182" s="8">
        <v>50</v>
      </c>
      <c r="AJ182" s="8">
        <v>0</v>
      </c>
    </row>
    <row r="183" spans="1:36">
      <c r="A183" s="3">
        <v>72102</v>
      </c>
      <c r="B183" s="3">
        <v>30</v>
      </c>
      <c r="C183" s="3" t="s">
        <v>114</v>
      </c>
      <c r="D183" s="3"/>
      <c r="F183" s="3"/>
      <c r="G183" s="3">
        <v>12</v>
      </c>
      <c r="H183" s="3">
        <v>1</v>
      </c>
      <c r="I183" s="3" t="s">
        <v>81</v>
      </c>
      <c r="J183" s="3">
        <v>0</v>
      </c>
      <c r="K183" s="3" t="s">
        <v>115</v>
      </c>
      <c r="L183" s="3">
        <v>800001021</v>
      </c>
      <c r="M183" s="3">
        <v>1</v>
      </c>
      <c r="N183" s="3">
        <v>200</v>
      </c>
      <c r="O183" s="3">
        <v>0</v>
      </c>
      <c r="P183" s="3">
        <v>30</v>
      </c>
      <c r="Q183" s="3">
        <v>2</v>
      </c>
      <c r="R183" s="3">
        <v>105</v>
      </c>
      <c r="S183" s="3">
        <v>-5500</v>
      </c>
      <c r="T183" s="3">
        <v>1</v>
      </c>
      <c r="U183" s="3">
        <v>0</v>
      </c>
      <c r="V183" s="3" t="s">
        <v>110</v>
      </c>
      <c r="W183" s="3" t="s">
        <v>111</v>
      </c>
      <c r="X183" s="3" t="s">
        <v>112</v>
      </c>
      <c r="Y183" s="16">
        <v>201002011</v>
      </c>
      <c r="Z183" s="16">
        <v>0</v>
      </c>
      <c r="AA183" s="3">
        <v>1</v>
      </c>
      <c r="AB183" s="8" t="s">
        <v>116</v>
      </c>
      <c r="AC183" s="3">
        <v>15000</v>
      </c>
      <c r="AD183" s="3">
        <v>10000</v>
      </c>
      <c r="AE183" s="3">
        <v>25010001</v>
      </c>
      <c r="AF183" s="8">
        <v>40</v>
      </c>
      <c r="AG183" s="8">
        <v>3000</v>
      </c>
      <c r="AH183" s="8">
        <v>10000</v>
      </c>
      <c r="AI183" s="8">
        <v>15</v>
      </c>
      <c r="AJ183" s="8">
        <v>0</v>
      </c>
    </row>
    <row r="184" spans="1:36">
      <c r="A184" s="3">
        <v>72103</v>
      </c>
      <c r="B184" s="2">
        <v>30</v>
      </c>
      <c r="C184" s="2" t="s">
        <v>117</v>
      </c>
      <c r="D184" s="2"/>
      <c r="E184" s="12"/>
      <c r="F184" s="2"/>
      <c r="G184" s="2">
        <v>12</v>
      </c>
      <c r="H184" s="2">
        <v>1</v>
      </c>
      <c r="I184" s="2" t="s">
        <v>81</v>
      </c>
      <c r="J184" s="2">
        <v>0</v>
      </c>
      <c r="K184" s="2"/>
      <c r="L184" s="2">
        <v>800001021</v>
      </c>
      <c r="M184" s="2">
        <v>1</v>
      </c>
      <c r="N184" s="2">
        <v>70</v>
      </c>
      <c r="O184" s="2">
        <v>0</v>
      </c>
      <c r="P184" s="2">
        <v>15</v>
      </c>
      <c r="Q184" s="2">
        <v>1</v>
      </c>
      <c r="R184" s="2">
        <v>300</v>
      </c>
      <c r="S184" s="2">
        <v>-5500</v>
      </c>
      <c r="T184" s="2">
        <v>1</v>
      </c>
      <c r="U184" s="2">
        <v>250</v>
      </c>
      <c r="V184" s="2" t="s">
        <v>110</v>
      </c>
      <c r="W184" s="2" t="s">
        <v>111</v>
      </c>
      <c r="X184" s="2" t="s">
        <v>112</v>
      </c>
      <c r="Y184" s="17">
        <v>201001011</v>
      </c>
      <c r="Z184" s="17">
        <v>0</v>
      </c>
      <c r="AA184" s="2">
        <v>1</v>
      </c>
      <c r="AB184" s="12" t="s">
        <v>113</v>
      </c>
      <c r="AC184" s="2">
        <v>15000</v>
      </c>
      <c r="AD184" s="2">
        <v>10000</v>
      </c>
      <c r="AE184" s="2">
        <v>25010001</v>
      </c>
      <c r="AF184" s="8">
        <v>40</v>
      </c>
      <c r="AG184" s="8">
        <v>0</v>
      </c>
      <c r="AH184" s="8">
        <v>0</v>
      </c>
      <c r="AI184" s="8">
        <v>0</v>
      </c>
      <c r="AJ184" s="8">
        <v>0</v>
      </c>
    </row>
    <row r="185" spans="1:36">
      <c r="A185" s="3">
        <v>72104</v>
      </c>
      <c r="B185" s="3">
        <v>30</v>
      </c>
      <c r="C185" s="3" t="s">
        <v>118</v>
      </c>
      <c r="D185" s="3"/>
      <c r="F185" s="3"/>
      <c r="G185" s="3">
        <v>12</v>
      </c>
      <c r="H185" s="3">
        <v>1</v>
      </c>
      <c r="I185" s="3" t="s">
        <v>81</v>
      </c>
      <c r="J185" s="3">
        <v>0</v>
      </c>
      <c r="K185" s="3" t="s">
        <v>119</v>
      </c>
      <c r="L185" s="3">
        <v>800001041</v>
      </c>
      <c r="M185" s="3">
        <v>1</v>
      </c>
      <c r="N185" s="3">
        <v>70</v>
      </c>
      <c r="O185" s="3">
        <v>0</v>
      </c>
      <c r="P185" s="3">
        <v>24</v>
      </c>
      <c r="Q185" s="3">
        <v>0</v>
      </c>
      <c r="R185" s="3">
        <v>17</v>
      </c>
      <c r="S185" s="3">
        <v>-5500</v>
      </c>
      <c r="T185" s="3">
        <v>1</v>
      </c>
      <c r="U185" s="3">
        <v>0</v>
      </c>
      <c r="V185" s="3" t="s">
        <v>110</v>
      </c>
      <c r="W185" s="3" t="s">
        <v>111</v>
      </c>
      <c r="X185" s="3" t="s">
        <v>112</v>
      </c>
      <c r="Y185" s="16">
        <v>201004011</v>
      </c>
      <c r="Z185" s="16">
        <v>0</v>
      </c>
      <c r="AA185" s="3">
        <v>1</v>
      </c>
      <c r="AB185" s="8" t="s">
        <v>113</v>
      </c>
      <c r="AC185" s="3">
        <v>15000</v>
      </c>
      <c r="AD185" s="3">
        <v>10000</v>
      </c>
      <c r="AE185" s="3">
        <v>25010001</v>
      </c>
      <c r="AF185" s="8">
        <v>40</v>
      </c>
      <c r="AG185" s="8">
        <v>10000</v>
      </c>
      <c r="AH185" s="8">
        <v>10000</v>
      </c>
      <c r="AI185" s="8">
        <v>80</v>
      </c>
      <c r="AJ185" s="8">
        <v>10</v>
      </c>
    </row>
    <row r="186" spans="1:36">
      <c r="A186" s="3">
        <v>72105</v>
      </c>
      <c r="B186" s="3">
        <v>30</v>
      </c>
      <c r="C186" s="3" t="s">
        <v>120</v>
      </c>
      <c r="D186" s="3"/>
      <c r="F186" s="3"/>
      <c r="G186" s="3">
        <v>12</v>
      </c>
      <c r="H186" s="3">
        <v>1</v>
      </c>
      <c r="I186" s="3" t="s">
        <v>81</v>
      </c>
      <c r="J186" s="3">
        <v>0</v>
      </c>
      <c r="K186" s="3" t="s">
        <v>121</v>
      </c>
      <c r="L186" s="3">
        <v>800014011</v>
      </c>
      <c r="M186" s="3">
        <v>1</v>
      </c>
      <c r="N186" s="3">
        <v>125</v>
      </c>
      <c r="O186" s="3">
        <v>0</v>
      </c>
      <c r="P186" s="3">
        <v>19</v>
      </c>
      <c r="Q186" s="3">
        <v>1</v>
      </c>
      <c r="R186" s="3">
        <v>43</v>
      </c>
      <c r="S186" s="3">
        <v>-5500</v>
      </c>
      <c r="T186" s="3">
        <v>1</v>
      </c>
      <c r="U186" s="3">
        <v>0</v>
      </c>
      <c r="V186" s="3" t="s">
        <v>110</v>
      </c>
      <c r="W186" s="3" t="s">
        <v>111</v>
      </c>
      <c r="X186" s="3" t="s">
        <v>112</v>
      </c>
      <c r="Y186" s="16">
        <v>214001011</v>
      </c>
      <c r="Z186" s="16">
        <v>0</v>
      </c>
      <c r="AA186" s="3">
        <v>1</v>
      </c>
      <c r="AB186" s="8" t="s">
        <v>122</v>
      </c>
      <c r="AC186" s="3">
        <v>15000</v>
      </c>
      <c r="AD186" s="3">
        <v>10000</v>
      </c>
      <c r="AE186" s="3">
        <v>25010001</v>
      </c>
      <c r="AF186" s="8">
        <v>40</v>
      </c>
      <c r="AG186" s="8">
        <v>10000</v>
      </c>
      <c r="AH186" s="8">
        <v>10000</v>
      </c>
      <c r="AI186" s="8">
        <v>40</v>
      </c>
      <c r="AJ186" s="8">
        <v>0</v>
      </c>
    </row>
    <row r="187" spans="1:36">
      <c r="A187" s="3">
        <v>72106</v>
      </c>
      <c r="B187" s="2">
        <v>30</v>
      </c>
      <c r="C187" s="2" t="s">
        <v>123</v>
      </c>
      <c r="D187" s="2"/>
      <c r="E187" s="12"/>
      <c r="F187" s="2"/>
      <c r="G187" s="2">
        <v>12</v>
      </c>
      <c r="H187" s="2">
        <v>1</v>
      </c>
      <c r="I187" s="2" t="s">
        <v>81</v>
      </c>
      <c r="J187" s="2">
        <v>0</v>
      </c>
      <c r="K187" s="2"/>
      <c r="L187" s="2">
        <v>1000010</v>
      </c>
      <c r="M187" s="2">
        <v>1</v>
      </c>
      <c r="N187" s="2">
        <v>100</v>
      </c>
      <c r="O187" s="2">
        <v>0</v>
      </c>
      <c r="P187" s="2">
        <v>15</v>
      </c>
      <c r="Q187" s="2">
        <v>0</v>
      </c>
      <c r="R187" s="2">
        <v>36</v>
      </c>
      <c r="S187" s="2">
        <v>-5500</v>
      </c>
      <c r="T187" s="2">
        <v>1</v>
      </c>
      <c r="U187" s="2">
        <v>0</v>
      </c>
      <c r="V187" s="2" t="s">
        <v>110</v>
      </c>
      <c r="W187" s="2" t="s">
        <v>111</v>
      </c>
      <c r="X187" s="2" t="s">
        <v>124</v>
      </c>
      <c r="Y187" s="2">
        <v>201002011</v>
      </c>
      <c r="Z187" s="17">
        <v>0</v>
      </c>
      <c r="AA187" s="2">
        <v>1</v>
      </c>
      <c r="AB187" s="12" t="s">
        <v>83</v>
      </c>
      <c r="AC187" s="2">
        <v>15000</v>
      </c>
      <c r="AD187" s="2">
        <v>10000</v>
      </c>
      <c r="AE187" s="2">
        <v>25010001</v>
      </c>
      <c r="AF187" s="8">
        <v>40</v>
      </c>
      <c r="AG187" s="8">
        <v>0</v>
      </c>
      <c r="AH187" s="8">
        <v>0</v>
      </c>
      <c r="AI187" s="8">
        <v>0</v>
      </c>
      <c r="AJ187" s="8">
        <v>0</v>
      </c>
    </row>
    <row r="188" spans="1:36">
      <c r="A188" s="3">
        <v>72107</v>
      </c>
      <c r="B188" s="2">
        <v>30</v>
      </c>
      <c r="C188" s="2" t="s">
        <v>125</v>
      </c>
      <c r="D188" s="2"/>
      <c r="E188" s="12"/>
      <c r="F188" s="2"/>
      <c r="G188" s="2">
        <v>12</v>
      </c>
      <c r="H188" s="2">
        <v>1</v>
      </c>
      <c r="I188" s="2" t="s">
        <v>81</v>
      </c>
      <c r="J188" s="2">
        <v>0</v>
      </c>
      <c r="K188" s="2" t="s">
        <v>121</v>
      </c>
      <c r="L188" s="2">
        <v>800014011</v>
      </c>
      <c r="M188" s="2">
        <v>1</v>
      </c>
      <c r="N188" s="2">
        <v>100</v>
      </c>
      <c r="O188" s="2">
        <v>0</v>
      </c>
      <c r="P188" s="2">
        <v>15</v>
      </c>
      <c r="Q188" s="2">
        <v>0</v>
      </c>
      <c r="R188" s="2">
        <v>36</v>
      </c>
      <c r="S188" s="2">
        <v>-5500</v>
      </c>
      <c r="T188" s="2">
        <v>1</v>
      </c>
      <c r="U188" s="2">
        <v>0</v>
      </c>
      <c r="V188" s="2" t="s">
        <v>110</v>
      </c>
      <c r="W188" s="2" t="s">
        <v>111</v>
      </c>
      <c r="X188" s="2" t="s">
        <v>124</v>
      </c>
      <c r="Y188" s="2">
        <v>214001011</v>
      </c>
      <c r="Z188" s="17">
        <v>0</v>
      </c>
      <c r="AA188" s="2">
        <v>1</v>
      </c>
      <c r="AB188" s="12" t="s">
        <v>83</v>
      </c>
      <c r="AC188" s="2">
        <v>15000</v>
      </c>
      <c r="AD188" s="2">
        <v>10000</v>
      </c>
      <c r="AE188" s="2">
        <v>25010001</v>
      </c>
      <c r="AF188" s="8">
        <v>40</v>
      </c>
      <c r="AG188" s="8">
        <v>0</v>
      </c>
      <c r="AH188" s="8">
        <v>0</v>
      </c>
      <c r="AI188" s="8">
        <v>0</v>
      </c>
      <c r="AJ188" s="8">
        <v>0</v>
      </c>
    </row>
    <row r="189" ht="14.25" spans="1:36">
      <c r="A189" s="3">
        <v>72108</v>
      </c>
      <c r="B189" s="3">
        <v>30</v>
      </c>
      <c r="C189" s="3" t="s">
        <v>126</v>
      </c>
      <c r="D189" s="3"/>
      <c r="F189" s="3"/>
      <c r="G189" s="3">
        <v>12</v>
      </c>
      <c r="H189" s="3">
        <v>1</v>
      </c>
      <c r="I189" s="3" t="s">
        <v>81</v>
      </c>
      <c r="J189" s="3">
        <v>0</v>
      </c>
      <c r="K189" s="3" t="s">
        <v>127</v>
      </c>
      <c r="L189" s="3">
        <v>800004011</v>
      </c>
      <c r="M189" s="3">
        <v>1</v>
      </c>
      <c r="N189" s="3">
        <v>100</v>
      </c>
      <c r="O189" s="3">
        <v>0</v>
      </c>
      <c r="P189" s="3">
        <v>15</v>
      </c>
      <c r="Q189" s="3">
        <v>0</v>
      </c>
      <c r="R189" s="15">
        <v>36</v>
      </c>
      <c r="S189" s="3">
        <v>-5500</v>
      </c>
      <c r="T189" s="3">
        <v>1</v>
      </c>
      <c r="U189" s="3">
        <v>0</v>
      </c>
      <c r="V189" s="3" t="s">
        <v>110</v>
      </c>
      <c r="W189" s="3" t="s">
        <v>111</v>
      </c>
      <c r="X189" s="3" t="s">
        <v>124</v>
      </c>
      <c r="Y189" s="16">
        <v>204001001</v>
      </c>
      <c r="Z189" s="16">
        <v>0</v>
      </c>
      <c r="AA189" s="3">
        <v>1</v>
      </c>
      <c r="AB189" s="8" t="s">
        <v>83</v>
      </c>
      <c r="AC189" s="3">
        <v>15000</v>
      </c>
      <c r="AD189" s="3">
        <v>10000</v>
      </c>
      <c r="AE189" s="3">
        <v>25010001</v>
      </c>
      <c r="AF189" s="8">
        <v>40</v>
      </c>
      <c r="AG189" s="8">
        <v>0</v>
      </c>
      <c r="AH189" s="8">
        <v>0</v>
      </c>
      <c r="AI189" s="8">
        <v>0</v>
      </c>
      <c r="AJ189" s="8">
        <v>0</v>
      </c>
    </row>
    <row r="190" ht="14.25" spans="1:36">
      <c r="A190" s="3">
        <v>72109</v>
      </c>
      <c r="B190" s="3">
        <v>30</v>
      </c>
      <c r="C190" s="3" t="s">
        <v>128</v>
      </c>
      <c r="D190" s="3"/>
      <c r="F190" s="3"/>
      <c r="G190" s="3">
        <v>12</v>
      </c>
      <c r="H190" s="3">
        <v>1</v>
      </c>
      <c r="I190" s="3" t="s">
        <v>81</v>
      </c>
      <c r="J190" s="3">
        <v>0</v>
      </c>
      <c r="K190" s="3" t="s">
        <v>129</v>
      </c>
      <c r="L190" s="3">
        <v>800004021</v>
      </c>
      <c r="M190" s="3">
        <v>1</v>
      </c>
      <c r="N190" s="3">
        <v>100</v>
      </c>
      <c r="O190" s="3">
        <v>0</v>
      </c>
      <c r="P190" s="3">
        <v>15</v>
      </c>
      <c r="Q190" s="3">
        <v>0</v>
      </c>
      <c r="R190" s="15">
        <v>36</v>
      </c>
      <c r="S190" s="3">
        <v>-5500</v>
      </c>
      <c r="T190" s="3">
        <v>1</v>
      </c>
      <c r="U190" s="3">
        <v>0</v>
      </c>
      <c r="V190" s="3" t="s">
        <v>110</v>
      </c>
      <c r="W190" s="3" t="s">
        <v>111</v>
      </c>
      <c r="X190" s="3" t="s">
        <v>124</v>
      </c>
      <c r="Y190" s="16">
        <v>204002001</v>
      </c>
      <c r="Z190" s="16">
        <v>0</v>
      </c>
      <c r="AA190" s="3">
        <v>1</v>
      </c>
      <c r="AB190" s="8" t="s">
        <v>83</v>
      </c>
      <c r="AC190" s="3">
        <v>15000</v>
      </c>
      <c r="AD190" s="3">
        <v>10000</v>
      </c>
      <c r="AE190" s="3">
        <v>25010001</v>
      </c>
      <c r="AF190" s="8">
        <v>40</v>
      </c>
      <c r="AG190" s="8">
        <v>0</v>
      </c>
      <c r="AH190" s="8">
        <v>0</v>
      </c>
      <c r="AI190" s="8">
        <v>0</v>
      </c>
      <c r="AJ190" s="8">
        <v>0</v>
      </c>
    </row>
    <row r="191" ht="14.25" spans="1:36">
      <c r="A191" s="3">
        <v>72110</v>
      </c>
      <c r="B191" s="3">
        <v>30</v>
      </c>
      <c r="C191" s="3" t="s">
        <v>130</v>
      </c>
      <c r="D191" s="3"/>
      <c r="F191" s="3"/>
      <c r="G191" s="3">
        <v>12</v>
      </c>
      <c r="H191" s="3">
        <v>1</v>
      </c>
      <c r="I191" s="3" t="s">
        <v>81</v>
      </c>
      <c r="J191" s="3">
        <v>0</v>
      </c>
      <c r="K191" s="3" t="s">
        <v>131</v>
      </c>
      <c r="L191" s="3">
        <v>800011011</v>
      </c>
      <c r="M191" s="3">
        <v>1</v>
      </c>
      <c r="N191" s="3">
        <v>100</v>
      </c>
      <c r="O191" s="3">
        <v>0</v>
      </c>
      <c r="P191" s="3">
        <v>15</v>
      </c>
      <c r="Q191" s="3">
        <v>0</v>
      </c>
      <c r="R191" s="15">
        <v>36</v>
      </c>
      <c r="S191" s="3">
        <v>-5500</v>
      </c>
      <c r="T191" s="3">
        <v>1</v>
      </c>
      <c r="U191" s="3">
        <v>0</v>
      </c>
      <c r="V191" s="3" t="s">
        <v>110</v>
      </c>
      <c r="W191" s="3" t="s">
        <v>111</v>
      </c>
      <c r="X191" s="3" t="s">
        <v>124</v>
      </c>
      <c r="Y191" s="16">
        <v>211001001</v>
      </c>
      <c r="Z191" s="16">
        <v>0</v>
      </c>
      <c r="AA191" s="3">
        <v>1</v>
      </c>
      <c r="AB191" s="8" t="s">
        <v>83</v>
      </c>
      <c r="AC191" s="3">
        <v>15000</v>
      </c>
      <c r="AD191" s="3">
        <v>10000</v>
      </c>
      <c r="AE191" s="3">
        <v>25010001</v>
      </c>
      <c r="AF191" s="8">
        <v>40</v>
      </c>
      <c r="AG191" s="8">
        <v>0</v>
      </c>
      <c r="AH191" s="8">
        <v>0</v>
      </c>
      <c r="AI191" s="8">
        <v>0</v>
      </c>
      <c r="AJ191" s="8">
        <v>0</v>
      </c>
    </row>
    <row r="192" ht="14.25" spans="1:36">
      <c r="A192" s="3">
        <v>72111</v>
      </c>
      <c r="B192" s="3">
        <v>30</v>
      </c>
      <c r="C192" s="3" t="s">
        <v>132</v>
      </c>
      <c r="D192" s="3"/>
      <c r="F192" s="3"/>
      <c r="G192" s="3">
        <v>12</v>
      </c>
      <c r="H192" s="3">
        <v>1</v>
      </c>
      <c r="I192" s="3" t="s">
        <v>81</v>
      </c>
      <c r="J192" s="3">
        <v>0</v>
      </c>
      <c r="K192" s="3" t="s">
        <v>133</v>
      </c>
      <c r="L192" s="3">
        <v>800011021</v>
      </c>
      <c r="M192" s="3">
        <v>1</v>
      </c>
      <c r="N192" s="3">
        <v>100</v>
      </c>
      <c r="O192" s="3">
        <v>0</v>
      </c>
      <c r="P192" s="3">
        <v>15</v>
      </c>
      <c r="Q192" s="3">
        <v>0</v>
      </c>
      <c r="R192" s="15">
        <v>36</v>
      </c>
      <c r="S192" s="3">
        <v>-5500</v>
      </c>
      <c r="T192" s="3">
        <v>1</v>
      </c>
      <c r="U192" s="3">
        <v>0</v>
      </c>
      <c r="V192" s="3" t="s">
        <v>110</v>
      </c>
      <c r="W192" s="3" t="s">
        <v>111</v>
      </c>
      <c r="X192" s="3" t="s">
        <v>124</v>
      </c>
      <c r="Y192" s="16">
        <v>211002001</v>
      </c>
      <c r="Z192" s="16">
        <v>0</v>
      </c>
      <c r="AA192" s="3">
        <v>1</v>
      </c>
      <c r="AB192" s="8" t="s">
        <v>83</v>
      </c>
      <c r="AC192" s="3">
        <v>15000</v>
      </c>
      <c r="AD192" s="3">
        <v>10000</v>
      </c>
      <c r="AE192" s="3">
        <v>25010001</v>
      </c>
      <c r="AF192" s="8">
        <v>40</v>
      </c>
      <c r="AG192" s="8">
        <v>0</v>
      </c>
      <c r="AH192" s="8">
        <v>0</v>
      </c>
      <c r="AI192" s="8">
        <v>0</v>
      </c>
      <c r="AJ192" s="8">
        <v>0</v>
      </c>
    </row>
    <row r="193" ht="14.25" spans="1:36">
      <c r="A193" s="3">
        <v>72112</v>
      </c>
      <c r="B193" s="3">
        <v>30</v>
      </c>
      <c r="C193" s="3" t="s">
        <v>134</v>
      </c>
      <c r="D193" s="3"/>
      <c r="F193" s="3"/>
      <c r="G193" s="3">
        <v>12</v>
      </c>
      <c r="H193" s="3">
        <v>1</v>
      </c>
      <c r="I193" s="3" t="s">
        <v>81</v>
      </c>
      <c r="J193" s="3">
        <v>0</v>
      </c>
      <c r="K193" s="3" t="s">
        <v>135</v>
      </c>
      <c r="L193" s="3">
        <v>800003011</v>
      </c>
      <c r="M193" s="3">
        <v>1</v>
      </c>
      <c r="N193" s="3">
        <v>100</v>
      </c>
      <c r="O193" s="3">
        <v>0</v>
      </c>
      <c r="P193" s="3">
        <v>15</v>
      </c>
      <c r="Q193" s="3">
        <v>0</v>
      </c>
      <c r="R193" s="15">
        <v>36</v>
      </c>
      <c r="S193" s="3">
        <v>-5500</v>
      </c>
      <c r="T193" s="3">
        <v>1</v>
      </c>
      <c r="U193" s="3">
        <v>0</v>
      </c>
      <c r="V193" s="3" t="s">
        <v>110</v>
      </c>
      <c r="W193" s="3" t="s">
        <v>111</v>
      </c>
      <c r="X193" s="3" t="s">
        <v>124</v>
      </c>
      <c r="Y193" s="16">
        <v>203001001</v>
      </c>
      <c r="Z193" s="16">
        <v>0</v>
      </c>
      <c r="AA193" s="3">
        <v>1</v>
      </c>
      <c r="AB193" s="8" t="s">
        <v>83</v>
      </c>
      <c r="AC193" s="3">
        <v>15000</v>
      </c>
      <c r="AD193" s="3">
        <v>10000</v>
      </c>
      <c r="AE193" s="3">
        <v>25010001</v>
      </c>
      <c r="AF193" s="8">
        <v>40</v>
      </c>
      <c r="AG193" s="8">
        <v>0</v>
      </c>
      <c r="AH193" s="8">
        <v>0</v>
      </c>
      <c r="AI193" s="8">
        <v>0</v>
      </c>
      <c r="AJ193" s="8">
        <v>0</v>
      </c>
    </row>
    <row r="194" ht="14.25" spans="1:36">
      <c r="A194" s="3">
        <v>72113</v>
      </c>
      <c r="B194" s="3">
        <v>30</v>
      </c>
      <c r="C194" s="3" t="s">
        <v>136</v>
      </c>
      <c r="D194" s="3"/>
      <c r="F194" s="3"/>
      <c r="G194" s="3">
        <v>12</v>
      </c>
      <c r="H194" s="3">
        <v>1</v>
      </c>
      <c r="I194" s="3" t="s">
        <v>81</v>
      </c>
      <c r="J194" s="3">
        <v>0</v>
      </c>
      <c r="K194" s="3" t="s">
        <v>137</v>
      </c>
      <c r="L194" s="3">
        <v>800003021</v>
      </c>
      <c r="M194" s="3">
        <v>1</v>
      </c>
      <c r="N194" s="3">
        <v>500</v>
      </c>
      <c r="O194" s="3">
        <v>0</v>
      </c>
      <c r="P194" s="3">
        <v>42</v>
      </c>
      <c r="Q194" s="3">
        <v>3</v>
      </c>
      <c r="R194" s="15">
        <v>1496</v>
      </c>
      <c r="S194" s="3">
        <v>-5500</v>
      </c>
      <c r="T194" s="3">
        <v>1</v>
      </c>
      <c r="U194" s="3">
        <v>30000</v>
      </c>
      <c r="V194" s="3" t="s">
        <v>110</v>
      </c>
      <c r="W194" s="3" t="s">
        <v>111</v>
      </c>
      <c r="X194" s="3" t="s">
        <v>138</v>
      </c>
      <c r="Y194" s="16">
        <v>203002011</v>
      </c>
      <c r="Z194" s="16">
        <v>0</v>
      </c>
      <c r="AA194" s="3">
        <v>1</v>
      </c>
      <c r="AB194" s="8" t="s">
        <v>139</v>
      </c>
      <c r="AC194" s="3">
        <v>15000</v>
      </c>
      <c r="AD194" s="3">
        <v>10000</v>
      </c>
      <c r="AE194" s="3">
        <v>25010001</v>
      </c>
      <c r="AF194" s="8">
        <v>40</v>
      </c>
      <c r="AG194" s="8">
        <v>1000</v>
      </c>
      <c r="AH194" s="8">
        <v>5000</v>
      </c>
      <c r="AI194" s="8">
        <v>40</v>
      </c>
      <c r="AJ194" s="8">
        <v>0</v>
      </c>
    </row>
    <row r="195" ht="14.25" spans="1:36">
      <c r="A195" s="3">
        <v>72114</v>
      </c>
      <c r="B195" s="3">
        <v>30</v>
      </c>
      <c r="C195" s="3" t="s">
        <v>140</v>
      </c>
      <c r="D195" s="3"/>
      <c r="F195" s="3"/>
      <c r="G195" s="3">
        <v>12</v>
      </c>
      <c r="H195" s="3">
        <v>1</v>
      </c>
      <c r="I195" s="3" t="s">
        <v>81</v>
      </c>
      <c r="J195" s="3">
        <v>0</v>
      </c>
      <c r="K195" s="3" t="s">
        <v>141</v>
      </c>
      <c r="L195" s="3">
        <v>800003031</v>
      </c>
      <c r="M195" s="3">
        <v>1</v>
      </c>
      <c r="N195" s="3">
        <v>100</v>
      </c>
      <c r="O195" s="3">
        <v>0</v>
      </c>
      <c r="P195" s="3">
        <v>15</v>
      </c>
      <c r="Q195" s="3">
        <v>0</v>
      </c>
      <c r="R195" s="15">
        <v>36</v>
      </c>
      <c r="S195" s="3">
        <v>-5500</v>
      </c>
      <c r="T195" s="3">
        <v>1</v>
      </c>
      <c r="U195" s="3">
        <v>0</v>
      </c>
      <c r="V195" s="3" t="s">
        <v>110</v>
      </c>
      <c r="W195" s="3" t="s">
        <v>111</v>
      </c>
      <c r="X195" s="3" t="s">
        <v>124</v>
      </c>
      <c r="Y195" s="16">
        <v>203003001</v>
      </c>
      <c r="Z195" s="16">
        <v>0</v>
      </c>
      <c r="AA195" s="3">
        <v>1</v>
      </c>
      <c r="AB195" s="8" t="s">
        <v>83</v>
      </c>
      <c r="AC195" s="3">
        <v>15000</v>
      </c>
      <c r="AD195" s="3">
        <v>10000</v>
      </c>
      <c r="AE195" s="3">
        <v>0</v>
      </c>
      <c r="AF195" s="8">
        <v>40</v>
      </c>
      <c r="AG195" s="8">
        <v>0</v>
      </c>
      <c r="AH195" s="8">
        <v>0</v>
      </c>
      <c r="AI195" s="8">
        <v>0</v>
      </c>
      <c r="AJ195" s="8">
        <v>0</v>
      </c>
    </row>
    <row r="196" spans="1:36">
      <c r="A196" s="3">
        <v>72115</v>
      </c>
      <c r="B196" s="2">
        <v>30</v>
      </c>
      <c r="C196" s="2" t="s">
        <v>142</v>
      </c>
      <c r="D196" s="2"/>
      <c r="E196" s="12"/>
      <c r="F196" s="2"/>
      <c r="G196" s="2">
        <v>12</v>
      </c>
      <c r="H196" s="2">
        <v>1</v>
      </c>
      <c r="I196" s="2" t="s">
        <v>81</v>
      </c>
      <c r="J196" s="2">
        <v>0</v>
      </c>
      <c r="K196" s="2"/>
      <c r="L196" s="2">
        <v>1000011</v>
      </c>
      <c r="M196" s="2">
        <v>1</v>
      </c>
      <c r="N196" s="2">
        <v>100</v>
      </c>
      <c r="O196" s="2">
        <v>0</v>
      </c>
      <c r="P196" s="2">
        <v>15</v>
      </c>
      <c r="Q196" s="2">
        <v>0</v>
      </c>
      <c r="R196" s="2">
        <v>36</v>
      </c>
      <c r="S196" s="2">
        <v>-5500</v>
      </c>
      <c r="T196" s="2">
        <v>1</v>
      </c>
      <c r="U196" s="2">
        <v>0</v>
      </c>
      <c r="V196" s="2" t="s">
        <v>110</v>
      </c>
      <c r="W196" s="2" t="s">
        <v>111</v>
      </c>
      <c r="X196" s="2" t="s">
        <v>124</v>
      </c>
      <c r="Y196" s="17">
        <v>201002011</v>
      </c>
      <c r="Z196" s="17">
        <v>0</v>
      </c>
      <c r="AA196" s="2">
        <v>1</v>
      </c>
      <c r="AB196" s="12" t="s">
        <v>83</v>
      </c>
      <c r="AC196" s="2">
        <v>15000</v>
      </c>
      <c r="AD196" s="2">
        <v>10000</v>
      </c>
      <c r="AE196" s="2">
        <v>0</v>
      </c>
      <c r="AF196" s="8">
        <v>40</v>
      </c>
      <c r="AG196" s="8">
        <v>0</v>
      </c>
      <c r="AH196" s="8">
        <v>0</v>
      </c>
      <c r="AI196" s="8">
        <v>0</v>
      </c>
      <c r="AJ196" s="8">
        <v>0</v>
      </c>
    </row>
    <row r="197" spans="1:36">
      <c r="A197" s="3">
        <v>121101</v>
      </c>
      <c r="B197" s="3">
        <v>12</v>
      </c>
      <c r="C197" s="3" t="s">
        <v>108</v>
      </c>
      <c r="D197" s="3"/>
      <c r="F197" s="3"/>
      <c r="G197" s="3">
        <v>12</v>
      </c>
      <c r="H197" s="3">
        <v>1</v>
      </c>
      <c r="I197" s="3" t="s">
        <v>81</v>
      </c>
      <c r="J197" s="3">
        <v>0</v>
      </c>
      <c r="K197" s="3" t="s">
        <v>109</v>
      </c>
      <c r="L197" s="3">
        <v>800001011</v>
      </c>
      <c r="M197" s="3">
        <v>1</v>
      </c>
      <c r="N197" s="3">
        <v>70</v>
      </c>
      <c r="O197" s="3">
        <v>0</v>
      </c>
      <c r="P197" s="3">
        <v>12</v>
      </c>
      <c r="Q197" s="3">
        <v>1</v>
      </c>
      <c r="R197" s="3">
        <v>14</v>
      </c>
      <c r="S197" s="3">
        <v>-6500</v>
      </c>
      <c r="T197" s="3">
        <v>1</v>
      </c>
      <c r="U197" s="3">
        <v>0</v>
      </c>
      <c r="V197" s="3" t="s">
        <v>110</v>
      </c>
      <c r="W197" s="3" t="s">
        <v>111</v>
      </c>
      <c r="X197" s="3" t="s">
        <v>143</v>
      </c>
      <c r="Y197" s="16">
        <v>201001011</v>
      </c>
      <c r="Z197" s="16">
        <v>0</v>
      </c>
      <c r="AA197" s="3">
        <v>1</v>
      </c>
      <c r="AB197" s="8" t="s">
        <v>113</v>
      </c>
      <c r="AC197" s="3">
        <v>10000</v>
      </c>
      <c r="AD197" s="3">
        <v>10000</v>
      </c>
      <c r="AE197" s="3">
        <v>25010001</v>
      </c>
      <c r="AF197" s="8">
        <v>40</v>
      </c>
      <c r="AG197" s="8">
        <v>10000</v>
      </c>
      <c r="AH197" s="8">
        <v>10000</v>
      </c>
      <c r="AI197" s="8">
        <v>50</v>
      </c>
      <c r="AJ197" s="8">
        <v>0</v>
      </c>
    </row>
    <row r="198" spans="1:36">
      <c r="A198" s="3">
        <v>121102</v>
      </c>
      <c r="B198" s="3">
        <v>12</v>
      </c>
      <c r="C198" s="3" t="s">
        <v>114</v>
      </c>
      <c r="D198" s="3"/>
      <c r="F198" s="3"/>
      <c r="G198" s="3">
        <v>12</v>
      </c>
      <c r="H198" s="3">
        <v>1</v>
      </c>
      <c r="I198" s="3" t="s">
        <v>81</v>
      </c>
      <c r="J198" s="3">
        <v>0</v>
      </c>
      <c r="K198" s="3" t="s">
        <v>115</v>
      </c>
      <c r="L198" s="3">
        <v>800001021</v>
      </c>
      <c r="M198" s="3">
        <v>1</v>
      </c>
      <c r="N198" s="3">
        <v>200</v>
      </c>
      <c r="O198" s="3">
        <v>0</v>
      </c>
      <c r="P198" s="3">
        <v>40</v>
      </c>
      <c r="Q198" s="3">
        <v>4</v>
      </c>
      <c r="R198" s="3">
        <v>73</v>
      </c>
      <c r="S198" s="3">
        <v>-4750</v>
      </c>
      <c r="T198" s="3">
        <v>1</v>
      </c>
      <c r="U198" s="3">
        <v>0</v>
      </c>
      <c r="V198" s="3" t="s">
        <v>110</v>
      </c>
      <c r="W198" s="3" t="s">
        <v>111</v>
      </c>
      <c r="X198" s="3" t="s">
        <v>143</v>
      </c>
      <c r="Y198" s="16">
        <v>201002011</v>
      </c>
      <c r="Z198" s="16">
        <v>0</v>
      </c>
      <c r="AA198" s="3">
        <v>1</v>
      </c>
      <c r="AB198" s="8" t="s">
        <v>116</v>
      </c>
      <c r="AC198" s="3">
        <v>10000</v>
      </c>
      <c r="AD198" s="3">
        <v>10000</v>
      </c>
      <c r="AE198" s="3">
        <v>25010001</v>
      </c>
      <c r="AF198" s="8">
        <v>40</v>
      </c>
      <c r="AG198" s="8">
        <v>3000</v>
      </c>
      <c r="AH198" s="8">
        <v>10000</v>
      </c>
      <c r="AI198" s="8">
        <v>10</v>
      </c>
      <c r="AJ198" s="8">
        <v>0</v>
      </c>
    </row>
    <row r="199" spans="1:36">
      <c r="A199" s="2">
        <v>121103</v>
      </c>
      <c r="B199" s="2">
        <v>12</v>
      </c>
      <c r="C199" s="2" t="s">
        <v>117</v>
      </c>
      <c r="D199" s="2"/>
      <c r="E199" s="12"/>
      <c r="F199" s="2"/>
      <c r="G199" s="2">
        <v>12</v>
      </c>
      <c r="H199" s="2">
        <v>1</v>
      </c>
      <c r="I199" s="2" t="s">
        <v>81</v>
      </c>
      <c r="J199" s="2">
        <v>0</v>
      </c>
      <c r="K199" s="2" t="s">
        <v>144</v>
      </c>
      <c r="L199" s="2">
        <v>800001021</v>
      </c>
      <c r="M199" s="2">
        <v>1</v>
      </c>
      <c r="N199" s="2">
        <v>70</v>
      </c>
      <c r="O199" s="2">
        <v>0</v>
      </c>
      <c r="P199" s="2">
        <v>15</v>
      </c>
      <c r="Q199" s="2">
        <v>1</v>
      </c>
      <c r="R199" s="2">
        <v>300</v>
      </c>
      <c r="S199" s="2">
        <v>-5000</v>
      </c>
      <c r="T199" s="2">
        <v>1</v>
      </c>
      <c r="U199" s="2">
        <v>250</v>
      </c>
      <c r="V199" s="2" t="s">
        <v>110</v>
      </c>
      <c r="W199" s="2" t="s">
        <v>111</v>
      </c>
      <c r="X199" s="2" t="s">
        <v>143</v>
      </c>
      <c r="Y199" s="17">
        <v>201001011</v>
      </c>
      <c r="Z199" s="17">
        <v>0</v>
      </c>
      <c r="AA199" s="2">
        <v>1</v>
      </c>
      <c r="AB199" s="12" t="s">
        <v>113</v>
      </c>
      <c r="AC199" s="2">
        <v>10000</v>
      </c>
      <c r="AD199" s="2">
        <v>10000</v>
      </c>
      <c r="AE199" s="2">
        <v>25010001</v>
      </c>
      <c r="AF199" s="8">
        <v>40</v>
      </c>
      <c r="AG199" s="8">
        <v>0</v>
      </c>
      <c r="AH199" s="8">
        <v>0</v>
      </c>
      <c r="AI199" s="8">
        <v>0</v>
      </c>
      <c r="AJ199" s="8">
        <v>0</v>
      </c>
    </row>
    <row r="200" spans="1:36">
      <c r="A200" s="3">
        <v>121104</v>
      </c>
      <c r="B200" s="3">
        <v>12</v>
      </c>
      <c r="C200" s="3" t="s">
        <v>118</v>
      </c>
      <c r="D200" s="3"/>
      <c r="F200" s="3"/>
      <c r="G200" s="3">
        <v>12</v>
      </c>
      <c r="H200" s="3">
        <v>1</v>
      </c>
      <c r="I200" s="3" t="s">
        <v>81</v>
      </c>
      <c r="J200" s="3">
        <v>0</v>
      </c>
      <c r="K200" s="3" t="s">
        <v>119</v>
      </c>
      <c r="L200" s="3">
        <v>800001041</v>
      </c>
      <c r="M200" s="3">
        <v>1</v>
      </c>
      <c r="N200" s="3">
        <v>70</v>
      </c>
      <c r="O200" s="3">
        <v>0</v>
      </c>
      <c r="P200" s="3">
        <v>6</v>
      </c>
      <c r="Q200" s="3">
        <v>1</v>
      </c>
      <c r="R200" s="3">
        <v>16</v>
      </c>
      <c r="S200" s="3">
        <v>-6500</v>
      </c>
      <c r="T200" s="3">
        <v>1</v>
      </c>
      <c r="U200" s="3">
        <v>0</v>
      </c>
      <c r="V200" s="3" t="s">
        <v>110</v>
      </c>
      <c r="W200" s="3" t="s">
        <v>111</v>
      </c>
      <c r="X200" s="3" t="s">
        <v>143</v>
      </c>
      <c r="Y200" s="16">
        <v>201004011</v>
      </c>
      <c r="Z200" s="16">
        <v>0</v>
      </c>
      <c r="AA200" s="3">
        <v>1</v>
      </c>
      <c r="AB200" s="8" t="s">
        <v>113</v>
      </c>
      <c r="AC200" s="3">
        <v>10000</v>
      </c>
      <c r="AD200" s="3">
        <v>10000</v>
      </c>
      <c r="AE200" s="3">
        <v>25010001</v>
      </c>
      <c r="AF200" s="8">
        <v>40</v>
      </c>
      <c r="AG200" s="8">
        <v>10000</v>
      </c>
      <c r="AH200" s="8">
        <v>10000</v>
      </c>
      <c r="AI200" s="8">
        <v>80</v>
      </c>
      <c r="AJ200" s="8">
        <v>10</v>
      </c>
    </row>
    <row r="201" spans="1:36">
      <c r="A201" s="3">
        <v>121105</v>
      </c>
      <c r="B201" s="3">
        <v>12</v>
      </c>
      <c r="C201" s="3" t="s">
        <v>120</v>
      </c>
      <c r="D201" s="3"/>
      <c r="F201" s="3"/>
      <c r="G201" s="3">
        <v>12</v>
      </c>
      <c r="H201" s="3">
        <v>1</v>
      </c>
      <c r="I201" s="3" t="s">
        <v>81</v>
      </c>
      <c r="J201" s="3">
        <v>0</v>
      </c>
      <c r="K201" s="3" t="s">
        <v>121</v>
      </c>
      <c r="L201" s="3">
        <v>800014011</v>
      </c>
      <c r="M201" s="3">
        <v>1</v>
      </c>
      <c r="N201" s="3">
        <v>125</v>
      </c>
      <c r="O201" s="3">
        <v>0</v>
      </c>
      <c r="P201" s="3">
        <v>13</v>
      </c>
      <c r="Q201" s="3">
        <v>1</v>
      </c>
      <c r="R201" s="3">
        <v>14</v>
      </c>
      <c r="S201" s="3">
        <v>-6500</v>
      </c>
      <c r="T201" s="3">
        <v>1</v>
      </c>
      <c r="U201" s="3">
        <v>0</v>
      </c>
      <c r="V201" s="3" t="s">
        <v>110</v>
      </c>
      <c r="W201" s="3" t="s">
        <v>111</v>
      </c>
      <c r="X201" s="3" t="s">
        <v>143</v>
      </c>
      <c r="Y201" s="16">
        <v>214001011</v>
      </c>
      <c r="Z201" s="16">
        <v>0</v>
      </c>
      <c r="AA201" s="3">
        <v>1</v>
      </c>
      <c r="AB201" s="8" t="s">
        <v>122</v>
      </c>
      <c r="AC201" s="3">
        <v>10000</v>
      </c>
      <c r="AD201" s="3">
        <v>10000</v>
      </c>
      <c r="AE201" s="3">
        <v>25010001</v>
      </c>
      <c r="AF201" s="8">
        <v>40</v>
      </c>
      <c r="AG201" s="8">
        <v>10000</v>
      </c>
      <c r="AH201" s="8">
        <v>10000</v>
      </c>
      <c r="AI201" s="8">
        <v>40</v>
      </c>
      <c r="AJ201" s="8">
        <v>0</v>
      </c>
    </row>
    <row r="202" spans="1:36">
      <c r="A202" s="2">
        <v>121106</v>
      </c>
      <c r="B202" s="2">
        <v>12</v>
      </c>
      <c r="C202" s="2" t="s">
        <v>123</v>
      </c>
      <c r="D202" s="2"/>
      <c r="E202" s="12"/>
      <c r="F202" s="2"/>
      <c r="G202" s="2">
        <v>12</v>
      </c>
      <c r="H202" s="2">
        <v>1</v>
      </c>
      <c r="I202" s="2" t="s">
        <v>81</v>
      </c>
      <c r="J202" s="2">
        <v>0</v>
      </c>
      <c r="K202" s="2" t="s">
        <v>145</v>
      </c>
      <c r="L202" s="2">
        <v>1000010</v>
      </c>
      <c r="M202" s="2">
        <v>1</v>
      </c>
      <c r="N202" s="2">
        <v>100</v>
      </c>
      <c r="O202" s="2">
        <v>0</v>
      </c>
      <c r="P202" s="2">
        <v>15</v>
      </c>
      <c r="Q202" s="2">
        <v>0</v>
      </c>
      <c r="R202" s="2">
        <v>36</v>
      </c>
      <c r="S202" s="2">
        <v>-5000</v>
      </c>
      <c r="T202" s="2">
        <v>1</v>
      </c>
      <c r="U202" s="2">
        <v>0</v>
      </c>
      <c r="V202" s="2" t="s">
        <v>110</v>
      </c>
      <c r="W202" s="2" t="s">
        <v>111</v>
      </c>
      <c r="X202" s="2" t="s">
        <v>124</v>
      </c>
      <c r="Y202" s="17">
        <v>201001011</v>
      </c>
      <c r="Z202" s="17">
        <v>0</v>
      </c>
      <c r="AA202" s="2">
        <v>1</v>
      </c>
      <c r="AB202" s="12" t="s">
        <v>83</v>
      </c>
      <c r="AC202" s="2">
        <v>10000</v>
      </c>
      <c r="AD202" s="2">
        <v>10000</v>
      </c>
      <c r="AE202" s="2">
        <v>25010001</v>
      </c>
      <c r="AF202" s="8">
        <v>40</v>
      </c>
      <c r="AG202" s="8">
        <v>0</v>
      </c>
      <c r="AH202" s="8">
        <v>0</v>
      </c>
      <c r="AI202" s="8">
        <v>0</v>
      </c>
      <c r="AJ202" s="8">
        <v>0</v>
      </c>
    </row>
    <row r="203" spans="1:36">
      <c r="A203" s="2">
        <v>121107</v>
      </c>
      <c r="B203" s="2">
        <v>12</v>
      </c>
      <c r="C203" s="2" t="s">
        <v>125</v>
      </c>
      <c r="D203" s="2"/>
      <c r="E203" s="12"/>
      <c r="F203" s="2"/>
      <c r="G203" s="2">
        <v>12</v>
      </c>
      <c r="H203" s="2">
        <v>1</v>
      </c>
      <c r="I203" s="2" t="s">
        <v>81</v>
      </c>
      <c r="J203" s="2">
        <v>0</v>
      </c>
      <c r="K203" s="2" t="s">
        <v>146</v>
      </c>
      <c r="L203" s="2">
        <v>1000006</v>
      </c>
      <c r="M203" s="2">
        <v>1</v>
      </c>
      <c r="N203" s="2">
        <v>100</v>
      </c>
      <c r="O203" s="2">
        <v>0</v>
      </c>
      <c r="P203" s="2">
        <v>15</v>
      </c>
      <c r="Q203" s="2">
        <v>0</v>
      </c>
      <c r="R203" s="2">
        <v>36</v>
      </c>
      <c r="S203" s="2">
        <v>-5000</v>
      </c>
      <c r="T203" s="2">
        <v>1</v>
      </c>
      <c r="U203" s="2">
        <v>0</v>
      </c>
      <c r="V203" s="2" t="s">
        <v>110</v>
      </c>
      <c r="W203" s="2" t="s">
        <v>111</v>
      </c>
      <c r="X203" s="2" t="s">
        <v>124</v>
      </c>
      <c r="Y203" s="17">
        <v>201001011</v>
      </c>
      <c r="Z203" s="17">
        <v>0</v>
      </c>
      <c r="AA203" s="2">
        <v>1</v>
      </c>
      <c r="AB203" s="12" t="s">
        <v>83</v>
      </c>
      <c r="AC203" s="2">
        <v>10000</v>
      </c>
      <c r="AD203" s="2">
        <v>10000</v>
      </c>
      <c r="AE203" s="2">
        <v>25010001</v>
      </c>
      <c r="AF203" s="8">
        <v>40</v>
      </c>
      <c r="AG203" s="8">
        <v>0</v>
      </c>
      <c r="AH203" s="8">
        <v>0</v>
      </c>
      <c r="AI203" s="8">
        <v>0</v>
      </c>
      <c r="AJ203" s="8">
        <v>0</v>
      </c>
    </row>
    <row r="204" spans="1:36">
      <c r="A204" s="2">
        <v>121108</v>
      </c>
      <c r="B204" s="2">
        <v>12</v>
      </c>
      <c r="C204" s="2" t="s">
        <v>126</v>
      </c>
      <c r="D204" s="2"/>
      <c r="E204" s="12"/>
      <c r="F204" s="2"/>
      <c r="G204" s="2">
        <v>12</v>
      </c>
      <c r="H204" s="2">
        <v>1</v>
      </c>
      <c r="I204" s="2" t="s">
        <v>81</v>
      </c>
      <c r="J204" s="2">
        <v>0</v>
      </c>
      <c r="K204" s="2" t="s">
        <v>146</v>
      </c>
      <c r="L204" s="2">
        <v>1000006</v>
      </c>
      <c r="M204" s="2">
        <v>1</v>
      </c>
      <c r="N204" s="2">
        <v>100</v>
      </c>
      <c r="O204" s="2">
        <v>0</v>
      </c>
      <c r="P204" s="2">
        <v>15</v>
      </c>
      <c r="Q204" s="2">
        <v>0</v>
      </c>
      <c r="R204" s="2">
        <v>36</v>
      </c>
      <c r="S204" s="2">
        <v>-5000</v>
      </c>
      <c r="T204" s="2">
        <v>1</v>
      </c>
      <c r="U204" s="2">
        <v>0</v>
      </c>
      <c r="V204" s="2" t="s">
        <v>110</v>
      </c>
      <c r="W204" s="2" t="s">
        <v>111</v>
      </c>
      <c r="X204" s="2" t="s">
        <v>124</v>
      </c>
      <c r="Y204" s="17">
        <v>201001011</v>
      </c>
      <c r="Z204" s="17">
        <v>0</v>
      </c>
      <c r="AA204" s="2">
        <v>1</v>
      </c>
      <c r="AB204" s="12" t="s">
        <v>83</v>
      </c>
      <c r="AC204" s="2">
        <v>10000</v>
      </c>
      <c r="AD204" s="2">
        <v>10000</v>
      </c>
      <c r="AE204" s="2">
        <v>25010001</v>
      </c>
      <c r="AF204" s="8">
        <v>40</v>
      </c>
      <c r="AG204" s="8">
        <v>0</v>
      </c>
      <c r="AH204" s="8">
        <v>0</v>
      </c>
      <c r="AI204" s="8">
        <v>0</v>
      </c>
      <c r="AJ204" s="8">
        <v>0</v>
      </c>
    </row>
    <row r="205" spans="1:36">
      <c r="A205" s="2">
        <v>121109</v>
      </c>
      <c r="B205" s="2">
        <v>12</v>
      </c>
      <c r="C205" s="2" t="s">
        <v>128</v>
      </c>
      <c r="D205" s="2"/>
      <c r="E205" s="12"/>
      <c r="F205" s="2"/>
      <c r="G205" s="2">
        <v>12</v>
      </c>
      <c r="H205" s="2">
        <v>1</v>
      </c>
      <c r="I205" s="2" t="s">
        <v>81</v>
      </c>
      <c r="J205" s="2">
        <v>0</v>
      </c>
      <c r="K205" s="2" t="s">
        <v>146</v>
      </c>
      <c r="L205" s="2">
        <v>1000006</v>
      </c>
      <c r="M205" s="2">
        <v>1</v>
      </c>
      <c r="N205" s="2">
        <v>100</v>
      </c>
      <c r="O205" s="2">
        <v>0</v>
      </c>
      <c r="P205" s="2">
        <v>15</v>
      </c>
      <c r="Q205" s="2">
        <v>0</v>
      </c>
      <c r="R205" s="2">
        <v>36</v>
      </c>
      <c r="S205" s="2">
        <v>-5000</v>
      </c>
      <c r="T205" s="2">
        <v>1</v>
      </c>
      <c r="U205" s="2">
        <v>0</v>
      </c>
      <c r="V205" s="2" t="s">
        <v>110</v>
      </c>
      <c r="W205" s="2" t="s">
        <v>111</v>
      </c>
      <c r="X205" s="2" t="s">
        <v>124</v>
      </c>
      <c r="Y205" s="17">
        <v>201001011</v>
      </c>
      <c r="Z205" s="17">
        <v>0</v>
      </c>
      <c r="AA205" s="2">
        <v>1</v>
      </c>
      <c r="AB205" s="12" t="s">
        <v>83</v>
      </c>
      <c r="AC205" s="2">
        <v>10000</v>
      </c>
      <c r="AD205" s="2">
        <v>10000</v>
      </c>
      <c r="AE205" s="2">
        <v>25010001</v>
      </c>
      <c r="AF205" s="8">
        <v>40</v>
      </c>
      <c r="AG205" s="8">
        <v>0</v>
      </c>
      <c r="AH205" s="8">
        <v>0</v>
      </c>
      <c r="AI205" s="8">
        <v>0</v>
      </c>
      <c r="AJ205" s="8">
        <v>0</v>
      </c>
    </row>
    <row r="206" spans="1:36">
      <c r="A206" s="2">
        <v>121110</v>
      </c>
      <c r="B206" s="2">
        <v>12</v>
      </c>
      <c r="C206" s="2" t="s">
        <v>130</v>
      </c>
      <c r="D206" s="2"/>
      <c r="E206" s="12"/>
      <c r="F206" s="2"/>
      <c r="G206" s="2">
        <v>12</v>
      </c>
      <c r="H206" s="2">
        <v>1</v>
      </c>
      <c r="I206" s="2" t="s">
        <v>81</v>
      </c>
      <c r="J206" s="2">
        <v>0</v>
      </c>
      <c r="K206" s="2" t="s">
        <v>147</v>
      </c>
      <c r="L206" s="2">
        <v>1000103</v>
      </c>
      <c r="M206" s="2">
        <v>1</v>
      </c>
      <c r="N206" s="2">
        <v>100</v>
      </c>
      <c r="O206" s="2">
        <v>0</v>
      </c>
      <c r="P206" s="2">
        <v>15</v>
      </c>
      <c r="Q206" s="2">
        <v>0</v>
      </c>
      <c r="R206" s="2">
        <v>36</v>
      </c>
      <c r="S206" s="2">
        <v>-5000</v>
      </c>
      <c r="T206" s="2">
        <v>1</v>
      </c>
      <c r="U206" s="2">
        <v>0</v>
      </c>
      <c r="V206" s="2" t="s">
        <v>110</v>
      </c>
      <c r="W206" s="2" t="s">
        <v>111</v>
      </c>
      <c r="X206" s="2" t="s">
        <v>124</v>
      </c>
      <c r="Y206" s="17">
        <v>201001011</v>
      </c>
      <c r="Z206" s="17">
        <v>0</v>
      </c>
      <c r="AA206" s="2">
        <v>1</v>
      </c>
      <c r="AB206" s="12" t="s">
        <v>83</v>
      </c>
      <c r="AC206" s="2">
        <v>10000</v>
      </c>
      <c r="AD206" s="2">
        <v>10000</v>
      </c>
      <c r="AE206" s="2">
        <v>25010001</v>
      </c>
      <c r="AF206" s="8">
        <v>40</v>
      </c>
      <c r="AG206" s="8">
        <v>0</v>
      </c>
      <c r="AH206" s="8">
        <v>0</v>
      </c>
      <c r="AI206" s="8">
        <v>0</v>
      </c>
      <c r="AJ206" s="8">
        <v>0</v>
      </c>
    </row>
    <row r="207" spans="1:36">
      <c r="A207" s="2">
        <v>121111</v>
      </c>
      <c r="B207" s="2">
        <v>12</v>
      </c>
      <c r="C207" s="2" t="s">
        <v>132</v>
      </c>
      <c r="D207" s="2"/>
      <c r="E207" s="12"/>
      <c r="F207" s="2"/>
      <c r="G207" s="2">
        <v>12</v>
      </c>
      <c r="H207" s="2">
        <v>1</v>
      </c>
      <c r="I207" s="2" t="s">
        <v>81</v>
      </c>
      <c r="J207" s="2">
        <v>0</v>
      </c>
      <c r="K207" s="2" t="s">
        <v>147</v>
      </c>
      <c r="L207" s="2">
        <v>1000103</v>
      </c>
      <c r="M207" s="2">
        <v>1</v>
      </c>
      <c r="N207" s="2">
        <v>100</v>
      </c>
      <c r="O207" s="2">
        <v>0</v>
      </c>
      <c r="P207" s="2">
        <v>15</v>
      </c>
      <c r="Q207" s="2">
        <v>0</v>
      </c>
      <c r="R207" s="2">
        <v>36</v>
      </c>
      <c r="S207" s="2">
        <v>-5000</v>
      </c>
      <c r="T207" s="2">
        <v>1</v>
      </c>
      <c r="U207" s="2">
        <v>0</v>
      </c>
      <c r="V207" s="2" t="s">
        <v>110</v>
      </c>
      <c r="W207" s="2" t="s">
        <v>111</v>
      </c>
      <c r="X207" s="2" t="s">
        <v>124</v>
      </c>
      <c r="Y207" s="17">
        <v>201001011</v>
      </c>
      <c r="Z207" s="17">
        <v>0</v>
      </c>
      <c r="AA207" s="2">
        <v>1</v>
      </c>
      <c r="AB207" s="12" t="s">
        <v>83</v>
      </c>
      <c r="AC207" s="2">
        <v>10000</v>
      </c>
      <c r="AD207" s="2">
        <v>10000</v>
      </c>
      <c r="AE207" s="2">
        <v>25010001</v>
      </c>
      <c r="AF207" s="8">
        <v>40</v>
      </c>
      <c r="AG207" s="8">
        <v>0</v>
      </c>
      <c r="AH207" s="8">
        <v>0</v>
      </c>
      <c r="AI207" s="8">
        <v>0</v>
      </c>
      <c r="AJ207" s="8">
        <v>0</v>
      </c>
    </row>
    <row r="208" spans="1:36">
      <c r="A208" s="2">
        <v>121112</v>
      </c>
      <c r="B208" s="2">
        <v>12</v>
      </c>
      <c r="C208" s="2" t="s">
        <v>134</v>
      </c>
      <c r="D208" s="2"/>
      <c r="E208" s="12"/>
      <c r="F208" s="2"/>
      <c r="G208" s="2">
        <v>12</v>
      </c>
      <c r="H208" s="2">
        <v>1</v>
      </c>
      <c r="I208" s="2" t="s">
        <v>81</v>
      </c>
      <c r="J208" s="2">
        <v>0</v>
      </c>
      <c r="K208" s="2" t="s">
        <v>147</v>
      </c>
      <c r="L208" s="2">
        <v>1000103</v>
      </c>
      <c r="M208" s="2">
        <v>1</v>
      </c>
      <c r="N208" s="2">
        <v>100</v>
      </c>
      <c r="O208" s="2">
        <v>0</v>
      </c>
      <c r="P208" s="2">
        <v>15</v>
      </c>
      <c r="Q208" s="2">
        <v>0</v>
      </c>
      <c r="R208" s="2">
        <v>36</v>
      </c>
      <c r="S208" s="2">
        <v>-5000</v>
      </c>
      <c r="T208" s="2">
        <v>1</v>
      </c>
      <c r="U208" s="2">
        <v>0</v>
      </c>
      <c r="V208" s="2" t="s">
        <v>110</v>
      </c>
      <c r="W208" s="2" t="s">
        <v>111</v>
      </c>
      <c r="X208" s="2" t="s">
        <v>124</v>
      </c>
      <c r="Y208" s="17">
        <v>201001011</v>
      </c>
      <c r="Z208" s="17">
        <v>0</v>
      </c>
      <c r="AA208" s="2">
        <v>1</v>
      </c>
      <c r="AB208" s="12" t="s">
        <v>83</v>
      </c>
      <c r="AC208" s="2">
        <v>10000</v>
      </c>
      <c r="AD208" s="2">
        <v>10000</v>
      </c>
      <c r="AE208" s="2">
        <v>25010001</v>
      </c>
      <c r="AF208" s="8">
        <v>40</v>
      </c>
      <c r="AG208" s="8">
        <v>0</v>
      </c>
      <c r="AH208" s="8">
        <v>0</v>
      </c>
      <c r="AI208" s="8">
        <v>0</v>
      </c>
      <c r="AJ208" s="8">
        <v>0</v>
      </c>
    </row>
    <row r="209" ht="14.25" spans="1:36">
      <c r="A209" s="3">
        <v>121113</v>
      </c>
      <c r="B209" s="3">
        <v>12</v>
      </c>
      <c r="C209" s="3" t="s">
        <v>136</v>
      </c>
      <c r="D209" s="3"/>
      <c r="F209" s="3"/>
      <c r="G209" s="3">
        <v>12</v>
      </c>
      <c r="H209" s="3">
        <v>4</v>
      </c>
      <c r="I209" s="3" t="s">
        <v>81</v>
      </c>
      <c r="J209" s="3">
        <v>0</v>
      </c>
      <c r="K209" s="3" t="s">
        <v>137</v>
      </c>
      <c r="L209" s="3">
        <v>800003021</v>
      </c>
      <c r="M209" s="3">
        <v>1</v>
      </c>
      <c r="N209" s="3">
        <v>500</v>
      </c>
      <c r="O209" s="3">
        <v>0</v>
      </c>
      <c r="P209" s="3">
        <v>120</v>
      </c>
      <c r="Q209" s="3">
        <v>6</v>
      </c>
      <c r="R209" s="15">
        <v>308</v>
      </c>
      <c r="S209" s="3">
        <v>-1600</v>
      </c>
      <c r="T209" s="3">
        <v>1</v>
      </c>
      <c r="U209" s="3">
        <v>30000</v>
      </c>
      <c r="V209" s="3" t="s">
        <v>110</v>
      </c>
      <c r="W209" s="3" t="s">
        <v>111</v>
      </c>
      <c r="X209" s="3" t="s">
        <v>138</v>
      </c>
      <c r="Y209" s="16">
        <v>203002011</v>
      </c>
      <c r="Z209" s="16">
        <v>0</v>
      </c>
      <c r="AA209" s="3">
        <v>1</v>
      </c>
      <c r="AB209" s="8" t="s">
        <v>139</v>
      </c>
      <c r="AC209" s="3">
        <v>10000</v>
      </c>
      <c r="AD209" s="3">
        <v>10000</v>
      </c>
      <c r="AE209" s="3">
        <v>25010001</v>
      </c>
      <c r="AF209" s="8">
        <v>40</v>
      </c>
      <c r="AG209" s="8">
        <v>1000</v>
      </c>
      <c r="AH209" s="8">
        <v>5000</v>
      </c>
      <c r="AI209" s="8">
        <v>2</v>
      </c>
      <c r="AJ209" s="8">
        <v>0</v>
      </c>
    </row>
    <row r="210" spans="1:36">
      <c r="A210" s="2">
        <v>121114</v>
      </c>
      <c r="B210" s="2">
        <v>12</v>
      </c>
      <c r="C210" s="2" t="s">
        <v>140</v>
      </c>
      <c r="D210" s="2"/>
      <c r="E210" s="12"/>
      <c r="F210" s="2"/>
      <c r="G210" s="2">
        <v>12</v>
      </c>
      <c r="H210" s="2">
        <v>1</v>
      </c>
      <c r="I210" s="2" t="s">
        <v>81</v>
      </c>
      <c r="J210" s="2">
        <v>0</v>
      </c>
      <c r="K210" s="2" t="s">
        <v>148</v>
      </c>
      <c r="L210" s="2">
        <v>1000011</v>
      </c>
      <c r="M210" s="2">
        <v>1</v>
      </c>
      <c r="N210" s="2">
        <v>100</v>
      </c>
      <c r="O210" s="2">
        <v>0</v>
      </c>
      <c r="P210" s="2">
        <v>15</v>
      </c>
      <c r="Q210" s="2">
        <v>0</v>
      </c>
      <c r="R210" s="2">
        <v>36</v>
      </c>
      <c r="S210" s="2">
        <v>-5000</v>
      </c>
      <c r="T210" s="2">
        <v>1</v>
      </c>
      <c r="U210" s="2">
        <v>0</v>
      </c>
      <c r="V210" s="2" t="s">
        <v>110</v>
      </c>
      <c r="W210" s="2" t="s">
        <v>111</v>
      </c>
      <c r="X210" s="2" t="s">
        <v>124</v>
      </c>
      <c r="Y210" s="17">
        <v>201001011</v>
      </c>
      <c r="Z210" s="17">
        <v>0</v>
      </c>
      <c r="AA210" s="2">
        <v>1</v>
      </c>
      <c r="AB210" s="12" t="s">
        <v>83</v>
      </c>
      <c r="AC210" s="2">
        <v>10000</v>
      </c>
      <c r="AD210" s="2">
        <v>10000</v>
      </c>
      <c r="AE210" s="2">
        <v>0</v>
      </c>
      <c r="AF210" s="8">
        <v>40</v>
      </c>
      <c r="AG210" s="8">
        <v>0</v>
      </c>
      <c r="AH210" s="8">
        <v>0</v>
      </c>
      <c r="AI210" s="8">
        <v>0</v>
      </c>
      <c r="AJ210" s="8">
        <v>0</v>
      </c>
    </row>
    <row r="211" spans="1:36">
      <c r="A211" s="2">
        <v>121115</v>
      </c>
      <c r="B211" s="2">
        <v>12</v>
      </c>
      <c r="C211" s="2" t="s">
        <v>142</v>
      </c>
      <c r="D211" s="2"/>
      <c r="E211" s="12"/>
      <c r="F211" s="2"/>
      <c r="G211" s="2">
        <v>12</v>
      </c>
      <c r="H211" s="2">
        <v>1</v>
      </c>
      <c r="I211" s="2" t="s">
        <v>81</v>
      </c>
      <c r="J211" s="2">
        <v>0</v>
      </c>
      <c r="K211" s="2" t="s">
        <v>148</v>
      </c>
      <c r="L211" s="2">
        <v>1000011</v>
      </c>
      <c r="M211" s="2">
        <v>1</v>
      </c>
      <c r="N211" s="2">
        <v>100</v>
      </c>
      <c r="O211" s="2">
        <v>0</v>
      </c>
      <c r="P211" s="2">
        <v>15</v>
      </c>
      <c r="Q211" s="2">
        <v>0</v>
      </c>
      <c r="R211" s="2">
        <v>36</v>
      </c>
      <c r="S211" s="2">
        <v>-5000</v>
      </c>
      <c r="T211" s="2">
        <v>1</v>
      </c>
      <c r="U211" s="2">
        <v>0</v>
      </c>
      <c r="V211" s="2" t="s">
        <v>110</v>
      </c>
      <c r="W211" s="2" t="s">
        <v>111</v>
      </c>
      <c r="X211" s="2" t="s">
        <v>124</v>
      </c>
      <c r="Y211" s="17">
        <v>201001011</v>
      </c>
      <c r="Z211" s="17">
        <v>0</v>
      </c>
      <c r="AA211" s="2">
        <v>1</v>
      </c>
      <c r="AB211" s="12" t="s">
        <v>83</v>
      </c>
      <c r="AC211" s="2">
        <v>10000</v>
      </c>
      <c r="AD211" s="2">
        <v>10000</v>
      </c>
      <c r="AE211" s="2">
        <v>0</v>
      </c>
      <c r="AF211" s="8">
        <v>40</v>
      </c>
      <c r="AG211" s="8">
        <v>0</v>
      </c>
      <c r="AH211" s="8">
        <v>0</v>
      </c>
      <c r="AI211" s="8">
        <v>0</v>
      </c>
      <c r="AJ211" s="8">
        <v>0</v>
      </c>
    </row>
    <row r="212" spans="1:36">
      <c r="A212" s="3">
        <v>999001</v>
      </c>
      <c r="B212" s="3">
        <v>1</v>
      </c>
      <c r="C212" s="3" t="s">
        <v>149</v>
      </c>
      <c r="D212" s="3"/>
      <c r="F212" s="3"/>
      <c r="G212" s="3">
        <v>1</v>
      </c>
      <c r="H212" s="3">
        <v>1</v>
      </c>
      <c r="I212" s="3" t="s">
        <v>81</v>
      </c>
      <c r="J212" s="3">
        <v>0</v>
      </c>
      <c r="K212" s="3" t="s">
        <v>119</v>
      </c>
      <c r="L212" s="3">
        <v>800001041</v>
      </c>
      <c r="M212" s="3">
        <v>1</v>
      </c>
      <c r="N212" s="3">
        <v>100</v>
      </c>
      <c r="O212" s="3">
        <v>0</v>
      </c>
      <c r="P212" s="3">
        <v>5</v>
      </c>
      <c r="Q212" s="3">
        <v>0</v>
      </c>
      <c r="R212" s="3">
        <v>10000</v>
      </c>
      <c r="S212" s="3">
        <v>-5000</v>
      </c>
      <c r="T212" s="3">
        <v>1</v>
      </c>
      <c r="U212" s="3">
        <v>100</v>
      </c>
      <c r="V212" s="3" t="s">
        <v>110</v>
      </c>
      <c r="W212" s="3" t="s">
        <v>111</v>
      </c>
      <c r="X212" s="3" t="s">
        <v>150</v>
      </c>
      <c r="Y212" s="16">
        <v>201004011</v>
      </c>
      <c r="Z212" s="16">
        <v>0</v>
      </c>
      <c r="AA212" s="3">
        <v>1</v>
      </c>
      <c r="AB212" s="8" t="s">
        <v>83</v>
      </c>
      <c r="AC212" s="3">
        <v>10000</v>
      </c>
      <c r="AD212" s="3">
        <v>10000</v>
      </c>
      <c r="AE212" s="3">
        <v>0</v>
      </c>
      <c r="AF212" s="8">
        <v>40</v>
      </c>
      <c r="AG212" s="8">
        <v>3000</v>
      </c>
      <c r="AH212" s="8">
        <v>6000</v>
      </c>
      <c r="AI212" s="8">
        <v>0</v>
      </c>
      <c r="AJ212" s="8">
        <v>0</v>
      </c>
    </row>
    <row r="213" spans="1:36">
      <c r="A213" s="3">
        <v>999002</v>
      </c>
      <c r="B213" s="3">
        <v>1</v>
      </c>
      <c r="C213" s="3" t="s">
        <v>151</v>
      </c>
      <c r="D213" s="3"/>
      <c r="F213" s="3"/>
      <c r="G213" s="3">
        <v>1</v>
      </c>
      <c r="H213" s="3">
        <v>1</v>
      </c>
      <c r="I213" s="3" t="s">
        <v>81</v>
      </c>
      <c r="J213" s="3">
        <v>0</v>
      </c>
      <c r="K213" s="3" t="s">
        <v>115</v>
      </c>
      <c r="L213" s="3">
        <v>800001021</v>
      </c>
      <c r="M213" s="3">
        <v>1</v>
      </c>
      <c r="N213" s="3">
        <v>100</v>
      </c>
      <c r="O213" s="3">
        <v>0</v>
      </c>
      <c r="P213" s="3">
        <v>5</v>
      </c>
      <c r="Q213" s="3">
        <v>0</v>
      </c>
      <c r="R213" s="3">
        <v>10000</v>
      </c>
      <c r="S213" s="3">
        <v>-5000</v>
      </c>
      <c r="T213" s="3">
        <v>1</v>
      </c>
      <c r="U213" s="3">
        <v>100</v>
      </c>
      <c r="V213" s="3" t="s">
        <v>110</v>
      </c>
      <c r="W213" s="3" t="s">
        <v>111</v>
      </c>
      <c r="X213" s="3" t="s">
        <v>150</v>
      </c>
      <c r="Y213" s="16">
        <v>201002011</v>
      </c>
      <c r="Z213" s="16">
        <v>0</v>
      </c>
      <c r="AA213" s="3">
        <v>1</v>
      </c>
      <c r="AB213" s="8" t="s">
        <v>83</v>
      </c>
      <c r="AC213" s="3">
        <v>10000</v>
      </c>
      <c r="AD213" s="3">
        <v>10000</v>
      </c>
      <c r="AE213" s="3">
        <v>0</v>
      </c>
      <c r="AF213" s="8">
        <v>40</v>
      </c>
      <c r="AG213" s="8">
        <v>3000</v>
      </c>
      <c r="AH213" s="8">
        <v>6000</v>
      </c>
      <c r="AI213" s="8">
        <v>0</v>
      </c>
      <c r="AJ213" s="8">
        <v>0</v>
      </c>
    </row>
    <row r="214" spans="1:36">
      <c r="A214" s="3">
        <v>999003</v>
      </c>
      <c r="B214" s="3">
        <v>1</v>
      </c>
      <c r="C214" s="3" t="s">
        <v>152</v>
      </c>
      <c r="D214" s="3"/>
      <c r="F214" s="3"/>
      <c r="G214" s="3">
        <v>1</v>
      </c>
      <c r="H214" s="3">
        <v>1</v>
      </c>
      <c r="I214" s="3" t="s">
        <v>81</v>
      </c>
      <c r="J214" s="3">
        <v>0</v>
      </c>
      <c r="K214" s="3" t="s">
        <v>119</v>
      </c>
      <c r="L214" s="3">
        <v>800001041</v>
      </c>
      <c r="M214" s="3">
        <v>1</v>
      </c>
      <c r="N214" s="3">
        <v>100</v>
      </c>
      <c r="O214" s="3">
        <v>0</v>
      </c>
      <c r="P214" s="3">
        <v>5</v>
      </c>
      <c r="Q214" s="3">
        <v>0</v>
      </c>
      <c r="R214" s="3">
        <v>10</v>
      </c>
      <c r="S214" s="3">
        <v>-5000</v>
      </c>
      <c r="T214" s="3">
        <v>1</v>
      </c>
      <c r="U214" s="3">
        <v>100</v>
      </c>
      <c r="V214" s="3" t="s">
        <v>110</v>
      </c>
      <c r="W214" s="3" t="s">
        <v>111</v>
      </c>
      <c r="X214" s="3" t="s">
        <v>150</v>
      </c>
      <c r="Y214" s="16">
        <v>201002011</v>
      </c>
      <c r="Z214" s="16">
        <v>0</v>
      </c>
      <c r="AA214" s="3">
        <v>1</v>
      </c>
      <c r="AB214" s="8" t="s">
        <v>83</v>
      </c>
      <c r="AC214" s="3">
        <v>10000</v>
      </c>
      <c r="AD214" s="3">
        <v>10000</v>
      </c>
      <c r="AE214" s="3">
        <v>0</v>
      </c>
      <c r="AF214" s="8">
        <v>40</v>
      </c>
      <c r="AG214" s="8">
        <v>3000</v>
      </c>
      <c r="AH214" s="8">
        <v>6000</v>
      </c>
      <c r="AI214" s="8">
        <v>0</v>
      </c>
      <c r="AJ214" s="8">
        <v>0</v>
      </c>
    </row>
    <row r="215" spans="1:36">
      <c r="A215" s="3">
        <v>999004</v>
      </c>
      <c r="B215" s="3">
        <v>1</v>
      </c>
      <c r="C215" s="3" t="s">
        <v>153</v>
      </c>
      <c r="D215" s="3"/>
      <c r="F215" s="3"/>
      <c r="G215" s="3">
        <v>1</v>
      </c>
      <c r="H215" s="3">
        <v>1</v>
      </c>
      <c r="I215" s="3" t="s">
        <v>81</v>
      </c>
      <c r="J215" s="3">
        <v>0</v>
      </c>
      <c r="K215" s="3" t="s">
        <v>115</v>
      </c>
      <c r="L215" s="3">
        <v>800001021</v>
      </c>
      <c r="M215" s="3">
        <v>1</v>
      </c>
      <c r="N215" s="3">
        <v>100</v>
      </c>
      <c r="O215" s="3">
        <v>0</v>
      </c>
      <c r="P215" s="3">
        <v>5</v>
      </c>
      <c r="Q215" s="3">
        <v>0</v>
      </c>
      <c r="R215" s="3">
        <v>10</v>
      </c>
      <c r="S215" s="3">
        <v>-5000</v>
      </c>
      <c r="T215" s="3">
        <v>1</v>
      </c>
      <c r="U215" s="3">
        <v>100</v>
      </c>
      <c r="V215" s="3" t="s">
        <v>110</v>
      </c>
      <c r="W215" s="3" t="s">
        <v>111</v>
      </c>
      <c r="X215" s="3" t="s">
        <v>150</v>
      </c>
      <c r="Y215" s="16">
        <v>201002011</v>
      </c>
      <c r="Z215" s="16">
        <v>0</v>
      </c>
      <c r="AA215" s="3">
        <v>1</v>
      </c>
      <c r="AB215" s="8" t="s">
        <v>83</v>
      </c>
      <c r="AC215" s="3">
        <v>10000</v>
      </c>
      <c r="AD215" s="3">
        <v>10000</v>
      </c>
      <c r="AE215" s="3">
        <v>0</v>
      </c>
      <c r="AF215" s="8">
        <v>40</v>
      </c>
      <c r="AG215" s="8">
        <v>3000</v>
      </c>
      <c r="AH215" s="8">
        <v>6000</v>
      </c>
      <c r="AI215" s="8">
        <v>0</v>
      </c>
      <c r="AJ215" s="8">
        <v>0</v>
      </c>
    </row>
    <row r="216" ht="14.25" spans="1:36">
      <c r="A216" s="18">
        <v>9999001</v>
      </c>
      <c r="B216" s="18">
        <v>21</v>
      </c>
      <c r="C216" s="18" t="s">
        <v>154</v>
      </c>
      <c r="D216" s="18"/>
      <c r="E216" s="18"/>
      <c r="F216" s="18"/>
      <c r="G216" s="18">
        <v>12</v>
      </c>
      <c r="H216" s="3">
        <v>1</v>
      </c>
      <c r="I216" s="3" t="s">
        <v>81</v>
      </c>
      <c r="J216" s="18">
        <v>0</v>
      </c>
      <c r="K216" s="18" t="s">
        <v>109</v>
      </c>
      <c r="L216" s="18">
        <v>800001011</v>
      </c>
      <c r="M216" s="18">
        <v>1</v>
      </c>
      <c r="N216" s="18">
        <v>70</v>
      </c>
      <c r="O216" s="18">
        <v>0</v>
      </c>
      <c r="P216" s="18">
        <v>7</v>
      </c>
      <c r="Q216" s="18">
        <v>0</v>
      </c>
      <c r="R216" s="18">
        <v>300</v>
      </c>
      <c r="S216" s="18">
        <v>-5000</v>
      </c>
      <c r="T216" s="18">
        <v>1</v>
      </c>
      <c r="U216" s="18">
        <v>0</v>
      </c>
      <c r="V216" s="18" t="s">
        <v>110</v>
      </c>
      <c r="W216" s="18" t="s">
        <v>111</v>
      </c>
      <c r="X216" s="18" t="s">
        <v>143</v>
      </c>
      <c r="Y216" s="19">
        <v>201001011</v>
      </c>
      <c r="Z216" s="19">
        <v>0</v>
      </c>
      <c r="AA216" s="18">
        <v>1</v>
      </c>
      <c r="AB216" s="18" t="s">
        <v>113</v>
      </c>
      <c r="AC216" s="18">
        <v>10000</v>
      </c>
      <c r="AD216" s="18">
        <v>10000</v>
      </c>
      <c r="AE216" s="18">
        <v>25010001</v>
      </c>
      <c r="AF216" s="18">
        <v>40</v>
      </c>
      <c r="AG216" s="18">
        <v>10000</v>
      </c>
      <c r="AH216" s="18">
        <v>10000</v>
      </c>
      <c r="AI216" s="18">
        <v>50</v>
      </c>
      <c r="AJ216" s="18">
        <v>0</v>
      </c>
    </row>
    <row r="217" ht="14.25" spans="1:36">
      <c r="A217" s="18">
        <v>9999002</v>
      </c>
      <c r="B217" s="18">
        <v>21</v>
      </c>
      <c r="C217" s="18" t="s">
        <v>155</v>
      </c>
      <c r="D217" s="18"/>
      <c r="E217" s="18"/>
      <c r="F217" s="18"/>
      <c r="G217" s="18">
        <v>12</v>
      </c>
      <c r="H217" s="3">
        <v>1</v>
      </c>
      <c r="I217" s="3" t="s">
        <v>81</v>
      </c>
      <c r="J217" s="18">
        <v>0</v>
      </c>
      <c r="K217" s="18" t="s">
        <v>115</v>
      </c>
      <c r="L217" s="18">
        <v>800001021</v>
      </c>
      <c r="M217" s="18">
        <v>1</v>
      </c>
      <c r="N217" s="18">
        <v>200</v>
      </c>
      <c r="O217" s="18">
        <v>0</v>
      </c>
      <c r="P217" s="18">
        <v>15</v>
      </c>
      <c r="Q217" s="18">
        <v>2</v>
      </c>
      <c r="R217" s="18">
        <v>300</v>
      </c>
      <c r="S217" s="18">
        <v>-5000</v>
      </c>
      <c r="T217" s="18">
        <v>1</v>
      </c>
      <c r="U217" s="18">
        <v>250</v>
      </c>
      <c r="V217" s="18" t="s">
        <v>110</v>
      </c>
      <c r="W217" s="18" t="s">
        <v>111</v>
      </c>
      <c r="X217" s="18" t="s">
        <v>143</v>
      </c>
      <c r="Y217" s="19">
        <v>201002011</v>
      </c>
      <c r="Z217" s="19">
        <v>0</v>
      </c>
      <c r="AA217" s="18">
        <v>1</v>
      </c>
      <c r="AB217" s="18" t="s">
        <v>116</v>
      </c>
      <c r="AC217" s="18">
        <v>10000</v>
      </c>
      <c r="AD217" s="18">
        <v>10000</v>
      </c>
      <c r="AE217" s="18">
        <v>25010001</v>
      </c>
      <c r="AF217" s="18">
        <v>40</v>
      </c>
      <c r="AG217" s="18">
        <v>3000</v>
      </c>
      <c r="AH217" s="18">
        <v>10000</v>
      </c>
      <c r="AI217" s="18">
        <v>10</v>
      </c>
      <c r="AJ217" s="18">
        <v>0</v>
      </c>
    </row>
    <row r="218" ht="14.25" spans="1:36">
      <c r="A218" s="18">
        <v>9999004</v>
      </c>
      <c r="B218" s="18">
        <v>21</v>
      </c>
      <c r="C218" s="18" t="s">
        <v>156</v>
      </c>
      <c r="D218" s="18"/>
      <c r="E218" s="18"/>
      <c r="F218" s="18"/>
      <c r="G218" s="18">
        <v>12</v>
      </c>
      <c r="H218" s="3">
        <v>1</v>
      </c>
      <c r="I218" s="3" t="s">
        <v>81</v>
      </c>
      <c r="J218" s="18">
        <v>0</v>
      </c>
      <c r="K218" s="18" t="s">
        <v>119</v>
      </c>
      <c r="L218" s="18">
        <v>800001041</v>
      </c>
      <c r="M218" s="18">
        <v>1</v>
      </c>
      <c r="N218" s="18">
        <v>70</v>
      </c>
      <c r="O218" s="18">
        <v>0</v>
      </c>
      <c r="P218" s="18">
        <v>9</v>
      </c>
      <c r="Q218" s="18">
        <v>0</v>
      </c>
      <c r="R218" s="18">
        <v>300</v>
      </c>
      <c r="S218" s="18">
        <v>-5000</v>
      </c>
      <c r="T218" s="18">
        <v>1</v>
      </c>
      <c r="U218" s="18">
        <v>0</v>
      </c>
      <c r="V218" s="18" t="s">
        <v>110</v>
      </c>
      <c r="W218" s="18" t="s">
        <v>111</v>
      </c>
      <c r="X218" s="18" t="s">
        <v>143</v>
      </c>
      <c r="Y218" s="19">
        <v>201004011</v>
      </c>
      <c r="Z218" s="19">
        <v>0</v>
      </c>
      <c r="AA218" s="18">
        <v>1</v>
      </c>
      <c r="AB218" s="18" t="s">
        <v>113</v>
      </c>
      <c r="AC218" s="18">
        <v>10000</v>
      </c>
      <c r="AD218" s="18">
        <v>10000</v>
      </c>
      <c r="AE218" s="18">
        <v>25010001</v>
      </c>
      <c r="AF218" s="18">
        <v>40</v>
      </c>
      <c r="AG218" s="18">
        <v>10000</v>
      </c>
      <c r="AH218" s="18">
        <v>10000</v>
      </c>
      <c r="AI218" s="18">
        <v>80</v>
      </c>
      <c r="AJ218" s="18">
        <v>10</v>
      </c>
    </row>
    <row r="219" ht="14.25" spans="1:36">
      <c r="A219" s="18">
        <v>9999005</v>
      </c>
      <c r="B219" s="18">
        <v>21</v>
      </c>
      <c r="C219" s="18" t="s">
        <v>157</v>
      </c>
      <c r="D219" s="18"/>
      <c r="E219" s="18"/>
      <c r="F219" s="18"/>
      <c r="G219" s="18">
        <v>12</v>
      </c>
      <c r="H219" s="3">
        <v>1</v>
      </c>
      <c r="I219" s="3" t="s">
        <v>81</v>
      </c>
      <c r="J219" s="18">
        <v>0</v>
      </c>
      <c r="K219" s="18" t="s">
        <v>121</v>
      </c>
      <c r="L219" s="18">
        <v>800014011</v>
      </c>
      <c r="M219" s="18">
        <v>1</v>
      </c>
      <c r="N219" s="18">
        <v>125</v>
      </c>
      <c r="O219" s="18">
        <v>0</v>
      </c>
      <c r="P219" s="18">
        <v>8</v>
      </c>
      <c r="Q219" s="18">
        <v>1</v>
      </c>
      <c r="R219" s="18">
        <v>300</v>
      </c>
      <c r="S219" s="18">
        <v>-5000</v>
      </c>
      <c r="T219" s="18">
        <v>1</v>
      </c>
      <c r="U219" s="18">
        <v>0</v>
      </c>
      <c r="V219" s="18" t="s">
        <v>110</v>
      </c>
      <c r="W219" s="18" t="s">
        <v>111</v>
      </c>
      <c r="X219" s="18" t="s">
        <v>143</v>
      </c>
      <c r="Y219" s="19">
        <v>214001011</v>
      </c>
      <c r="Z219" s="19">
        <v>0</v>
      </c>
      <c r="AA219" s="18">
        <v>1</v>
      </c>
      <c r="AB219" s="18" t="s">
        <v>122</v>
      </c>
      <c r="AC219" s="18">
        <v>10000</v>
      </c>
      <c r="AD219" s="18">
        <v>10000</v>
      </c>
      <c r="AE219" s="18">
        <v>25010001</v>
      </c>
      <c r="AF219" s="18">
        <v>40</v>
      </c>
      <c r="AG219" s="18">
        <v>10000</v>
      </c>
      <c r="AH219" s="18">
        <v>10000</v>
      </c>
      <c r="AI219" s="18">
        <v>40</v>
      </c>
      <c r="AJ219" s="18">
        <v>0</v>
      </c>
    </row>
    <row r="220" ht="14.25" spans="1:36">
      <c r="A220" s="18">
        <v>9999013</v>
      </c>
      <c r="B220" s="18">
        <v>21</v>
      </c>
      <c r="C220" s="18" t="s">
        <v>136</v>
      </c>
      <c r="D220" s="18"/>
      <c r="E220" s="18"/>
      <c r="F220" s="18"/>
      <c r="G220" s="18">
        <v>12</v>
      </c>
      <c r="H220" s="3">
        <v>1</v>
      </c>
      <c r="I220" s="3" t="s">
        <v>81</v>
      </c>
      <c r="J220" s="18">
        <v>0</v>
      </c>
      <c r="K220" s="18" t="s">
        <v>158</v>
      </c>
      <c r="L220" s="18">
        <v>800003021</v>
      </c>
      <c r="M220" s="18">
        <v>1</v>
      </c>
      <c r="N220" s="18">
        <v>500</v>
      </c>
      <c r="O220" s="18">
        <v>0</v>
      </c>
      <c r="P220" s="18">
        <v>30</v>
      </c>
      <c r="Q220" s="18">
        <v>4</v>
      </c>
      <c r="R220" s="18">
        <v>1760</v>
      </c>
      <c r="S220" s="18">
        <v>-5000</v>
      </c>
      <c r="T220" s="18">
        <v>1</v>
      </c>
      <c r="U220" s="18">
        <v>30000</v>
      </c>
      <c r="V220" s="18" t="s">
        <v>110</v>
      </c>
      <c r="W220" s="18" t="s">
        <v>111</v>
      </c>
      <c r="X220" s="18" t="s">
        <v>138</v>
      </c>
      <c r="Y220" s="19">
        <v>203002011</v>
      </c>
      <c r="Z220" s="19">
        <v>0</v>
      </c>
      <c r="AA220" s="18">
        <v>1</v>
      </c>
      <c r="AB220" s="18" t="s">
        <v>139</v>
      </c>
      <c r="AC220" s="18">
        <v>10000</v>
      </c>
      <c r="AD220" s="18">
        <v>10000</v>
      </c>
      <c r="AE220" s="18">
        <v>25010001</v>
      </c>
      <c r="AF220" s="18">
        <v>40</v>
      </c>
      <c r="AG220" s="18">
        <v>1000</v>
      </c>
      <c r="AH220" s="18">
        <v>5000</v>
      </c>
      <c r="AI220" s="18">
        <v>2</v>
      </c>
      <c r="AJ220" s="18">
        <v>0</v>
      </c>
    </row>
    <row r="221" spans="1:36">
      <c r="A221" s="3">
        <v>301101</v>
      </c>
      <c r="B221" s="3">
        <v>30</v>
      </c>
      <c r="C221" s="3" t="s">
        <v>108</v>
      </c>
      <c r="D221" s="3"/>
      <c r="F221" s="3"/>
      <c r="G221" s="3">
        <v>12</v>
      </c>
      <c r="H221" s="3">
        <v>1</v>
      </c>
      <c r="I221" s="3" t="s">
        <v>81</v>
      </c>
      <c r="J221" s="3">
        <v>0</v>
      </c>
      <c r="K221" s="3" t="s">
        <v>109</v>
      </c>
      <c r="L221" s="3">
        <v>800001011</v>
      </c>
      <c r="M221" s="3">
        <v>1</v>
      </c>
      <c r="N221" s="3">
        <v>70</v>
      </c>
      <c r="O221" s="3">
        <v>0</v>
      </c>
      <c r="P221" s="3">
        <v>15</v>
      </c>
      <c r="Q221" s="3">
        <v>0</v>
      </c>
      <c r="R221" s="3">
        <v>20</v>
      </c>
      <c r="S221" s="3">
        <v>-5500</v>
      </c>
      <c r="T221" s="3">
        <v>1</v>
      </c>
      <c r="U221" s="3">
        <v>0</v>
      </c>
      <c r="V221" s="3" t="s">
        <v>110</v>
      </c>
      <c r="W221" s="3" t="s">
        <v>111</v>
      </c>
      <c r="X221" s="3" t="s">
        <v>112</v>
      </c>
      <c r="Y221" s="16">
        <v>201001011</v>
      </c>
      <c r="Z221" s="16">
        <v>0</v>
      </c>
      <c r="AA221" s="3">
        <v>1</v>
      </c>
      <c r="AB221" s="8" t="s">
        <v>113</v>
      </c>
      <c r="AC221" s="3">
        <v>15000</v>
      </c>
      <c r="AD221" s="3">
        <v>10000</v>
      </c>
      <c r="AE221" s="3">
        <v>25010001</v>
      </c>
      <c r="AF221" s="8">
        <v>40</v>
      </c>
      <c r="AG221" s="8">
        <v>10000</v>
      </c>
      <c r="AH221" s="8">
        <v>10000</v>
      </c>
      <c r="AI221" s="8">
        <v>50</v>
      </c>
      <c r="AJ221" s="8">
        <v>0</v>
      </c>
    </row>
    <row r="222" spans="1:36">
      <c r="A222" s="3">
        <v>301102</v>
      </c>
      <c r="B222" s="3">
        <v>30</v>
      </c>
      <c r="C222" s="3" t="s">
        <v>114</v>
      </c>
      <c r="D222" s="3"/>
      <c r="F222" s="3"/>
      <c r="G222" s="3">
        <v>12</v>
      </c>
      <c r="H222" s="3">
        <v>1</v>
      </c>
      <c r="I222" s="3" t="s">
        <v>81</v>
      </c>
      <c r="J222" s="3">
        <v>0</v>
      </c>
      <c r="K222" s="3" t="s">
        <v>115</v>
      </c>
      <c r="L222" s="3">
        <v>800001021</v>
      </c>
      <c r="M222" s="3">
        <v>1</v>
      </c>
      <c r="N222" s="3">
        <v>200</v>
      </c>
      <c r="O222" s="3">
        <v>0</v>
      </c>
      <c r="P222" s="3">
        <v>30</v>
      </c>
      <c r="Q222" s="3">
        <v>2</v>
      </c>
      <c r="R222" s="3">
        <v>105</v>
      </c>
      <c r="S222" s="3">
        <v>-5500</v>
      </c>
      <c r="T222" s="3">
        <v>1</v>
      </c>
      <c r="U222" s="3">
        <v>0</v>
      </c>
      <c r="V222" s="3" t="s">
        <v>110</v>
      </c>
      <c r="W222" s="3" t="s">
        <v>111</v>
      </c>
      <c r="X222" s="3" t="s">
        <v>112</v>
      </c>
      <c r="Y222" s="16">
        <v>201002011</v>
      </c>
      <c r="Z222" s="16">
        <v>0</v>
      </c>
      <c r="AA222" s="3">
        <v>1</v>
      </c>
      <c r="AB222" s="8" t="s">
        <v>116</v>
      </c>
      <c r="AC222" s="3">
        <v>15000</v>
      </c>
      <c r="AD222" s="3">
        <v>10000</v>
      </c>
      <c r="AE222" s="3">
        <v>25010001</v>
      </c>
      <c r="AF222" s="8">
        <v>40</v>
      </c>
      <c r="AG222" s="8">
        <v>3000</v>
      </c>
      <c r="AH222" s="8">
        <v>10000</v>
      </c>
      <c r="AI222" s="8">
        <v>15</v>
      </c>
      <c r="AJ222" s="8">
        <v>0</v>
      </c>
    </row>
    <row r="223" spans="1:36">
      <c r="A223" s="2">
        <v>301103</v>
      </c>
      <c r="B223" s="2">
        <v>30</v>
      </c>
      <c r="C223" s="2" t="s">
        <v>117</v>
      </c>
      <c r="D223" s="2"/>
      <c r="E223" s="12"/>
      <c r="F223" s="2"/>
      <c r="G223" s="2">
        <v>12</v>
      </c>
      <c r="H223" s="2">
        <v>1</v>
      </c>
      <c r="I223" s="2" t="s">
        <v>81</v>
      </c>
      <c r="J223" s="2">
        <v>0</v>
      </c>
      <c r="K223" s="2"/>
      <c r="L223" s="2">
        <v>800001021</v>
      </c>
      <c r="M223" s="2">
        <v>1</v>
      </c>
      <c r="N223" s="2">
        <v>70</v>
      </c>
      <c r="O223" s="2">
        <v>0</v>
      </c>
      <c r="P223" s="2">
        <v>15</v>
      </c>
      <c r="Q223" s="2">
        <v>1</v>
      </c>
      <c r="R223" s="2">
        <v>300</v>
      </c>
      <c r="S223" s="2">
        <v>-5500</v>
      </c>
      <c r="T223" s="2">
        <v>1</v>
      </c>
      <c r="U223" s="2">
        <v>250</v>
      </c>
      <c r="V223" s="2" t="s">
        <v>110</v>
      </c>
      <c r="W223" s="2" t="s">
        <v>111</v>
      </c>
      <c r="X223" s="2" t="s">
        <v>112</v>
      </c>
      <c r="Y223" s="17">
        <v>201001011</v>
      </c>
      <c r="Z223" s="17">
        <v>0</v>
      </c>
      <c r="AA223" s="2">
        <v>1</v>
      </c>
      <c r="AB223" s="12" t="s">
        <v>113</v>
      </c>
      <c r="AC223" s="2">
        <v>15000</v>
      </c>
      <c r="AD223" s="2">
        <v>10000</v>
      </c>
      <c r="AE223" s="2">
        <v>25010001</v>
      </c>
      <c r="AF223" s="8">
        <v>40</v>
      </c>
      <c r="AG223" s="8">
        <v>0</v>
      </c>
      <c r="AH223" s="8">
        <v>0</v>
      </c>
      <c r="AI223" s="8">
        <v>0</v>
      </c>
      <c r="AJ223" s="8">
        <v>0</v>
      </c>
    </row>
    <row r="224" spans="1:36">
      <c r="A224" s="3">
        <v>301104</v>
      </c>
      <c r="B224" s="3">
        <v>30</v>
      </c>
      <c r="C224" s="3" t="s">
        <v>118</v>
      </c>
      <c r="D224" s="3"/>
      <c r="F224" s="3"/>
      <c r="G224" s="3">
        <v>12</v>
      </c>
      <c r="H224" s="3">
        <v>1</v>
      </c>
      <c r="I224" s="3" t="s">
        <v>81</v>
      </c>
      <c r="J224" s="3">
        <v>0</v>
      </c>
      <c r="K224" s="3" t="s">
        <v>119</v>
      </c>
      <c r="L224" s="3">
        <v>800001041</v>
      </c>
      <c r="M224" s="3">
        <v>1</v>
      </c>
      <c r="N224" s="3">
        <v>70</v>
      </c>
      <c r="O224" s="3">
        <v>0</v>
      </c>
      <c r="P224" s="3">
        <v>24</v>
      </c>
      <c r="Q224" s="3">
        <v>0</v>
      </c>
      <c r="R224" s="3">
        <v>17</v>
      </c>
      <c r="S224" s="3">
        <v>-5500</v>
      </c>
      <c r="T224" s="3">
        <v>1</v>
      </c>
      <c r="U224" s="3">
        <v>0</v>
      </c>
      <c r="V224" s="3" t="s">
        <v>110</v>
      </c>
      <c r="W224" s="3" t="s">
        <v>111</v>
      </c>
      <c r="X224" s="3" t="s">
        <v>112</v>
      </c>
      <c r="Y224" s="16">
        <v>201004011</v>
      </c>
      <c r="Z224" s="16">
        <v>0</v>
      </c>
      <c r="AA224" s="3">
        <v>1</v>
      </c>
      <c r="AB224" s="8" t="s">
        <v>113</v>
      </c>
      <c r="AC224" s="3">
        <v>15000</v>
      </c>
      <c r="AD224" s="3">
        <v>10000</v>
      </c>
      <c r="AE224" s="3">
        <v>25010001</v>
      </c>
      <c r="AF224" s="8">
        <v>40</v>
      </c>
      <c r="AG224" s="8">
        <v>10000</v>
      </c>
      <c r="AH224" s="8">
        <v>10000</v>
      </c>
      <c r="AI224" s="8">
        <v>80</v>
      </c>
      <c r="AJ224" s="8">
        <v>10</v>
      </c>
    </row>
    <row r="225" spans="1:36">
      <c r="A225" s="3">
        <v>301105</v>
      </c>
      <c r="B225" s="3">
        <v>30</v>
      </c>
      <c r="C225" s="3" t="s">
        <v>120</v>
      </c>
      <c r="D225" s="3"/>
      <c r="F225" s="3"/>
      <c r="G225" s="3">
        <v>12</v>
      </c>
      <c r="H225" s="3">
        <v>1</v>
      </c>
      <c r="I225" s="3" t="s">
        <v>81</v>
      </c>
      <c r="J225" s="3">
        <v>0</v>
      </c>
      <c r="K225" s="3" t="s">
        <v>121</v>
      </c>
      <c r="L225" s="3">
        <v>800014011</v>
      </c>
      <c r="M225" s="3">
        <v>1</v>
      </c>
      <c r="N225" s="3">
        <v>125</v>
      </c>
      <c r="O225" s="3">
        <v>0</v>
      </c>
      <c r="P225" s="3">
        <v>19</v>
      </c>
      <c r="Q225" s="3">
        <v>1</v>
      </c>
      <c r="R225" s="3">
        <v>43</v>
      </c>
      <c r="S225" s="3">
        <v>-5500</v>
      </c>
      <c r="T225" s="3">
        <v>1</v>
      </c>
      <c r="U225" s="3">
        <v>0</v>
      </c>
      <c r="V225" s="3" t="s">
        <v>110</v>
      </c>
      <c r="W225" s="3" t="s">
        <v>111</v>
      </c>
      <c r="X225" s="3" t="s">
        <v>112</v>
      </c>
      <c r="Y225" s="16">
        <v>214001011</v>
      </c>
      <c r="Z225" s="16">
        <v>0</v>
      </c>
      <c r="AA225" s="3">
        <v>1</v>
      </c>
      <c r="AB225" s="8" t="s">
        <v>122</v>
      </c>
      <c r="AC225" s="3">
        <v>15000</v>
      </c>
      <c r="AD225" s="3">
        <v>10000</v>
      </c>
      <c r="AE225" s="3">
        <v>25010001</v>
      </c>
      <c r="AF225" s="8">
        <v>40</v>
      </c>
      <c r="AG225" s="8">
        <v>10000</v>
      </c>
      <c r="AH225" s="8">
        <v>10000</v>
      </c>
      <c r="AI225" s="8">
        <v>40</v>
      </c>
      <c r="AJ225" s="8">
        <v>0</v>
      </c>
    </row>
    <row r="226" spans="1:36">
      <c r="A226" s="2">
        <v>301106</v>
      </c>
      <c r="B226" s="2">
        <v>30</v>
      </c>
      <c r="C226" s="2" t="s">
        <v>123</v>
      </c>
      <c r="D226" s="2"/>
      <c r="E226" s="12"/>
      <c r="F226" s="2"/>
      <c r="G226" s="2">
        <v>12</v>
      </c>
      <c r="H226" s="2">
        <v>1</v>
      </c>
      <c r="I226" s="2" t="s">
        <v>81</v>
      </c>
      <c r="J226" s="2">
        <v>0</v>
      </c>
      <c r="K226" s="2"/>
      <c r="L226" s="2">
        <v>1000010</v>
      </c>
      <c r="M226" s="2">
        <v>1</v>
      </c>
      <c r="N226" s="2">
        <v>100</v>
      </c>
      <c r="O226" s="2">
        <v>0</v>
      </c>
      <c r="P226" s="2">
        <v>15</v>
      </c>
      <c r="Q226" s="2">
        <v>0</v>
      </c>
      <c r="R226" s="2">
        <v>36</v>
      </c>
      <c r="S226" s="2">
        <v>-5500</v>
      </c>
      <c r="T226" s="2">
        <v>1</v>
      </c>
      <c r="U226" s="2">
        <v>0</v>
      </c>
      <c r="V226" s="2" t="s">
        <v>110</v>
      </c>
      <c r="W226" s="2" t="s">
        <v>111</v>
      </c>
      <c r="X226" s="2" t="s">
        <v>124</v>
      </c>
      <c r="Y226" s="2">
        <v>201002011</v>
      </c>
      <c r="Z226" s="17">
        <v>0</v>
      </c>
      <c r="AA226" s="2">
        <v>1</v>
      </c>
      <c r="AB226" s="12" t="s">
        <v>83</v>
      </c>
      <c r="AC226" s="2">
        <v>15000</v>
      </c>
      <c r="AD226" s="2">
        <v>10000</v>
      </c>
      <c r="AE226" s="2">
        <v>25010001</v>
      </c>
      <c r="AF226" s="8">
        <v>40</v>
      </c>
      <c r="AG226" s="8">
        <v>0</v>
      </c>
      <c r="AH226" s="8">
        <v>0</v>
      </c>
      <c r="AI226" s="8">
        <v>0</v>
      </c>
      <c r="AJ226" s="8">
        <v>0</v>
      </c>
    </row>
    <row r="227" spans="1:36">
      <c r="A227" s="2">
        <v>301107</v>
      </c>
      <c r="B227" s="2">
        <v>30</v>
      </c>
      <c r="C227" s="2" t="s">
        <v>125</v>
      </c>
      <c r="D227" s="2"/>
      <c r="E227" s="12"/>
      <c r="F227" s="2"/>
      <c r="G227" s="2">
        <v>12</v>
      </c>
      <c r="H227" s="2">
        <v>1</v>
      </c>
      <c r="I227" s="2" t="s">
        <v>81</v>
      </c>
      <c r="J227" s="2">
        <v>0</v>
      </c>
      <c r="K227" s="2" t="s">
        <v>121</v>
      </c>
      <c r="L227" s="2">
        <v>800014011</v>
      </c>
      <c r="M227" s="2">
        <v>1</v>
      </c>
      <c r="N227" s="2">
        <v>100</v>
      </c>
      <c r="O227" s="2">
        <v>0</v>
      </c>
      <c r="P227" s="2">
        <v>15</v>
      </c>
      <c r="Q227" s="2">
        <v>0</v>
      </c>
      <c r="R227" s="2">
        <v>36</v>
      </c>
      <c r="S227" s="2">
        <v>-5500</v>
      </c>
      <c r="T227" s="2">
        <v>1</v>
      </c>
      <c r="U227" s="2">
        <v>0</v>
      </c>
      <c r="V227" s="2" t="s">
        <v>110</v>
      </c>
      <c r="W227" s="2" t="s">
        <v>111</v>
      </c>
      <c r="X227" s="2" t="s">
        <v>124</v>
      </c>
      <c r="Y227" s="2">
        <v>214001011</v>
      </c>
      <c r="Z227" s="17">
        <v>0</v>
      </c>
      <c r="AA227" s="2">
        <v>1</v>
      </c>
      <c r="AB227" s="12" t="s">
        <v>83</v>
      </c>
      <c r="AC227" s="2">
        <v>15000</v>
      </c>
      <c r="AD227" s="2">
        <v>10000</v>
      </c>
      <c r="AE227" s="2">
        <v>25010001</v>
      </c>
      <c r="AF227" s="8">
        <v>40</v>
      </c>
      <c r="AG227" s="8">
        <v>0</v>
      </c>
      <c r="AH227" s="8">
        <v>0</v>
      </c>
      <c r="AI227" s="8">
        <v>0</v>
      </c>
      <c r="AJ227" s="8">
        <v>0</v>
      </c>
    </row>
    <row r="228" ht="14.25" spans="1:36">
      <c r="A228" s="3">
        <v>301108</v>
      </c>
      <c r="B228" s="3">
        <v>30</v>
      </c>
      <c r="C228" s="3" t="s">
        <v>126</v>
      </c>
      <c r="D228" s="3"/>
      <c r="F228" s="3"/>
      <c r="G228" s="3">
        <v>12</v>
      </c>
      <c r="H228" s="3">
        <v>1</v>
      </c>
      <c r="I228" s="3" t="s">
        <v>81</v>
      </c>
      <c r="J228" s="3">
        <v>0</v>
      </c>
      <c r="K228" s="3" t="s">
        <v>127</v>
      </c>
      <c r="L228" s="3">
        <v>800004011</v>
      </c>
      <c r="M228" s="3">
        <v>1</v>
      </c>
      <c r="N228" s="3">
        <v>100</v>
      </c>
      <c r="O228" s="3">
        <v>0</v>
      </c>
      <c r="P228" s="3">
        <v>15</v>
      </c>
      <c r="Q228" s="3">
        <v>0</v>
      </c>
      <c r="R228" s="15">
        <v>36</v>
      </c>
      <c r="S228" s="3">
        <v>-5500</v>
      </c>
      <c r="T228" s="3">
        <v>1</v>
      </c>
      <c r="U228" s="3">
        <v>0</v>
      </c>
      <c r="V228" s="3" t="s">
        <v>110</v>
      </c>
      <c r="W228" s="3" t="s">
        <v>111</v>
      </c>
      <c r="X228" s="3" t="s">
        <v>124</v>
      </c>
      <c r="Y228" s="16">
        <v>204001001</v>
      </c>
      <c r="Z228" s="16">
        <v>0</v>
      </c>
      <c r="AA228" s="3">
        <v>1</v>
      </c>
      <c r="AB228" s="8" t="s">
        <v>83</v>
      </c>
      <c r="AC228" s="3">
        <v>15000</v>
      </c>
      <c r="AD228" s="3">
        <v>10000</v>
      </c>
      <c r="AE228" s="3">
        <v>25010001</v>
      </c>
      <c r="AF228" s="8">
        <v>40</v>
      </c>
      <c r="AG228" s="8">
        <v>0</v>
      </c>
      <c r="AH228" s="8">
        <v>0</v>
      </c>
      <c r="AI228" s="8">
        <v>0</v>
      </c>
      <c r="AJ228" s="8">
        <v>0</v>
      </c>
    </row>
    <row r="229" ht="14.25" spans="1:36">
      <c r="A229" s="3">
        <v>301109</v>
      </c>
      <c r="B229" s="3">
        <v>30</v>
      </c>
      <c r="C229" s="3" t="s">
        <v>128</v>
      </c>
      <c r="D229" s="3"/>
      <c r="F229" s="3"/>
      <c r="G229" s="3">
        <v>12</v>
      </c>
      <c r="H229" s="3">
        <v>1</v>
      </c>
      <c r="I229" s="3" t="s">
        <v>81</v>
      </c>
      <c r="J229" s="3">
        <v>0</v>
      </c>
      <c r="K229" s="3" t="s">
        <v>129</v>
      </c>
      <c r="L229" s="3">
        <v>800004021</v>
      </c>
      <c r="M229" s="3">
        <v>1</v>
      </c>
      <c r="N229" s="3">
        <v>100</v>
      </c>
      <c r="O229" s="3">
        <v>0</v>
      </c>
      <c r="P229" s="3">
        <v>15</v>
      </c>
      <c r="Q229" s="3">
        <v>0</v>
      </c>
      <c r="R229" s="15">
        <v>36</v>
      </c>
      <c r="S229" s="3">
        <v>-5500</v>
      </c>
      <c r="T229" s="3">
        <v>1</v>
      </c>
      <c r="U229" s="3">
        <v>0</v>
      </c>
      <c r="V229" s="3" t="s">
        <v>110</v>
      </c>
      <c r="W229" s="3" t="s">
        <v>111</v>
      </c>
      <c r="X229" s="3" t="s">
        <v>124</v>
      </c>
      <c r="Y229" s="16">
        <v>204002001</v>
      </c>
      <c r="Z229" s="16">
        <v>0</v>
      </c>
      <c r="AA229" s="3">
        <v>1</v>
      </c>
      <c r="AB229" s="8" t="s">
        <v>83</v>
      </c>
      <c r="AC229" s="3">
        <v>15000</v>
      </c>
      <c r="AD229" s="3">
        <v>10000</v>
      </c>
      <c r="AE229" s="3">
        <v>25010001</v>
      </c>
      <c r="AF229" s="8">
        <v>40</v>
      </c>
      <c r="AG229" s="8">
        <v>0</v>
      </c>
      <c r="AH229" s="8">
        <v>0</v>
      </c>
      <c r="AI229" s="8">
        <v>0</v>
      </c>
      <c r="AJ229" s="8">
        <v>0</v>
      </c>
    </row>
    <row r="230" ht="14.25" spans="1:36">
      <c r="A230" s="3">
        <v>301110</v>
      </c>
      <c r="B230" s="3">
        <v>30</v>
      </c>
      <c r="C230" s="3" t="s">
        <v>130</v>
      </c>
      <c r="D230" s="3"/>
      <c r="F230" s="3"/>
      <c r="G230" s="3">
        <v>12</v>
      </c>
      <c r="H230" s="3">
        <v>1</v>
      </c>
      <c r="I230" s="3" t="s">
        <v>81</v>
      </c>
      <c r="J230" s="3">
        <v>0</v>
      </c>
      <c r="K230" s="3" t="s">
        <v>131</v>
      </c>
      <c r="L230" s="3">
        <v>800011011</v>
      </c>
      <c r="M230" s="3">
        <v>1</v>
      </c>
      <c r="N230" s="3">
        <v>100</v>
      </c>
      <c r="O230" s="3">
        <v>0</v>
      </c>
      <c r="P230" s="3">
        <v>15</v>
      </c>
      <c r="Q230" s="3">
        <v>0</v>
      </c>
      <c r="R230" s="15">
        <v>36</v>
      </c>
      <c r="S230" s="3">
        <v>-5500</v>
      </c>
      <c r="T230" s="3">
        <v>1</v>
      </c>
      <c r="U230" s="3">
        <v>0</v>
      </c>
      <c r="V230" s="3" t="s">
        <v>110</v>
      </c>
      <c r="W230" s="3" t="s">
        <v>111</v>
      </c>
      <c r="X230" s="3" t="s">
        <v>124</v>
      </c>
      <c r="Y230" s="16">
        <v>211001001</v>
      </c>
      <c r="Z230" s="16">
        <v>0</v>
      </c>
      <c r="AA230" s="3">
        <v>1</v>
      </c>
      <c r="AB230" s="8" t="s">
        <v>83</v>
      </c>
      <c r="AC230" s="3">
        <v>15000</v>
      </c>
      <c r="AD230" s="3">
        <v>10000</v>
      </c>
      <c r="AE230" s="3">
        <v>25010001</v>
      </c>
      <c r="AF230" s="8">
        <v>40</v>
      </c>
      <c r="AG230" s="8">
        <v>0</v>
      </c>
      <c r="AH230" s="8">
        <v>0</v>
      </c>
      <c r="AI230" s="8">
        <v>0</v>
      </c>
      <c r="AJ230" s="8">
        <v>0</v>
      </c>
    </row>
    <row r="231" ht="14.25" spans="1:36">
      <c r="A231" s="3">
        <v>301111</v>
      </c>
      <c r="B231" s="3">
        <v>30</v>
      </c>
      <c r="C231" s="3" t="s">
        <v>132</v>
      </c>
      <c r="D231" s="3"/>
      <c r="F231" s="3"/>
      <c r="G231" s="3">
        <v>12</v>
      </c>
      <c r="H231" s="3">
        <v>1</v>
      </c>
      <c r="I231" s="3" t="s">
        <v>81</v>
      </c>
      <c r="J231" s="3">
        <v>0</v>
      </c>
      <c r="K231" s="3" t="s">
        <v>133</v>
      </c>
      <c r="L231" s="3">
        <v>800011021</v>
      </c>
      <c r="M231" s="3">
        <v>1</v>
      </c>
      <c r="N231" s="3">
        <v>100</v>
      </c>
      <c r="O231" s="3">
        <v>0</v>
      </c>
      <c r="P231" s="3">
        <v>15</v>
      </c>
      <c r="Q231" s="3">
        <v>0</v>
      </c>
      <c r="R231" s="15">
        <v>36</v>
      </c>
      <c r="S231" s="3">
        <v>-5500</v>
      </c>
      <c r="T231" s="3">
        <v>1</v>
      </c>
      <c r="U231" s="3">
        <v>0</v>
      </c>
      <c r="V231" s="3" t="s">
        <v>110</v>
      </c>
      <c r="W231" s="3" t="s">
        <v>111</v>
      </c>
      <c r="X231" s="3" t="s">
        <v>124</v>
      </c>
      <c r="Y231" s="16">
        <v>211002001</v>
      </c>
      <c r="Z231" s="16">
        <v>0</v>
      </c>
      <c r="AA231" s="3">
        <v>1</v>
      </c>
      <c r="AB231" s="8" t="s">
        <v>83</v>
      </c>
      <c r="AC231" s="3">
        <v>15000</v>
      </c>
      <c r="AD231" s="3">
        <v>10000</v>
      </c>
      <c r="AE231" s="3">
        <v>25010001</v>
      </c>
      <c r="AF231" s="8">
        <v>40</v>
      </c>
      <c r="AG231" s="8">
        <v>0</v>
      </c>
      <c r="AH231" s="8">
        <v>0</v>
      </c>
      <c r="AI231" s="8">
        <v>0</v>
      </c>
      <c r="AJ231" s="8">
        <v>0</v>
      </c>
    </row>
    <row r="232" ht="14.25" spans="1:36">
      <c r="A232" s="3">
        <v>301112</v>
      </c>
      <c r="B232" s="3">
        <v>30</v>
      </c>
      <c r="C232" s="3" t="s">
        <v>134</v>
      </c>
      <c r="D232" s="3"/>
      <c r="F232" s="3"/>
      <c r="G232" s="3">
        <v>12</v>
      </c>
      <c r="H232" s="3">
        <v>1</v>
      </c>
      <c r="I232" s="3" t="s">
        <v>81</v>
      </c>
      <c r="J232" s="3">
        <v>0</v>
      </c>
      <c r="K232" s="3" t="s">
        <v>135</v>
      </c>
      <c r="L232" s="3">
        <v>800003011</v>
      </c>
      <c r="M232" s="3">
        <v>1</v>
      </c>
      <c r="N232" s="3">
        <v>100</v>
      </c>
      <c r="O232" s="3">
        <v>0</v>
      </c>
      <c r="P232" s="3">
        <v>15</v>
      </c>
      <c r="Q232" s="3">
        <v>0</v>
      </c>
      <c r="R232" s="15">
        <v>36</v>
      </c>
      <c r="S232" s="3">
        <v>-5500</v>
      </c>
      <c r="T232" s="3">
        <v>1</v>
      </c>
      <c r="U232" s="3">
        <v>0</v>
      </c>
      <c r="V232" s="3" t="s">
        <v>110</v>
      </c>
      <c r="W232" s="3" t="s">
        <v>111</v>
      </c>
      <c r="X232" s="3" t="s">
        <v>124</v>
      </c>
      <c r="Y232" s="16">
        <v>203001001</v>
      </c>
      <c r="Z232" s="16">
        <v>0</v>
      </c>
      <c r="AA232" s="3">
        <v>1</v>
      </c>
      <c r="AB232" s="8" t="s">
        <v>83</v>
      </c>
      <c r="AC232" s="3">
        <v>15000</v>
      </c>
      <c r="AD232" s="3">
        <v>10000</v>
      </c>
      <c r="AE232" s="3">
        <v>25010001</v>
      </c>
      <c r="AF232" s="8">
        <v>40</v>
      </c>
      <c r="AG232" s="8">
        <v>0</v>
      </c>
      <c r="AH232" s="8">
        <v>0</v>
      </c>
      <c r="AI232" s="8">
        <v>0</v>
      </c>
      <c r="AJ232" s="8">
        <v>0</v>
      </c>
    </row>
    <row r="233" ht="14.25" spans="1:36">
      <c r="A233" s="3">
        <v>301113</v>
      </c>
      <c r="B233" s="3">
        <v>30</v>
      </c>
      <c r="C233" s="3" t="s">
        <v>136</v>
      </c>
      <c r="D233" s="3"/>
      <c r="F233" s="3"/>
      <c r="G233" s="3">
        <v>12</v>
      </c>
      <c r="H233" s="3">
        <v>1</v>
      </c>
      <c r="I233" s="3" t="s">
        <v>81</v>
      </c>
      <c r="J233" s="3">
        <v>0</v>
      </c>
      <c r="K233" s="3" t="s">
        <v>137</v>
      </c>
      <c r="L233" s="3">
        <v>800003021</v>
      </c>
      <c r="M233" s="3">
        <v>1</v>
      </c>
      <c r="N233" s="3">
        <v>500</v>
      </c>
      <c r="O233" s="3">
        <v>0</v>
      </c>
      <c r="P233" s="3">
        <v>42</v>
      </c>
      <c r="Q233" s="3">
        <v>3</v>
      </c>
      <c r="R233" s="15">
        <v>1496</v>
      </c>
      <c r="S233" s="3">
        <v>-5500</v>
      </c>
      <c r="T233" s="3">
        <v>1</v>
      </c>
      <c r="U233" s="3">
        <v>30000</v>
      </c>
      <c r="V233" s="3" t="s">
        <v>110</v>
      </c>
      <c r="W233" s="3" t="s">
        <v>111</v>
      </c>
      <c r="X233" s="3" t="s">
        <v>138</v>
      </c>
      <c r="Y233" s="16">
        <v>203002011</v>
      </c>
      <c r="Z233" s="16">
        <v>0</v>
      </c>
      <c r="AA233" s="3">
        <v>1</v>
      </c>
      <c r="AB233" s="8" t="s">
        <v>139</v>
      </c>
      <c r="AC233" s="3">
        <v>15000</v>
      </c>
      <c r="AD233" s="3">
        <v>10000</v>
      </c>
      <c r="AE233" s="3">
        <v>25010001</v>
      </c>
      <c r="AF233" s="8">
        <v>40</v>
      </c>
      <c r="AG233" s="8">
        <v>1000</v>
      </c>
      <c r="AH233" s="8">
        <v>5000</v>
      </c>
      <c r="AI233" s="8">
        <v>40</v>
      </c>
      <c r="AJ233" s="8">
        <v>0</v>
      </c>
    </row>
    <row r="234" ht="14.25" spans="1:36">
      <c r="A234" s="3">
        <v>301114</v>
      </c>
      <c r="B234" s="3">
        <v>30</v>
      </c>
      <c r="C234" s="3" t="s">
        <v>140</v>
      </c>
      <c r="D234" s="3"/>
      <c r="F234" s="3"/>
      <c r="G234" s="3">
        <v>12</v>
      </c>
      <c r="H234" s="3">
        <v>1</v>
      </c>
      <c r="I234" s="3" t="s">
        <v>81</v>
      </c>
      <c r="J234" s="3">
        <v>0</v>
      </c>
      <c r="K234" s="3" t="s">
        <v>141</v>
      </c>
      <c r="L234" s="3">
        <v>800003031</v>
      </c>
      <c r="M234" s="3">
        <v>1</v>
      </c>
      <c r="N234" s="3">
        <v>100</v>
      </c>
      <c r="O234" s="3">
        <v>0</v>
      </c>
      <c r="P234" s="3">
        <v>15</v>
      </c>
      <c r="Q234" s="3">
        <v>0</v>
      </c>
      <c r="R234" s="15">
        <v>36</v>
      </c>
      <c r="S234" s="3">
        <v>-5500</v>
      </c>
      <c r="T234" s="3">
        <v>1</v>
      </c>
      <c r="U234" s="3">
        <v>0</v>
      </c>
      <c r="V234" s="3" t="s">
        <v>110</v>
      </c>
      <c r="W234" s="3" t="s">
        <v>111</v>
      </c>
      <c r="X234" s="3" t="s">
        <v>124</v>
      </c>
      <c r="Y234" s="16">
        <v>203003001</v>
      </c>
      <c r="Z234" s="16">
        <v>0</v>
      </c>
      <c r="AA234" s="3">
        <v>1</v>
      </c>
      <c r="AB234" s="8" t="s">
        <v>83</v>
      </c>
      <c r="AC234" s="3">
        <v>15000</v>
      </c>
      <c r="AD234" s="3">
        <v>10000</v>
      </c>
      <c r="AE234" s="3">
        <v>0</v>
      </c>
      <c r="AF234" s="8">
        <v>40</v>
      </c>
      <c r="AG234" s="8">
        <v>0</v>
      </c>
      <c r="AH234" s="8">
        <v>0</v>
      </c>
      <c r="AI234" s="8">
        <v>0</v>
      </c>
      <c r="AJ234" s="8">
        <v>0</v>
      </c>
    </row>
    <row r="235" spans="1:36">
      <c r="A235" s="2">
        <v>301115</v>
      </c>
      <c r="B235" s="2">
        <v>30</v>
      </c>
      <c r="C235" s="2" t="s">
        <v>142</v>
      </c>
      <c r="D235" s="2"/>
      <c r="E235" s="12"/>
      <c r="F235" s="2"/>
      <c r="G235" s="2">
        <v>12</v>
      </c>
      <c r="H235" s="2">
        <v>1</v>
      </c>
      <c r="I235" s="2" t="s">
        <v>81</v>
      </c>
      <c r="J235" s="2">
        <v>0</v>
      </c>
      <c r="K235" s="2"/>
      <c r="L235" s="2">
        <v>1000011</v>
      </c>
      <c r="M235" s="2">
        <v>1</v>
      </c>
      <c r="N235" s="2">
        <v>100</v>
      </c>
      <c r="O235" s="2">
        <v>0</v>
      </c>
      <c r="P235" s="2">
        <v>15</v>
      </c>
      <c r="Q235" s="2">
        <v>0</v>
      </c>
      <c r="R235" s="2">
        <v>36</v>
      </c>
      <c r="S235" s="2">
        <v>-5500</v>
      </c>
      <c r="T235" s="2">
        <v>1</v>
      </c>
      <c r="U235" s="2">
        <v>0</v>
      </c>
      <c r="V235" s="2" t="s">
        <v>110</v>
      </c>
      <c r="W235" s="2" t="s">
        <v>111</v>
      </c>
      <c r="X235" s="2" t="s">
        <v>124</v>
      </c>
      <c r="Y235" s="17">
        <v>201002011</v>
      </c>
      <c r="Z235" s="17">
        <v>0</v>
      </c>
      <c r="AA235" s="2">
        <v>1</v>
      </c>
      <c r="AB235" s="12" t="s">
        <v>83</v>
      </c>
      <c r="AC235" s="2">
        <v>15000</v>
      </c>
      <c r="AD235" s="2">
        <v>10000</v>
      </c>
      <c r="AE235" s="2">
        <v>0</v>
      </c>
      <c r="AF235" s="8">
        <v>40</v>
      </c>
      <c r="AG235" s="8">
        <v>0</v>
      </c>
      <c r="AH235" s="8">
        <v>0</v>
      </c>
      <c r="AI235" s="8">
        <v>0</v>
      </c>
      <c r="AJ235" s="8">
        <v>0</v>
      </c>
    </row>
    <row r="236" spans="1:36">
      <c r="A236" s="3">
        <v>302101</v>
      </c>
      <c r="B236" s="3">
        <v>30</v>
      </c>
      <c r="C236" s="3" t="s">
        <v>108</v>
      </c>
      <c r="D236" s="3"/>
      <c r="F236" s="3"/>
      <c r="G236" s="3">
        <v>12</v>
      </c>
      <c r="H236" s="3">
        <v>1</v>
      </c>
      <c r="I236" s="3" t="s">
        <v>81</v>
      </c>
      <c r="J236" s="3">
        <v>0</v>
      </c>
      <c r="K236" s="3" t="s">
        <v>109</v>
      </c>
      <c r="L236" s="3">
        <v>800001011</v>
      </c>
      <c r="M236" s="3">
        <v>1</v>
      </c>
      <c r="N236" s="3">
        <v>70</v>
      </c>
      <c r="O236" s="3">
        <v>0</v>
      </c>
      <c r="P236" s="3">
        <v>16</v>
      </c>
      <c r="Q236" s="3">
        <v>0</v>
      </c>
      <c r="R236" s="3">
        <v>86</v>
      </c>
      <c r="S236" s="3">
        <v>-5500</v>
      </c>
      <c r="T236" s="3">
        <v>1</v>
      </c>
      <c r="U236" s="3">
        <v>0</v>
      </c>
      <c r="V236" s="3" t="s">
        <v>110</v>
      </c>
      <c r="W236" s="3" t="s">
        <v>111</v>
      </c>
      <c r="X236" s="3" t="s">
        <v>159</v>
      </c>
      <c r="Y236" s="16">
        <v>201001011</v>
      </c>
      <c r="Z236" s="16">
        <v>0</v>
      </c>
      <c r="AA236" s="3">
        <v>1</v>
      </c>
      <c r="AB236" s="8" t="s">
        <v>113</v>
      </c>
      <c r="AC236" s="3">
        <v>15000</v>
      </c>
      <c r="AD236" s="3">
        <v>10000</v>
      </c>
      <c r="AE236" s="3">
        <v>25010001</v>
      </c>
      <c r="AF236" s="8">
        <v>40</v>
      </c>
      <c r="AG236" s="8">
        <v>10000</v>
      </c>
      <c r="AH236" s="8">
        <v>10000</v>
      </c>
      <c r="AI236" s="8">
        <v>50</v>
      </c>
      <c r="AJ236" s="8">
        <v>0</v>
      </c>
    </row>
    <row r="237" spans="1:36">
      <c r="A237" s="3">
        <v>302102</v>
      </c>
      <c r="B237" s="3">
        <v>30</v>
      </c>
      <c r="C237" s="3" t="s">
        <v>114</v>
      </c>
      <c r="D237" s="3"/>
      <c r="F237" s="3"/>
      <c r="G237" s="3">
        <v>12</v>
      </c>
      <c r="H237" s="3">
        <v>1</v>
      </c>
      <c r="I237" s="3" t="s">
        <v>81</v>
      </c>
      <c r="J237" s="3">
        <v>0</v>
      </c>
      <c r="K237" s="3" t="s">
        <v>115</v>
      </c>
      <c r="L237" s="3">
        <v>800001021</v>
      </c>
      <c r="M237" s="3">
        <v>1</v>
      </c>
      <c r="N237" s="3">
        <v>200</v>
      </c>
      <c r="O237" s="3">
        <v>0</v>
      </c>
      <c r="P237" s="3">
        <v>32</v>
      </c>
      <c r="Q237" s="3">
        <v>3</v>
      </c>
      <c r="R237" s="3">
        <v>292</v>
      </c>
      <c r="S237" s="3">
        <v>-5500</v>
      </c>
      <c r="T237" s="3">
        <v>1</v>
      </c>
      <c r="U237" s="3">
        <v>0</v>
      </c>
      <c r="V237" s="3" t="s">
        <v>110</v>
      </c>
      <c r="W237" s="3" t="s">
        <v>111</v>
      </c>
      <c r="X237" s="3" t="s">
        <v>159</v>
      </c>
      <c r="Y237" s="16">
        <v>201002011</v>
      </c>
      <c r="Z237" s="16">
        <v>0</v>
      </c>
      <c r="AA237" s="3">
        <v>1</v>
      </c>
      <c r="AB237" s="8" t="s">
        <v>116</v>
      </c>
      <c r="AC237" s="3">
        <v>15000</v>
      </c>
      <c r="AD237" s="3">
        <v>10000</v>
      </c>
      <c r="AE237" s="3">
        <v>25010001</v>
      </c>
      <c r="AF237" s="8">
        <v>40</v>
      </c>
      <c r="AG237" s="8">
        <v>3000</v>
      </c>
      <c r="AH237" s="8">
        <v>10000</v>
      </c>
      <c r="AI237" s="8">
        <v>15</v>
      </c>
      <c r="AJ237" s="8">
        <v>0</v>
      </c>
    </row>
    <row r="238" spans="1:36">
      <c r="A238" s="2">
        <v>302103</v>
      </c>
      <c r="B238" s="2">
        <v>30</v>
      </c>
      <c r="C238" s="2" t="s">
        <v>117</v>
      </c>
      <c r="D238" s="2"/>
      <c r="E238" s="12"/>
      <c r="F238" s="2"/>
      <c r="G238" s="2">
        <v>12</v>
      </c>
      <c r="H238" s="2">
        <v>1</v>
      </c>
      <c r="I238" s="2" t="s">
        <v>81</v>
      </c>
      <c r="J238" s="2">
        <v>0</v>
      </c>
      <c r="K238" s="2" t="s">
        <v>144</v>
      </c>
      <c r="L238" s="2">
        <v>800001021</v>
      </c>
      <c r="M238" s="2">
        <v>1</v>
      </c>
      <c r="N238" s="2">
        <v>70</v>
      </c>
      <c r="O238" s="2">
        <v>0</v>
      </c>
      <c r="P238" s="2">
        <v>15</v>
      </c>
      <c r="Q238" s="2">
        <v>1</v>
      </c>
      <c r="R238" s="2">
        <v>300</v>
      </c>
      <c r="S238" s="2">
        <v>-5500</v>
      </c>
      <c r="T238" s="2">
        <v>1</v>
      </c>
      <c r="U238" s="2">
        <v>250</v>
      </c>
      <c r="V238" s="2" t="s">
        <v>110</v>
      </c>
      <c r="W238" s="2" t="s">
        <v>111</v>
      </c>
      <c r="X238" s="2" t="s">
        <v>159</v>
      </c>
      <c r="Y238" s="17">
        <v>201002011</v>
      </c>
      <c r="Z238" s="17">
        <v>0</v>
      </c>
      <c r="AA238" s="2">
        <v>1</v>
      </c>
      <c r="AB238" s="12" t="s">
        <v>113</v>
      </c>
      <c r="AC238" s="2">
        <v>15000</v>
      </c>
      <c r="AD238" s="2">
        <v>10000</v>
      </c>
      <c r="AE238" s="2">
        <v>25010001</v>
      </c>
      <c r="AF238" s="8">
        <v>40</v>
      </c>
      <c r="AG238" s="8">
        <v>0</v>
      </c>
      <c r="AH238" s="8">
        <v>0</v>
      </c>
      <c r="AI238" s="8">
        <v>0</v>
      </c>
      <c r="AJ238" s="8">
        <v>0</v>
      </c>
    </row>
    <row r="239" spans="1:36">
      <c r="A239" s="3">
        <v>302104</v>
      </c>
      <c r="B239" s="3">
        <v>30</v>
      </c>
      <c r="C239" s="3" t="s">
        <v>118</v>
      </c>
      <c r="D239" s="3"/>
      <c r="F239" s="3"/>
      <c r="G239" s="3">
        <v>12</v>
      </c>
      <c r="H239" s="3">
        <v>1</v>
      </c>
      <c r="I239" s="3" t="s">
        <v>81</v>
      </c>
      <c r="J239" s="3">
        <v>0</v>
      </c>
      <c r="K239" s="3" t="s">
        <v>119</v>
      </c>
      <c r="L239" s="3">
        <v>800001041</v>
      </c>
      <c r="M239" s="3">
        <v>1</v>
      </c>
      <c r="N239" s="3">
        <v>70</v>
      </c>
      <c r="O239" s="3">
        <v>0</v>
      </c>
      <c r="P239" s="3">
        <v>24</v>
      </c>
      <c r="Q239" s="3">
        <v>0</v>
      </c>
      <c r="R239" s="3">
        <v>69</v>
      </c>
      <c r="S239" s="3">
        <v>-5500</v>
      </c>
      <c r="T239" s="3">
        <v>1</v>
      </c>
      <c r="U239" s="3">
        <v>0</v>
      </c>
      <c r="V239" s="3" t="s">
        <v>110</v>
      </c>
      <c r="W239" s="3" t="s">
        <v>111</v>
      </c>
      <c r="X239" s="3" t="s">
        <v>159</v>
      </c>
      <c r="Y239" s="16">
        <v>201004011</v>
      </c>
      <c r="Z239" s="16">
        <v>0</v>
      </c>
      <c r="AA239" s="3">
        <v>1</v>
      </c>
      <c r="AB239" s="8" t="s">
        <v>113</v>
      </c>
      <c r="AC239" s="3">
        <v>15000</v>
      </c>
      <c r="AD239" s="3">
        <v>10000</v>
      </c>
      <c r="AE239" s="3">
        <v>25010001</v>
      </c>
      <c r="AF239" s="8">
        <v>40</v>
      </c>
      <c r="AG239" s="8">
        <v>10000</v>
      </c>
      <c r="AH239" s="8">
        <v>10000</v>
      </c>
      <c r="AI239" s="8">
        <v>80</v>
      </c>
      <c r="AJ239" s="8">
        <v>10</v>
      </c>
    </row>
    <row r="240" spans="1:36">
      <c r="A240" s="3">
        <v>302105</v>
      </c>
      <c r="B240" s="3">
        <v>30</v>
      </c>
      <c r="C240" s="3" t="s">
        <v>120</v>
      </c>
      <c r="D240" s="3"/>
      <c r="F240" s="3"/>
      <c r="G240" s="3">
        <v>12</v>
      </c>
      <c r="H240" s="3">
        <v>1</v>
      </c>
      <c r="I240" s="3" t="s">
        <v>81</v>
      </c>
      <c r="J240" s="3">
        <v>0</v>
      </c>
      <c r="K240" s="3" t="s">
        <v>121</v>
      </c>
      <c r="L240" s="3">
        <v>800014011</v>
      </c>
      <c r="M240" s="3">
        <v>1</v>
      </c>
      <c r="N240" s="3">
        <v>125</v>
      </c>
      <c r="O240" s="3">
        <v>0</v>
      </c>
      <c r="P240" s="3">
        <v>21</v>
      </c>
      <c r="Q240" s="3">
        <v>2</v>
      </c>
      <c r="R240" s="3">
        <v>131</v>
      </c>
      <c r="S240" s="3">
        <v>-5500</v>
      </c>
      <c r="T240" s="3">
        <v>1</v>
      </c>
      <c r="U240" s="3">
        <v>0</v>
      </c>
      <c r="V240" s="3" t="s">
        <v>110</v>
      </c>
      <c r="W240" s="3" t="s">
        <v>111</v>
      </c>
      <c r="X240" s="3" t="s">
        <v>159</v>
      </c>
      <c r="Y240" s="16">
        <v>214001011</v>
      </c>
      <c r="Z240" s="16">
        <v>0</v>
      </c>
      <c r="AA240" s="3">
        <v>1</v>
      </c>
      <c r="AB240" s="8" t="s">
        <v>122</v>
      </c>
      <c r="AC240" s="3">
        <v>15000</v>
      </c>
      <c r="AD240" s="3">
        <v>10000</v>
      </c>
      <c r="AE240" s="3">
        <v>25010001</v>
      </c>
      <c r="AF240" s="8">
        <v>40</v>
      </c>
      <c r="AG240" s="8">
        <v>10000</v>
      </c>
      <c r="AH240" s="8">
        <v>10000</v>
      </c>
      <c r="AI240" s="8">
        <v>40</v>
      </c>
      <c r="AJ240" s="8">
        <v>0</v>
      </c>
    </row>
    <row r="241" spans="1:36">
      <c r="A241" s="2">
        <v>302106</v>
      </c>
      <c r="B241" s="2">
        <v>30</v>
      </c>
      <c r="C241" s="2" t="s">
        <v>123</v>
      </c>
      <c r="D241" s="2"/>
      <c r="E241" s="12"/>
      <c r="F241" s="2"/>
      <c r="G241" s="2">
        <v>12</v>
      </c>
      <c r="H241" s="2">
        <v>1</v>
      </c>
      <c r="I241" s="2" t="s">
        <v>81</v>
      </c>
      <c r="J241" s="2">
        <v>0</v>
      </c>
      <c r="K241" s="2" t="s">
        <v>145</v>
      </c>
      <c r="L241" s="2">
        <v>1000010</v>
      </c>
      <c r="M241" s="2">
        <v>1</v>
      </c>
      <c r="N241" s="2">
        <v>100</v>
      </c>
      <c r="O241" s="2">
        <v>0</v>
      </c>
      <c r="P241" s="2">
        <v>15</v>
      </c>
      <c r="Q241" s="2">
        <v>0</v>
      </c>
      <c r="R241" s="2">
        <v>36</v>
      </c>
      <c r="S241" s="2">
        <v>-5500</v>
      </c>
      <c r="T241" s="2">
        <v>1</v>
      </c>
      <c r="U241" s="2">
        <v>0</v>
      </c>
      <c r="V241" s="2" t="s">
        <v>110</v>
      </c>
      <c r="W241" s="2" t="s">
        <v>111</v>
      </c>
      <c r="X241" s="2" t="s">
        <v>124</v>
      </c>
      <c r="Y241" s="17">
        <v>201002011</v>
      </c>
      <c r="Z241" s="17">
        <v>0</v>
      </c>
      <c r="AA241" s="2">
        <v>1</v>
      </c>
      <c r="AB241" s="12" t="s">
        <v>83</v>
      </c>
      <c r="AC241" s="2">
        <v>15000</v>
      </c>
      <c r="AD241" s="2">
        <v>10000</v>
      </c>
      <c r="AE241" s="2">
        <v>25010001</v>
      </c>
      <c r="AF241" s="8">
        <v>40</v>
      </c>
      <c r="AG241" s="8">
        <v>0</v>
      </c>
      <c r="AH241" s="8">
        <v>0</v>
      </c>
      <c r="AI241" s="8">
        <v>0</v>
      </c>
      <c r="AJ241" s="8">
        <v>0</v>
      </c>
    </row>
    <row r="242" spans="1:36">
      <c r="A242" s="2">
        <v>302107</v>
      </c>
      <c r="B242" s="2">
        <v>30</v>
      </c>
      <c r="C242" s="2" t="s">
        <v>125</v>
      </c>
      <c r="D242" s="2"/>
      <c r="E242" s="12"/>
      <c r="F242" s="2"/>
      <c r="G242" s="2">
        <v>12</v>
      </c>
      <c r="H242" s="2">
        <v>1</v>
      </c>
      <c r="I242" s="2" t="s">
        <v>81</v>
      </c>
      <c r="J242" s="2">
        <v>0</v>
      </c>
      <c r="K242" s="2" t="s">
        <v>146</v>
      </c>
      <c r="L242" s="2">
        <v>1000006</v>
      </c>
      <c r="M242" s="2">
        <v>1</v>
      </c>
      <c r="N242" s="2">
        <v>100</v>
      </c>
      <c r="O242" s="2">
        <v>0</v>
      </c>
      <c r="P242" s="2">
        <v>15</v>
      </c>
      <c r="Q242" s="2">
        <v>0</v>
      </c>
      <c r="R242" s="2">
        <v>36</v>
      </c>
      <c r="S242" s="2">
        <v>-5500</v>
      </c>
      <c r="T242" s="2">
        <v>1</v>
      </c>
      <c r="U242" s="2">
        <v>0</v>
      </c>
      <c r="V242" s="2" t="s">
        <v>110</v>
      </c>
      <c r="W242" s="2" t="s">
        <v>111</v>
      </c>
      <c r="X242" s="2" t="s">
        <v>124</v>
      </c>
      <c r="Y242" s="17">
        <v>201002011</v>
      </c>
      <c r="Z242" s="17">
        <v>0</v>
      </c>
      <c r="AA242" s="2">
        <v>1</v>
      </c>
      <c r="AB242" s="12" t="s">
        <v>83</v>
      </c>
      <c r="AC242" s="2">
        <v>15000</v>
      </c>
      <c r="AD242" s="2">
        <v>10000</v>
      </c>
      <c r="AE242" s="2">
        <v>25010001</v>
      </c>
      <c r="AF242" s="8">
        <v>40</v>
      </c>
      <c r="AG242" s="8">
        <v>0</v>
      </c>
      <c r="AH242" s="8">
        <v>0</v>
      </c>
      <c r="AI242" s="8">
        <v>0</v>
      </c>
      <c r="AJ242" s="8">
        <v>0</v>
      </c>
    </row>
    <row r="243" spans="1:36">
      <c r="A243" s="2">
        <v>302108</v>
      </c>
      <c r="B243" s="2">
        <v>30</v>
      </c>
      <c r="C243" s="2" t="s">
        <v>126</v>
      </c>
      <c r="D243" s="2"/>
      <c r="E243" s="12"/>
      <c r="F243" s="2"/>
      <c r="G243" s="2">
        <v>12</v>
      </c>
      <c r="H243" s="2">
        <v>1</v>
      </c>
      <c r="I243" s="2" t="s">
        <v>81</v>
      </c>
      <c r="J243" s="2">
        <v>0</v>
      </c>
      <c r="K243" s="2" t="s">
        <v>146</v>
      </c>
      <c r="L243" s="2">
        <v>1000006</v>
      </c>
      <c r="M243" s="2">
        <v>1</v>
      </c>
      <c r="N243" s="2">
        <v>100</v>
      </c>
      <c r="O243" s="2">
        <v>0</v>
      </c>
      <c r="P243" s="2">
        <v>15</v>
      </c>
      <c r="Q243" s="2">
        <v>0</v>
      </c>
      <c r="R243" s="2">
        <v>36</v>
      </c>
      <c r="S243" s="2">
        <v>-5500</v>
      </c>
      <c r="T243" s="2">
        <v>1</v>
      </c>
      <c r="U243" s="2">
        <v>0</v>
      </c>
      <c r="V243" s="2" t="s">
        <v>110</v>
      </c>
      <c r="W243" s="2" t="s">
        <v>111</v>
      </c>
      <c r="X243" s="2" t="s">
        <v>124</v>
      </c>
      <c r="Y243" s="17">
        <v>201002011</v>
      </c>
      <c r="Z243" s="17">
        <v>0</v>
      </c>
      <c r="AA243" s="2">
        <v>1</v>
      </c>
      <c r="AB243" s="12" t="s">
        <v>83</v>
      </c>
      <c r="AC243" s="2">
        <v>15000</v>
      </c>
      <c r="AD243" s="2">
        <v>10000</v>
      </c>
      <c r="AE243" s="2">
        <v>25010001</v>
      </c>
      <c r="AF243" s="8">
        <v>40</v>
      </c>
      <c r="AG243" s="8">
        <v>0</v>
      </c>
      <c r="AH243" s="8">
        <v>0</v>
      </c>
      <c r="AI243" s="8">
        <v>0</v>
      </c>
      <c r="AJ243" s="8">
        <v>0</v>
      </c>
    </row>
    <row r="244" spans="1:36">
      <c r="A244" s="2">
        <v>302109</v>
      </c>
      <c r="B244" s="2">
        <v>30</v>
      </c>
      <c r="C244" s="2" t="s">
        <v>128</v>
      </c>
      <c r="D244" s="2"/>
      <c r="E244" s="12"/>
      <c r="F244" s="2"/>
      <c r="G244" s="2">
        <v>12</v>
      </c>
      <c r="H244" s="2">
        <v>1</v>
      </c>
      <c r="I244" s="2" t="s">
        <v>81</v>
      </c>
      <c r="J244" s="2">
        <v>0</v>
      </c>
      <c r="K244" s="2" t="s">
        <v>146</v>
      </c>
      <c r="L244" s="2">
        <v>1000006</v>
      </c>
      <c r="M244" s="2">
        <v>1</v>
      </c>
      <c r="N244" s="2">
        <v>100</v>
      </c>
      <c r="O244" s="2">
        <v>0</v>
      </c>
      <c r="P244" s="2">
        <v>15</v>
      </c>
      <c r="Q244" s="2">
        <v>0</v>
      </c>
      <c r="R244" s="2">
        <v>36</v>
      </c>
      <c r="S244" s="2">
        <v>-5500</v>
      </c>
      <c r="T244" s="2">
        <v>1</v>
      </c>
      <c r="U244" s="2">
        <v>0</v>
      </c>
      <c r="V244" s="2" t="s">
        <v>110</v>
      </c>
      <c r="W244" s="2" t="s">
        <v>111</v>
      </c>
      <c r="X244" s="2" t="s">
        <v>124</v>
      </c>
      <c r="Y244" s="17">
        <v>201002011</v>
      </c>
      <c r="Z244" s="17">
        <v>0</v>
      </c>
      <c r="AA244" s="2">
        <v>1</v>
      </c>
      <c r="AB244" s="12" t="s">
        <v>83</v>
      </c>
      <c r="AC244" s="2">
        <v>15000</v>
      </c>
      <c r="AD244" s="2">
        <v>10000</v>
      </c>
      <c r="AE244" s="2">
        <v>25010001</v>
      </c>
      <c r="AF244" s="8">
        <v>40</v>
      </c>
      <c r="AG244" s="8">
        <v>0</v>
      </c>
      <c r="AH244" s="8">
        <v>0</v>
      </c>
      <c r="AI244" s="8">
        <v>0</v>
      </c>
      <c r="AJ244" s="8">
        <v>0</v>
      </c>
    </row>
    <row r="245" spans="1:36">
      <c r="A245" s="2">
        <v>302110</v>
      </c>
      <c r="B245" s="2">
        <v>30</v>
      </c>
      <c r="C245" s="2" t="s">
        <v>130</v>
      </c>
      <c r="D245" s="2"/>
      <c r="E245" s="12"/>
      <c r="F245" s="2"/>
      <c r="G245" s="2">
        <v>12</v>
      </c>
      <c r="H245" s="2">
        <v>1</v>
      </c>
      <c r="I245" s="2" t="s">
        <v>81</v>
      </c>
      <c r="J245" s="2">
        <v>0</v>
      </c>
      <c r="K245" s="2" t="s">
        <v>147</v>
      </c>
      <c r="L245" s="2">
        <v>1000103</v>
      </c>
      <c r="M245" s="2">
        <v>1</v>
      </c>
      <c r="N245" s="2">
        <v>100</v>
      </c>
      <c r="O245" s="2">
        <v>0</v>
      </c>
      <c r="P245" s="2">
        <v>15</v>
      </c>
      <c r="Q245" s="2">
        <v>0</v>
      </c>
      <c r="R245" s="2">
        <v>36</v>
      </c>
      <c r="S245" s="2">
        <v>-5500</v>
      </c>
      <c r="T245" s="2">
        <v>1</v>
      </c>
      <c r="U245" s="2">
        <v>0</v>
      </c>
      <c r="V245" s="2" t="s">
        <v>110</v>
      </c>
      <c r="W245" s="2" t="s">
        <v>111</v>
      </c>
      <c r="X245" s="2" t="s">
        <v>124</v>
      </c>
      <c r="Y245" s="17">
        <v>201002011</v>
      </c>
      <c r="Z245" s="17">
        <v>0</v>
      </c>
      <c r="AA245" s="2">
        <v>1</v>
      </c>
      <c r="AB245" s="12" t="s">
        <v>83</v>
      </c>
      <c r="AC245" s="2">
        <v>15000</v>
      </c>
      <c r="AD245" s="2">
        <v>10000</v>
      </c>
      <c r="AE245" s="2">
        <v>25010001</v>
      </c>
      <c r="AF245" s="8">
        <v>40</v>
      </c>
      <c r="AG245" s="8">
        <v>0</v>
      </c>
      <c r="AH245" s="8">
        <v>0</v>
      </c>
      <c r="AI245" s="8">
        <v>0</v>
      </c>
      <c r="AJ245" s="8">
        <v>0</v>
      </c>
    </row>
    <row r="246" spans="1:36">
      <c r="A246" s="2">
        <v>302111</v>
      </c>
      <c r="B246" s="2">
        <v>30</v>
      </c>
      <c r="C246" s="2" t="s">
        <v>132</v>
      </c>
      <c r="D246" s="2"/>
      <c r="E246" s="12"/>
      <c r="F246" s="2"/>
      <c r="G246" s="2">
        <v>12</v>
      </c>
      <c r="H246" s="2">
        <v>1</v>
      </c>
      <c r="I246" s="2" t="s">
        <v>81</v>
      </c>
      <c r="J246" s="2">
        <v>0</v>
      </c>
      <c r="K246" s="2" t="s">
        <v>147</v>
      </c>
      <c r="L246" s="2">
        <v>1000103</v>
      </c>
      <c r="M246" s="2">
        <v>1</v>
      </c>
      <c r="N246" s="2">
        <v>100</v>
      </c>
      <c r="O246" s="2">
        <v>0</v>
      </c>
      <c r="P246" s="2">
        <v>15</v>
      </c>
      <c r="Q246" s="2">
        <v>0</v>
      </c>
      <c r="R246" s="2">
        <v>36</v>
      </c>
      <c r="S246" s="2">
        <v>-5500</v>
      </c>
      <c r="T246" s="2">
        <v>1</v>
      </c>
      <c r="U246" s="2">
        <v>0</v>
      </c>
      <c r="V246" s="2" t="s">
        <v>110</v>
      </c>
      <c r="W246" s="2" t="s">
        <v>111</v>
      </c>
      <c r="X246" s="2" t="s">
        <v>124</v>
      </c>
      <c r="Y246" s="17">
        <v>201002011</v>
      </c>
      <c r="Z246" s="17">
        <v>0</v>
      </c>
      <c r="AA246" s="2">
        <v>1</v>
      </c>
      <c r="AB246" s="12" t="s">
        <v>83</v>
      </c>
      <c r="AC246" s="2">
        <v>15000</v>
      </c>
      <c r="AD246" s="2">
        <v>10000</v>
      </c>
      <c r="AE246" s="2">
        <v>25010001</v>
      </c>
      <c r="AF246" s="8">
        <v>40</v>
      </c>
      <c r="AG246" s="8">
        <v>0</v>
      </c>
      <c r="AH246" s="8">
        <v>0</v>
      </c>
      <c r="AI246" s="8">
        <v>0</v>
      </c>
      <c r="AJ246" s="8">
        <v>0</v>
      </c>
    </row>
    <row r="247" spans="1:36">
      <c r="A247" s="2">
        <v>302112</v>
      </c>
      <c r="B247" s="2">
        <v>30</v>
      </c>
      <c r="C247" s="2" t="s">
        <v>134</v>
      </c>
      <c r="D247" s="2"/>
      <c r="E247" s="12"/>
      <c r="F247" s="2"/>
      <c r="G247" s="2">
        <v>12</v>
      </c>
      <c r="H247" s="2">
        <v>1</v>
      </c>
      <c r="I247" s="2" t="s">
        <v>81</v>
      </c>
      <c r="J247" s="2">
        <v>0</v>
      </c>
      <c r="K247" s="2" t="s">
        <v>147</v>
      </c>
      <c r="L247" s="2">
        <v>1000103</v>
      </c>
      <c r="M247" s="2">
        <v>1</v>
      </c>
      <c r="N247" s="2">
        <v>100</v>
      </c>
      <c r="O247" s="2">
        <v>0</v>
      </c>
      <c r="P247" s="2">
        <v>15</v>
      </c>
      <c r="Q247" s="2">
        <v>0</v>
      </c>
      <c r="R247" s="2">
        <v>36</v>
      </c>
      <c r="S247" s="2">
        <v>-5500</v>
      </c>
      <c r="T247" s="2">
        <v>1</v>
      </c>
      <c r="U247" s="2">
        <v>0</v>
      </c>
      <c r="V247" s="2" t="s">
        <v>110</v>
      </c>
      <c r="W247" s="2" t="s">
        <v>111</v>
      </c>
      <c r="X247" s="2" t="s">
        <v>124</v>
      </c>
      <c r="Y247" s="17">
        <v>201002011</v>
      </c>
      <c r="Z247" s="17">
        <v>0</v>
      </c>
      <c r="AA247" s="2">
        <v>1</v>
      </c>
      <c r="AB247" s="12" t="s">
        <v>83</v>
      </c>
      <c r="AC247" s="2">
        <v>15000</v>
      </c>
      <c r="AD247" s="2">
        <v>10000</v>
      </c>
      <c r="AE247" s="2">
        <v>25010001</v>
      </c>
      <c r="AF247" s="8">
        <v>40</v>
      </c>
      <c r="AG247" s="8">
        <v>0</v>
      </c>
      <c r="AH247" s="8">
        <v>0</v>
      </c>
      <c r="AI247" s="8">
        <v>0</v>
      </c>
      <c r="AJ247" s="8">
        <v>0</v>
      </c>
    </row>
    <row r="248" ht="14.25" spans="1:36">
      <c r="A248" s="3">
        <v>302113</v>
      </c>
      <c r="B248" s="3">
        <v>30</v>
      </c>
      <c r="C248" s="3" t="s">
        <v>136</v>
      </c>
      <c r="D248" s="3"/>
      <c r="F248" s="3"/>
      <c r="G248" s="3">
        <v>12</v>
      </c>
      <c r="H248" s="3">
        <v>1</v>
      </c>
      <c r="I248" s="3" t="s">
        <v>81</v>
      </c>
      <c r="J248" s="3">
        <v>0</v>
      </c>
      <c r="K248" s="3" t="s">
        <v>137</v>
      </c>
      <c r="L248" s="3">
        <v>800003021</v>
      </c>
      <c r="M248" s="3">
        <v>1</v>
      </c>
      <c r="N248" s="3">
        <v>500</v>
      </c>
      <c r="O248" s="3">
        <v>0</v>
      </c>
      <c r="P248" s="3">
        <v>42</v>
      </c>
      <c r="Q248" s="3">
        <v>3</v>
      </c>
      <c r="R248" s="15">
        <v>1496</v>
      </c>
      <c r="S248" s="3">
        <v>-5500</v>
      </c>
      <c r="T248" s="3">
        <v>1</v>
      </c>
      <c r="U248" s="3">
        <v>30000</v>
      </c>
      <c r="V248" s="3" t="s">
        <v>110</v>
      </c>
      <c r="W248" s="3" t="s">
        <v>111</v>
      </c>
      <c r="X248" s="3" t="s">
        <v>138</v>
      </c>
      <c r="Y248" s="16">
        <v>203002011</v>
      </c>
      <c r="Z248" s="16">
        <v>0</v>
      </c>
      <c r="AA248" s="3">
        <v>1</v>
      </c>
      <c r="AB248" s="8" t="s">
        <v>139</v>
      </c>
      <c r="AC248" s="3">
        <v>15000</v>
      </c>
      <c r="AD248" s="3">
        <v>10000</v>
      </c>
      <c r="AE248" s="3">
        <v>25010001</v>
      </c>
      <c r="AF248" s="8">
        <v>40</v>
      </c>
      <c r="AG248" s="8">
        <v>1000</v>
      </c>
      <c r="AH248" s="8">
        <v>5000</v>
      </c>
      <c r="AI248" s="8">
        <v>40</v>
      </c>
      <c r="AJ248" s="8">
        <v>0</v>
      </c>
    </row>
    <row r="249" spans="1:36">
      <c r="A249" s="2">
        <v>302114</v>
      </c>
      <c r="B249" s="2">
        <v>30</v>
      </c>
      <c r="C249" s="2" t="s">
        <v>140</v>
      </c>
      <c r="D249" s="2"/>
      <c r="E249" s="12"/>
      <c r="F249" s="2"/>
      <c r="G249" s="2">
        <v>12</v>
      </c>
      <c r="H249" s="2">
        <v>1</v>
      </c>
      <c r="I249" s="2" t="s">
        <v>81</v>
      </c>
      <c r="J249" s="2">
        <v>0</v>
      </c>
      <c r="K249" s="2" t="s">
        <v>148</v>
      </c>
      <c r="L249" s="2">
        <v>1000011</v>
      </c>
      <c r="M249" s="2">
        <v>1</v>
      </c>
      <c r="N249" s="2">
        <v>100</v>
      </c>
      <c r="O249" s="2">
        <v>0</v>
      </c>
      <c r="P249" s="2">
        <v>15</v>
      </c>
      <c r="Q249" s="2">
        <v>0</v>
      </c>
      <c r="R249" s="2">
        <v>36</v>
      </c>
      <c r="S249" s="2">
        <v>-5500</v>
      </c>
      <c r="T249" s="2">
        <v>1</v>
      </c>
      <c r="U249" s="2">
        <v>0</v>
      </c>
      <c r="V249" s="2" t="s">
        <v>110</v>
      </c>
      <c r="W249" s="2" t="s">
        <v>111</v>
      </c>
      <c r="X249" s="2" t="s">
        <v>124</v>
      </c>
      <c r="Y249" s="17">
        <v>201002011</v>
      </c>
      <c r="Z249" s="17">
        <v>0</v>
      </c>
      <c r="AA249" s="2">
        <v>1</v>
      </c>
      <c r="AB249" s="12" t="s">
        <v>83</v>
      </c>
      <c r="AC249" s="2">
        <v>15000</v>
      </c>
      <c r="AD249" s="2">
        <v>10000</v>
      </c>
      <c r="AE249" s="2">
        <v>0</v>
      </c>
      <c r="AF249" s="8">
        <v>40</v>
      </c>
      <c r="AG249" s="8">
        <v>0</v>
      </c>
      <c r="AH249" s="8">
        <v>0</v>
      </c>
      <c r="AI249" s="8">
        <v>0</v>
      </c>
      <c r="AJ249" s="8">
        <v>0</v>
      </c>
    </row>
    <row r="250" spans="1:36">
      <c r="A250" s="2">
        <v>302115</v>
      </c>
      <c r="B250" s="2">
        <v>30</v>
      </c>
      <c r="C250" s="2" t="s">
        <v>142</v>
      </c>
      <c r="D250" s="2"/>
      <c r="E250" s="12"/>
      <c r="F250" s="2"/>
      <c r="G250" s="2">
        <v>12</v>
      </c>
      <c r="H250" s="2">
        <v>1</v>
      </c>
      <c r="I250" s="2" t="s">
        <v>81</v>
      </c>
      <c r="J250" s="2">
        <v>0</v>
      </c>
      <c r="K250" s="2" t="s">
        <v>148</v>
      </c>
      <c r="L250" s="2">
        <v>1000011</v>
      </c>
      <c r="M250" s="2">
        <v>1</v>
      </c>
      <c r="N250" s="2">
        <v>100</v>
      </c>
      <c r="O250" s="2">
        <v>0</v>
      </c>
      <c r="P250" s="2">
        <v>15</v>
      </c>
      <c r="Q250" s="2">
        <v>0</v>
      </c>
      <c r="R250" s="2">
        <v>36</v>
      </c>
      <c r="S250" s="2">
        <v>-5500</v>
      </c>
      <c r="T250" s="2">
        <v>1</v>
      </c>
      <c r="U250" s="2">
        <v>0</v>
      </c>
      <c r="V250" s="2" t="s">
        <v>110</v>
      </c>
      <c r="W250" s="2" t="s">
        <v>111</v>
      </c>
      <c r="X250" s="2" t="s">
        <v>124</v>
      </c>
      <c r="Y250" s="17">
        <v>201002011</v>
      </c>
      <c r="Z250" s="17">
        <v>0</v>
      </c>
      <c r="AA250" s="2">
        <v>1</v>
      </c>
      <c r="AB250" s="12" t="s">
        <v>83</v>
      </c>
      <c r="AC250" s="2">
        <v>15000</v>
      </c>
      <c r="AD250" s="2">
        <v>10000</v>
      </c>
      <c r="AE250" s="2">
        <v>0</v>
      </c>
      <c r="AF250" s="8">
        <v>40</v>
      </c>
      <c r="AG250" s="8">
        <v>0</v>
      </c>
      <c r="AH250" s="8">
        <v>0</v>
      </c>
      <c r="AI250" s="8">
        <v>0</v>
      </c>
      <c r="AJ250" s="8">
        <v>0</v>
      </c>
    </row>
    <row r="251" spans="1:36">
      <c r="A251" s="3">
        <v>303101</v>
      </c>
      <c r="B251" s="3">
        <v>30</v>
      </c>
      <c r="C251" s="3" t="s">
        <v>108</v>
      </c>
      <c r="D251" s="3"/>
      <c r="F251" s="3"/>
      <c r="G251" s="3">
        <v>12</v>
      </c>
      <c r="H251" s="3">
        <v>1</v>
      </c>
      <c r="I251" s="3" t="s">
        <v>81</v>
      </c>
      <c r="J251" s="3">
        <v>0</v>
      </c>
      <c r="K251" s="3" t="s">
        <v>109</v>
      </c>
      <c r="L251" s="3">
        <v>800001011</v>
      </c>
      <c r="M251" s="3">
        <v>1</v>
      </c>
      <c r="N251" s="3">
        <v>70</v>
      </c>
      <c r="O251" s="3">
        <v>0</v>
      </c>
      <c r="P251" s="3">
        <v>18</v>
      </c>
      <c r="Q251" s="3">
        <v>0</v>
      </c>
      <c r="R251" s="3">
        <v>211</v>
      </c>
      <c r="S251" s="3">
        <v>-5500</v>
      </c>
      <c r="T251" s="3">
        <v>1</v>
      </c>
      <c r="U251" s="3">
        <v>0</v>
      </c>
      <c r="V251" s="3" t="s">
        <v>110</v>
      </c>
      <c r="W251" s="3" t="s">
        <v>111</v>
      </c>
      <c r="X251" s="3" t="s">
        <v>160</v>
      </c>
      <c r="Y251" s="16">
        <v>201001011</v>
      </c>
      <c r="Z251" s="16">
        <v>0</v>
      </c>
      <c r="AA251" s="3">
        <v>1</v>
      </c>
      <c r="AB251" s="8" t="s">
        <v>113</v>
      </c>
      <c r="AC251" s="3">
        <v>15000</v>
      </c>
      <c r="AD251" s="3">
        <v>10000</v>
      </c>
      <c r="AE251" s="3">
        <v>25010001</v>
      </c>
      <c r="AF251" s="8">
        <v>40</v>
      </c>
      <c r="AG251" s="8">
        <v>10000</v>
      </c>
      <c r="AH251" s="8">
        <v>10000</v>
      </c>
      <c r="AI251" s="8">
        <v>50</v>
      </c>
      <c r="AJ251" s="8">
        <v>0</v>
      </c>
    </row>
    <row r="252" spans="1:36">
      <c r="A252" s="3">
        <v>303102</v>
      </c>
      <c r="B252" s="3">
        <v>30</v>
      </c>
      <c r="C252" s="3" t="s">
        <v>114</v>
      </c>
      <c r="D252" s="3"/>
      <c r="F252" s="3"/>
      <c r="G252" s="3">
        <v>12</v>
      </c>
      <c r="H252" s="3">
        <v>1</v>
      </c>
      <c r="I252" s="3" t="s">
        <v>81</v>
      </c>
      <c r="J252" s="3">
        <v>0</v>
      </c>
      <c r="K252" s="3" t="s">
        <v>115</v>
      </c>
      <c r="L252" s="3">
        <v>800001021</v>
      </c>
      <c r="M252" s="3">
        <v>1</v>
      </c>
      <c r="N252" s="3">
        <v>200</v>
      </c>
      <c r="O252" s="3">
        <v>0</v>
      </c>
      <c r="P252" s="3">
        <v>35</v>
      </c>
      <c r="Q252" s="3">
        <v>4</v>
      </c>
      <c r="R252" s="3">
        <v>570</v>
      </c>
      <c r="S252" s="3">
        <v>-5500</v>
      </c>
      <c r="T252" s="3">
        <v>1</v>
      </c>
      <c r="U252" s="3">
        <v>0</v>
      </c>
      <c r="V252" s="3" t="s">
        <v>110</v>
      </c>
      <c r="W252" s="3" t="s">
        <v>111</v>
      </c>
      <c r="X252" s="3" t="s">
        <v>160</v>
      </c>
      <c r="Y252" s="16">
        <v>201002011</v>
      </c>
      <c r="Z252" s="16">
        <v>0</v>
      </c>
      <c r="AA252" s="3">
        <v>1</v>
      </c>
      <c r="AB252" s="8" t="s">
        <v>116</v>
      </c>
      <c r="AC252" s="3">
        <v>15000</v>
      </c>
      <c r="AD252" s="3">
        <v>10000</v>
      </c>
      <c r="AE252" s="3">
        <v>25010001</v>
      </c>
      <c r="AF252" s="8">
        <v>40</v>
      </c>
      <c r="AG252" s="8">
        <v>3000</v>
      </c>
      <c r="AH252" s="8">
        <v>10000</v>
      </c>
      <c r="AI252" s="8">
        <v>15</v>
      </c>
      <c r="AJ252" s="8">
        <v>0</v>
      </c>
    </row>
    <row r="253" spans="1:36">
      <c r="A253" s="2">
        <v>303103</v>
      </c>
      <c r="B253" s="2">
        <v>30</v>
      </c>
      <c r="C253" s="2" t="s">
        <v>117</v>
      </c>
      <c r="D253" s="2"/>
      <c r="E253" s="12"/>
      <c r="F253" s="2"/>
      <c r="G253" s="2">
        <v>12</v>
      </c>
      <c r="H253" s="2">
        <v>1</v>
      </c>
      <c r="I253" s="2" t="s">
        <v>81</v>
      </c>
      <c r="J253" s="2">
        <v>0</v>
      </c>
      <c r="K253" s="2" t="s">
        <v>144</v>
      </c>
      <c r="L253" s="2">
        <v>800001021</v>
      </c>
      <c r="M253" s="2">
        <v>1</v>
      </c>
      <c r="N253" s="2">
        <v>70</v>
      </c>
      <c r="O253" s="2">
        <v>0</v>
      </c>
      <c r="P253" s="2">
        <v>15</v>
      </c>
      <c r="Q253" s="2">
        <v>1</v>
      </c>
      <c r="R253" s="2">
        <v>300</v>
      </c>
      <c r="S253" s="2">
        <v>-5500</v>
      </c>
      <c r="T253" s="2">
        <v>1</v>
      </c>
      <c r="U253" s="2">
        <v>250</v>
      </c>
      <c r="V253" s="2" t="s">
        <v>110</v>
      </c>
      <c r="W253" s="2" t="s">
        <v>111</v>
      </c>
      <c r="X253" s="2" t="s">
        <v>160</v>
      </c>
      <c r="Y253" s="17">
        <v>201002011</v>
      </c>
      <c r="Z253" s="17">
        <v>0</v>
      </c>
      <c r="AA253" s="2">
        <v>1</v>
      </c>
      <c r="AB253" s="12" t="s">
        <v>113</v>
      </c>
      <c r="AC253" s="2">
        <v>15000</v>
      </c>
      <c r="AD253" s="2">
        <v>10000</v>
      </c>
      <c r="AE253" s="2">
        <v>25010001</v>
      </c>
      <c r="AF253" s="8">
        <v>40</v>
      </c>
      <c r="AG253" s="8">
        <v>0</v>
      </c>
      <c r="AH253" s="8">
        <v>0</v>
      </c>
      <c r="AI253" s="8">
        <v>0</v>
      </c>
      <c r="AJ253" s="8">
        <v>0</v>
      </c>
    </row>
    <row r="254" spans="1:36">
      <c r="A254" s="3">
        <v>303104</v>
      </c>
      <c r="B254" s="3">
        <v>30</v>
      </c>
      <c r="C254" s="3" t="s">
        <v>118</v>
      </c>
      <c r="D254" s="3"/>
      <c r="F254" s="3"/>
      <c r="G254" s="3">
        <v>12</v>
      </c>
      <c r="H254" s="3">
        <v>1</v>
      </c>
      <c r="I254" s="3" t="s">
        <v>81</v>
      </c>
      <c r="J254" s="3">
        <v>0</v>
      </c>
      <c r="K254" s="3" t="s">
        <v>119</v>
      </c>
      <c r="L254" s="3">
        <v>800001041</v>
      </c>
      <c r="M254" s="3">
        <v>1</v>
      </c>
      <c r="N254" s="3">
        <v>70</v>
      </c>
      <c r="O254" s="3">
        <v>0</v>
      </c>
      <c r="P254" s="3">
        <v>27</v>
      </c>
      <c r="Q254" s="3">
        <v>0</v>
      </c>
      <c r="R254" s="3">
        <v>169</v>
      </c>
      <c r="S254" s="3">
        <v>-5500</v>
      </c>
      <c r="T254" s="3">
        <v>1</v>
      </c>
      <c r="U254" s="3">
        <v>0</v>
      </c>
      <c r="V254" s="3" t="s">
        <v>110</v>
      </c>
      <c r="W254" s="3" t="s">
        <v>111</v>
      </c>
      <c r="X254" s="3" t="s">
        <v>160</v>
      </c>
      <c r="Y254" s="16">
        <v>201004011</v>
      </c>
      <c r="Z254" s="16">
        <v>0</v>
      </c>
      <c r="AA254" s="3">
        <v>1</v>
      </c>
      <c r="AB254" s="8" t="s">
        <v>113</v>
      </c>
      <c r="AC254" s="3">
        <v>15000</v>
      </c>
      <c r="AD254" s="3">
        <v>10000</v>
      </c>
      <c r="AE254" s="3">
        <v>25010001</v>
      </c>
      <c r="AF254" s="8">
        <v>40</v>
      </c>
      <c r="AG254" s="8">
        <v>10000</v>
      </c>
      <c r="AH254" s="8">
        <v>10000</v>
      </c>
      <c r="AI254" s="8">
        <v>80</v>
      </c>
      <c r="AJ254" s="8">
        <v>10</v>
      </c>
    </row>
    <row r="255" spans="1:36">
      <c r="A255" s="3">
        <v>303105</v>
      </c>
      <c r="B255" s="3">
        <v>30</v>
      </c>
      <c r="C255" s="3" t="s">
        <v>120</v>
      </c>
      <c r="D255" s="3"/>
      <c r="F255" s="3"/>
      <c r="G255" s="3">
        <v>12</v>
      </c>
      <c r="H255" s="3">
        <v>1</v>
      </c>
      <c r="I255" s="3" t="s">
        <v>81</v>
      </c>
      <c r="J255" s="3">
        <v>0</v>
      </c>
      <c r="K255" s="3" t="s">
        <v>121</v>
      </c>
      <c r="L255" s="3">
        <v>800014011</v>
      </c>
      <c r="M255" s="3">
        <v>1</v>
      </c>
      <c r="N255" s="3">
        <v>125</v>
      </c>
      <c r="O255" s="3">
        <v>0</v>
      </c>
      <c r="P255" s="3">
        <v>24</v>
      </c>
      <c r="Q255" s="3">
        <v>2</v>
      </c>
      <c r="R255" s="3">
        <v>301</v>
      </c>
      <c r="S255" s="3">
        <v>-5500</v>
      </c>
      <c r="T255" s="3">
        <v>1</v>
      </c>
      <c r="U255" s="3">
        <v>0</v>
      </c>
      <c r="V255" s="3" t="s">
        <v>110</v>
      </c>
      <c r="W255" s="3" t="s">
        <v>111</v>
      </c>
      <c r="X255" s="3" t="s">
        <v>160</v>
      </c>
      <c r="Y255" s="16">
        <v>214001011</v>
      </c>
      <c r="Z255" s="16">
        <v>0</v>
      </c>
      <c r="AA255" s="3">
        <v>1</v>
      </c>
      <c r="AB255" s="8" t="s">
        <v>122</v>
      </c>
      <c r="AC255" s="3">
        <v>15000</v>
      </c>
      <c r="AD255" s="3">
        <v>10000</v>
      </c>
      <c r="AE255" s="3">
        <v>25010001</v>
      </c>
      <c r="AF255" s="8">
        <v>40</v>
      </c>
      <c r="AG255" s="8">
        <v>10000</v>
      </c>
      <c r="AH255" s="8">
        <v>10000</v>
      </c>
      <c r="AI255" s="8">
        <v>40</v>
      </c>
      <c r="AJ255" s="8">
        <v>0</v>
      </c>
    </row>
    <row r="256" spans="1:36">
      <c r="A256" s="2">
        <v>303106</v>
      </c>
      <c r="B256" s="2">
        <v>30</v>
      </c>
      <c r="C256" s="2" t="s">
        <v>123</v>
      </c>
      <c r="D256" s="2"/>
      <c r="E256" s="12"/>
      <c r="F256" s="2"/>
      <c r="G256" s="2">
        <v>12</v>
      </c>
      <c r="H256" s="2">
        <v>1</v>
      </c>
      <c r="I256" s="2" t="s">
        <v>81</v>
      </c>
      <c r="J256" s="2">
        <v>0</v>
      </c>
      <c r="K256" s="2" t="s">
        <v>145</v>
      </c>
      <c r="L256" s="2">
        <v>1000010</v>
      </c>
      <c r="M256" s="2">
        <v>1</v>
      </c>
      <c r="N256" s="2">
        <v>100</v>
      </c>
      <c r="O256" s="2">
        <v>0</v>
      </c>
      <c r="P256" s="2">
        <v>15</v>
      </c>
      <c r="Q256" s="2">
        <v>0</v>
      </c>
      <c r="R256" s="2">
        <v>36</v>
      </c>
      <c r="S256" s="2">
        <v>-5500</v>
      </c>
      <c r="T256" s="2">
        <v>1</v>
      </c>
      <c r="U256" s="2">
        <v>0</v>
      </c>
      <c r="V256" s="2" t="s">
        <v>110</v>
      </c>
      <c r="W256" s="2" t="s">
        <v>111</v>
      </c>
      <c r="X256" s="2" t="s">
        <v>124</v>
      </c>
      <c r="Y256" s="17">
        <v>201002011</v>
      </c>
      <c r="Z256" s="17">
        <v>0</v>
      </c>
      <c r="AA256" s="2">
        <v>1</v>
      </c>
      <c r="AB256" s="12" t="s">
        <v>83</v>
      </c>
      <c r="AC256" s="2">
        <v>15000</v>
      </c>
      <c r="AD256" s="2">
        <v>10000</v>
      </c>
      <c r="AE256" s="2">
        <v>25010001</v>
      </c>
      <c r="AF256" s="8">
        <v>40</v>
      </c>
      <c r="AG256" s="8">
        <v>0</v>
      </c>
      <c r="AH256" s="8">
        <v>0</v>
      </c>
      <c r="AI256" s="8">
        <v>0</v>
      </c>
      <c r="AJ256" s="8">
        <v>0</v>
      </c>
    </row>
    <row r="257" spans="1:36">
      <c r="A257" s="2">
        <v>303107</v>
      </c>
      <c r="B257" s="2">
        <v>30</v>
      </c>
      <c r="C257" s="2" t="s">
        <v>125</v>
      </c>
      <c r="D257" s="2"/>
      <c r="E257" s="12"/>
      <c r="F257" s="2"/>
      <c r="G257" s="2">
        <v>12</v>
      </c>
      <c r="H257" s="2">
        <v>1</v>
      </c>
      <c r="I257" s="2" t="s">
        <v>81</v>
      </c>
      <c r="J257" s="2">
        <v>0</v>
      </c>
      <c r="K257" s="2" t="s">
        <v>146</v>
      </c>
      <c r="L257" s="2">
        <v>1000006</v>
      </c>
      <c r="M257" s="2">
        <v>1</v>
      </c>
      <c r="N257" s="2">
        <v>100</v>
      </c>
      <c r="O257" s="2">
        <v>0</v>
      </c>
      <c r="P257" s="2">
        <v>15</v>
      </c>
      <c r="Q257" s="2">
        <v>0</v>
      </c>
      <c r="R257" s="2">
        <v>36</v>
      </c>
      <c r="S257" s="2">
        <v>-5500</v>
      </c>
      <c r="T257" s="2">
        <v>1</v>
      </c>
      <c r="U257" s="2">
        <v>0</v>
      </c>
      <c r="V257" s="2" t="s">
        <v>110</v>
      </c>
      <c r="W257" s="2" t="s">
        <v>111</v>
      </c>
      <c r="X257" s="2" t="s">
        <v>124</v>
      </c>
      <c r="Y257" s="17">
        <v>201002011</v>
      </c>
      <c r="Z257" s="17">
        <v>0</v>
      </c>
      <c r="AA257" s="2">
        <v>1</v>
      </c>
      <c r="AB257" s="12" t="s">
        <v>83</v>
      </c>
      <c r="AC257" s="2">
        <v>15000</v>
      </c>
      <c r="AD257" s="2">
        <v>10000</v>
      </c>
      <c r="AE257" s="2">
        <v>25010001</v>
      </c>
      <c r="AF257" s="8">
        <v>40</v>
      </c>
      <c r="AG257" s="8">
        <v>0</v>
      </c>
      <c r="AH257" s="8">
        <v>0</v>
      </c>
      <c r="AI257" s="8">
        <v>0</v>
      </c>
      <c r="AJ257" s="8">
        <v>0</v>
      </c>
    </row>
    <row r="258" spans="1:36">
      <c r="A258" s="2">
        <v>303108</v>
      </c>
      <c r="B258" s="2">
        <v>30</v>
      </c>
      <c r="C258" s="2" t="s">
        <v>126</v>
      </c>
      <c r="D258" s="2"/>
      <c r="E258" s="12"/>
      <c r="F258" s="2"/>
      <c r="G258" s="2">
        <v>12</v>
      </c>
      <c r="H258" s="2">
        <v>1</v>
      </c>
      <c r="I258" s="2" t="s">
        <v>81</v>
      </c>
      <c r="J258" s="2">
        <v>0</v>
      </c>
      <c r="K258" s="2" t="s">
        <v>146</v>
      </c>
      <c r="L258" s="2">
        <v>1000006</v>
      </c>
      <c r="M258" s="2">
        <v>1</v>
      </c>
      <c r="N258" s="2">
        <v>100</v>
      </c>
      <c r="O258" s="2">
        <v>0</v>
      </c>
      <c r="P258" s="2">
        <v>15</v>
      </c>
      <c r="Q258" s="2">
        <v>0</v>
      </c>
      <c r="R258" s="2">
        <v>36</v>
      </c>
      <c r="S258" s="2">
        <v>-5500</v>
      </c>
      <c r="T258" s="2">
        <v>1</v>
      </c>
      <c r="U258" s="2">
        <v>0</v>
      </c>
      <c r="V258" s="2" t="s">
        <v>110</v>
      </c>
      <c r="W258" s="2" t="s">
        <v>111</v>
      </c>
      <c r="X258" s="2" t="s">
        <v>124</v>
      </c>
      <c r="Y258" s="17">
        <v>201002011</v>
      </c>
      <c r="Z258" s="17">
        <v>0</v>
      </c>
      <c r="AA258" s="2">
        <v>1</v>
      </c>
      <c r="AB258" s="12" t="s">
        <v>83</v>
      </c>
      <c r="AC258" s="2">
        <v>15000</v>
      </c>
      <c r="AD258" s="2">
        <v>10000</v>
      </c>
      <c r="AE258" s="2">
        <v>25010001</v>
      </c>
      <c r="AF258" s="8">
        <v>40</v>
      </c>
      <c r="AG258" s="8">
        <v>0</v>
      </c>
      <c r="AH258" s="8">
        <v>0</v>
      </c>
      <c r="AI258" s="8">
        <v>0</v>
      </c>
      <c r="AJ258" s="8">
        <v>0</v>
      </c>
    </row>
    <row r="259" spans="1:36">
      <c r="A259" s="2">
        <v>303109</v>
      </c>
      <c r="B259" s="2">
        <v>30</v>
      </c>
      <c r="C259" s="2" t="s">
        <v>128</v>
      </c>
      <c r="D259" s="2"/>
      <c r="E259" s="12"/>
      <c r="F259" s="2"/>
      <c r="G259" s="2">
        <v>12</v>
      </c>
      <c r="H259" s="2">
        <v>1</v>
      </c>
      <c r="I259" s="2" t="s">
        <v>81</v>
      </c>
      <c r="J259" s="2">
        <v>0</v>
      </c>
      <c r="K259" s="2" t="s">
        <v>146</v>
      </c>
      <c r="L259" s="2">
        <v>1000006</v>
      </c>
      <c r="M259" s="2">
        <v>1</v>
      </c>
      <c r="N259" s="2">
        <v>100</v>
      </c>
      <c r="O259" s="2">
        <v>0</v>
      </c>
      <c r="P259" s="2">
        <v>15</v>
      </c>
      <c r="Q259" s="2">
        <v>0</v>
      </c>
      <c r="R259" s="2">
        <v>36</v>
      </c>
      <c r="S259" s="2">
        <v>-5500</v>
      </c>
      <c r="T259" s="2">
        <v>1</v>
      </c>
      <c r="U259" s="2">
        <v>0</v>
      </c>
      <c r="V259" s="2" t="s">
        <v>110</v>
      </c>
      <c r="W259" s="2" t="s">
        <v>111</v>
      </c>
      <c r="X259" s="2" t="s">
        <v>124</v>
      </c>
      <c r="Y259" s="17">
        <v>201002011</v>
      </c>
      <c r="Z259" s="17">
        <v>0</v>
      </c>
      <c r="AA259" s="2">
        <v>1</v>
      </c>
      <c r="AB259" s="12" t="s">
        <v>83</v>
      </c>
      <c r="AC259" s="2">
        <v>15000</v>
      </c>
      <c r="AD259" s="2">
        <v>10000</v>
      </c>
      <c r="AE259" s="2">
        <v>25010001</v>
      </c>
      <c r="AF259" s="8">
        <v>40</v>
      </c>
      <c r="AG259" s="8">
        <v>0</v>
      </c>
      <c r="AH259" s="8">
        <v>0</v>
      </c>
      <c r="AI259" s="8">
        <v>0</v>
      </c>
      <c r="AJ259" s="8">
        <v>0</v>
      </c>
    </row>
    <row r="260" spans="1:36">
      <c r="A260" s="2">
        <v>303110</v>
      </c>
      <c r="B260" s="2">
        <v>30</v>
      </c>
      <c r="C260" s="2" t="s">
        <v>130</v>
      </c>
      <c r="D260" s="2"/>
      <c r="E260" s="12"/>
      <c r="F260" s="2"/>
      <c r="G260" s="2">
        <v>12</v>
      </c>
      <c r="H260" s="2">
        <v>1</v>
      </c>
      <c r="I260" s="2" t="s">
        <v>81</v>
      </c>
      <c r="J260" s="2">
        <v>0</v>
      </c>
      <c r="K260" s="2" t="s">
        <v>147</v>
      </c>
      <c r="L260" s="2">
        <v>1000103</v>
      </c>
      <c r="M260" s="2">
        <v>1</v>
      </c>
      <c r="N260" s="2">
        <v>100</v>
      </c>
      <c r="O260" s="2">
        <v>0</v>
      </c>
      <c r="P260" s="2">
        <v>15</v>
      </c>
      <c r="Q260" s="2">
        <v>0</v>
      </c>
      <c r="R260" s="2">
        <v>36</v>
      </c>
      <c r="S260" s="2">
        <v>-5500</v>
      </c>
      <c r="T260" s="2">
        <v>1</v>
      </c>
      <c r="U260" s="2">
        <v>0</v>
      </c>
      <c r="V260" s="2" t="s">
        <v>110</v>
      </c>
      <c r="W260" s="2" t="s">
        <v>111</v>
      </c>
      <c r="X260" s="2" t="s">
        <v>124</v>
      </c>
      <c r="Y260" s="17">
        <v>201002011</v>
      </c>
      <c r="Z260" s="17">
        <v>0</v>
      </c>
      <c r="AA260" s="2">
        <v>1</v>
      </c>
      <c r="AB260" s="12" t="s">
        <v>83</v>
      </c>
      <c r="AC260" s="2">
        <v>15000</v>
      </c>
      <c r="AD260" s="2">
        <v>10000</v>
      </c>
      <c r="AE260" s="2">
        <v>25010001</v>
      </c>
      <c r="AF260" s="8">
        <v>40</v>
      </c>
      <c r="AG260" s="8">
        <v>0</v>
      </c>
      <c r="AH260" s="8">
        <v>0</v>
      </c>
      <c r="AI260" s="8">
        <v>0</v>
      </c>
      <c r="AJ260" s="8">
        <v>0</v>
      </c>
    </row>
    <row r="261" spans="1:36">
      <c r="A261" s="2">
        <v>303111</v>
      </c>
      <c r="B261" s="2">
        <v>30</v>
      </c>
      <c r="C261" s="2" t="s">
        <v>132</v>
      </c>
      <c r="D261" s="2"/>
      <c r="E261" s="12"/>
      <c r="F261" s="2"/>
      <c r="G261" s="2">
        <v>12</v>
      </c>
      <c r="H261" s="2">
        <v>1</v>
      </c>
      <c r="I261" s="2" t="s">
        <v>81</v>
      </c>
      <c r="J261" s="2">
        <v>0</v>
      </c>
      <c r="K261" s="2" t="s">
        <v>147</v>
      </c>
      <c r="L261" s="2">
        <v>1000103</v>
      </c>
      <c r="M261" s="2">
        <v>1</v>
      </c>
      <c r="N261" s="2">
        <v>100</v>
      </c>
      <c r="O261" s="2">
        <v>0</v>
      </c>
      <c r="P261" s="2">
        <v>15</v>
      </c>
      <c r="Q261" s="2">
        <v>0</v>
      </c>
      <c r="R261" s="2">
        <v>36</v>
      </c>
      <c r="S261" s="2">
        <v>-5500</v>
      </c>
      <c r="T261" s="2">
        <v>1</v>
      </c>
      <c r="U261" s="2">
        <v>0</v>
      </c>
      <c r="V261" s="2" t="s">
        <v>110</v>
      </c>
      <c r="W261" s="2" t="s">
        <v>111</v>
      </c>
      <c r="X261" s="2" t="s">
        <v>124</v>
      </c>
      <c r="Y261" s="17">
        <v>201002011</v>
      </c>
      <c r="Z261" s="17">
        <v>0</v>
      </c>
      <c r="AA261" s="2">
        <v>1</v>
      </c>
      <c r="AB261" s="12" t="s">
        <v>83</v>
      </c>
      <c r="AC261" s="2">
        <v>15000</v>
      </c>
      <c r="AD261" s="2">
        <v>10000</v>
      </c>
      <c r="AE261" s="2">
        <v>25010001</v>
      </c>
      <c r="AF261" s="8">
        <v>40</v>
      </c>
      <c r="AG261" s="8">
        <v>0</v>
      </c>
      <c r="AH261" s="8">
        <v>0</v>
      </c>
      <c r="AI261" s="8">
        <v>0</v>
      </c>
      <c r="AJ261" s="8">
        <v>0</v>
      </c>
    </row>
    <row r="262" spans="1:36">
      <c r="A262" s="2">
        <v>303112</v>
      </c>
      <c r="B262" s="2">
        <v>30</v>
      </c>
      <c r="C262" s="2" t="s">
        <v>134</v>
      </c>
      <c r="D262" s="2"/>
      <c r="E262" s="12"/>
      <c r="F262" s="2"/>
      <c r="G262" s="2">
        <v>12</v>
      </c>
      <c r="H262" s="2">
        <v>1</v>
      </c>
      <c r="I262" s="2" t="s">
        <v>81</v>
      </c>
      <c r="J262" s="2">
        <v>0</v>
      </c>
      <c r="K262" s="2" t="s">
        <v>147</v>
      </c>
      <c r="L262" s="2">
        <v>1000103</v>
      </c>
      <c r="M262" s="2">
        <v>1</v>
      </c>
      <c r="N262" s="2">
        <v>100</v>
      </c>
      <c r="O262" s="2">
        <v>0</v>
      </c>
      <c r="P262" s="2">
        <v>15</v>
      </c>
      <c r="Q262" s="2">
        <v>0</v>
      </c>
      <c r="R262" s="2">
        <v>36</v>
      </c>
      <c r="S262" s="2">
        <v>-5500</v>
      </c>
      <c r="T262" s="2">
        <v>1</v>
      </c>
      <c r="U262" s="2">
        <v>0</v>
      </c>
      <c r="V262" s="2" t="s">
        <v>110</v>
      </c>
      <c r="W262" s="2" t="s">
        <v>111</v>
      </c>
      <c r="X262" s="2" t="s">
        <v>124</v>
      </c>
      <c r="Y262" s="17">
        <v>201002011</v>
      </c>
      <c r="Z262" s="17">
        <v>0</v>
      </c>
      <c r="AA262" s="2">
        <v>1</v>
      </c>
      <c r="AB262" s="12" t="s">
        <v>83</v>
      </c>
      <c r="AC262" s="2">
        <v>15000</v>
      </c>
      <c r="AD262" s="2">
        <v>10000</v>
      </c>
      <c r="AE262" s="2">
        <v>25010001</v>
      </c>
      <c r="AF262" s="8">
        <v>40</v>
      </c>
      <c r="AG262" s="8">
        <v>0</v>
      </c>
      <c r="AH262" s="8">
        <v>0</v>
      </c>
      <c r="AI262" s="8">
        <v>0</v>
      </c>
      <c r="AJ262" s="8">
        <v>0</v>
      </c>
    </row>
    <row r="263" ht="14.25" spans="1:36">
      <c r="A263" s="3">
        <v>303113</v>
      </c>
      <c r="B263" s="3">
        <v>30</v>
      </c>
      <c r="C263" s="3" t="s">
        <v>136</v>
      </c>
      <c r="D263" s="3"/>
      <c r="F263" s="3"/>
      <c r="G263" s="3">
        <v>12</v>
      </c>
      <c r="H263" s="3">
        <v>1</v>
      </c>
      <c r="I263" s="3" t="s">
        <v>81</v>
      </c>
      <c r="J263" s="3">
        <v>0</v>
      </c>
      <c r="K263" s="3" t="s">
        <v>137</v>
      </c>
      <c r="L263" s="3">
        <v>800003021</v>
      </c>
      <c r="M263" s="3">
        <v>1</v>
      </c>
      <c r="N263" s="3">
        <v>500</v>
      </c>
      <c r="O263" s="3">
        <v>0</v>
      </c>
      <c r="P263" s="3">
        <v>38</v>
      </c>
      <c r="Q263" s="3">
        <v>4</v>
      </c>
      <c r="R263" s="15">
        <v>570</v>
      </c>
      <c r="S263" s="3">
        <v>-5500</v>
      </c>
      <c r="T263" s="3">
        <v>1</v>
      </c>
      <c r="U263" s="3">
        <v>0</v>
      </c>
      <c r="V263" s="3" t="s">
        <v>110</v>
      </c>
      <c r="W263" s="3" t="s">
        <v>111</v>
      </c>
      <c r="X263" s="3" t="s">
        <v>138</v>
      </c>
      <c r="Y263" s="16">
        <v>203002011</v>
      </c>
      <c r="Z263" s="16">
        <v>0</v>
      </c>
      <c r="AA263" s="3">
        <v>1</v>
      </c>
      <c r="AB263" s="8" t="s">
        <v>113</v>
      </c>
      <c r="AC263" s="3">
        <v>15000</v>
      </c>
      <c r="AD263" s="3">
        <v>10000</v>
      </c>
      <c r="AE263" s="3">
        <v>25010001</v>
      </c>
      <c r="AF263" s="8">
        <v>40</v>
      </c>
      <c r="AG263" s="8">
        <v>10000</v>
      </c>
      <c r="AH263" s="8">
        <v>10000</v>
      </c>
      <c r="AI263" s="8">
        <v>40</v>
      </c>
      <c r="AJ263" s="8">
        <v>0</v>
      </c>
    </row>
    <row r="264" spans="1:36">
      <c r="A264" s="2">
        <v>303114</v>
      </c>
      <c r="B264" s="2">
        <v>30</v>
      </c>
      <c r="C264" s="2" t="s">
        <v>140</v>
      </c>
      <c r="D264" s="2"/>
      <c r="E264" s="12"/>
      <c r="F264" s="2"/>
      <c r="G264" s="2">
        <v>12</v>
      </c>
      <c r="H264" s="2">
        <v>1</v>
      </c>
      <c r="I264" s="2" t="s">
        <v>81</v>
      </c>
      <c r="J264" s="2">
        <v>0</v>
      </c>
      <c r="K264" s="2" t="s">
        <v>148</v>
      </c>
      <c r="L264" s="2">
        <v>1000011</v>
      </c>
      <c r="M264" s="2">
        <v>1</v>
      </c>
      <c r="N264" s="2">
        <v>100</v>
      </c>
      <c r="O264" s="2">
        <v>0</v>
      </c>
      <c r="P264" s="2">
        <v>15</v>
      </c>
      <c r="Q264" s="2">
        <v>0</v>
      </c>
      <c r="R264" s="2">
        <v>36</v>
      </c>
      <c r="S264" s="2">
        <v>-5500</v>
      </c>
      <c r="T264" s="2">
        <v>1</v>
      </c>
      <c r="U264" s="2">
        <v>0</v>
      </c>
      <c r="V264" s="2" t="s">
        <v>110</v>
      </c>
      <c r="W264" s="2" t="s">
        <v>111</v>
      </c>
      <c r="X264" s="2" t="s">
        <v>124</v>
      </c>
      <c r="Y264" s="17">
        <v>201002011</v>
      </c>
      <c r="Z264" s="17">
        <v>0</v>
      </c>
      <c r="AA264" s="2">
        <v>1</v>
      </c>
      <c r="AB264" s="12" t="s">
        <v>83</v>
      </c>
      <c r="AC264" s="2">
        <v>15000</v>
      </c>
      <c r="AD264" s="2">
        <v>10000</v>
      </c>
      <c r="AE264" s="2">
        <v>0</v>
      </c>
      <c r="AF264" s="8">
        <v>40</v>
      </c>
      <c r="AG264" s="8">
        <v>0</v>
      </c>
      <c r="AH264" s="8">
        <v>0</v>
      </c>
      <c r="AI264" s="8">
        <v>0</v>
      </c>
      <c r="AJ264" s="8">
        <v>0</v>
      </c>
    </row>
    <row r="265" ht="14.25" spans="1:36">
      <c r="A265" s="3">
        <v>303115</v>
      </c>
      <c r="B265" s="3">
        <v>30</v>
      </c>
      <c r="C265" s="3" t="s">
        <v>142</v>
      </c>
      <c r="D265" s="3"/>
      <c r="F265" s="3"/>
      <c r="G265" s="3">
        <v>12</v>
      </c>
      <c r="H265" s="3">
        <v>4</v>
      </c>
      <c r="I265" s="3" t="s">
        <v>81</v>
      </c>
      <c r="J265" s="3">
        <v>0</v>
      </c>
      <c r="K265" s="3" t="s">
        <v>161</v>
      </c>
      <c r="L265" s="3">
        <v>800016011</v>
      </c>
      <c r="M265" s="3">
        <v>1</v>
      </c>
      <c r="N265" s="3">
        <v>100</v>
      </c>
      <c r="O265" s="3">
        <v>0</v>
      </c>
      <c r="P265" s="3">
        <v>50</v>
      </c>
      <c r="Q265" s="3">
        <v>6</v>
      </c>
      <c r="R265" s="15">
        <v>3740</v>
      </c>
      <c r="S265" s="3">
        <v>-5500</v>
      </c>
      <c r="T265" s="3">
        <v>1</v>
      </c>
      <c r="U265" s="3">
        <v>30000</v>
      </c>
      <c r="V265" s="3" t="s">
        <v>110</v>
      </c>
      <c r="W265" s="3" t="s">
        <v>111</v>
      </c>
      <c r="X265" s="3" t="s">
        <v>138</v>
      </c>
      <c r="Y265" s="16">
        <v>216001001</v>
      </c>
      <c r="Z265" s="16">
        <v>0</v>
      </c>
      <c r="AA265" s="3">
        <v>1</v>
      </c>
      <c r="AB265" s="8" t="s">
        <v>139</v>
      </c>
      <c r="AC265" s="3">
        <v>15000</v>
      </c>
      <c r="AD265" s="3">
        <v>10000</v>
      </c>
      <c r="AE265" s="3">
        <v>25010001</v>
      </c>
      <c r="AF265" s="8">
        <v>40</v>
      </c>
      <c r="AG265" s="8">
        <v>1000</v>
      </c>
      <c r="AH265" s="8">
        <v>5000</v>
      </c>
      <c r="AI265" s="8">
        <v>5</v>
      </c>
      <c r="AJ265" s="8">
        <v>0</v>
      </c>
    </row>
    <row r="266" ht="14.25" spans="1:36">
      <c r="A266" s="20">
        <v>90000201</v>
      </c>
      <c r="B266" s="20">
        <v>2</v>
      </c>
      <c r="C266" s="20" t="s">
        <v>162</v>
      </c>
      <c r="D266" s="20"/>
      <c r="E266" s="21"/>
      <c r="F266" s="20"/>
      <c r="G266" s="20">
        <v>1</v>
      </c>
      <c r="H266" s="20">
        <v>2</v>
      </c>
      <c r="I266" s="26" t="s">
        <v>81</v>
      </c>
      <c r="J266" s="20">
        <v>0</v>
      </c>
      <c r="K266" s="20" t="s">
        <v>109</v>
      </c>
      <c r="L266" s="20">
        <v>800001011</v>
      </c>
      <c r="M266" s="20">
        <v>1</v>
      </c>
      <c r="N266" s="22">
        <v>1</v>
      </c>
      <c r="O266" s="20">
        <v>1</v>
      </c>
      <c r="P266" s="20">
        <v>8</v>
      </c>
      <c r="Q266" s="20">
        <v>0</v>
      </c>
      <c r="R266" s="20">
        <v>25</v>
      </c>
      <c r="S266" s="20">
        <v>-5000</v>
      </c>
      <c r="T266" s="20">
        <v>1</v>
      </c>
      <c r="U266" s="20">
        <v>0</v>
      </c>
      <c r="V266" s="20" t="s">
        <v>82</v>
      </c>
      <c r="W266" s="20" t="s">
        <v>82</v>
      </c>
      <c r="X266" s="20" t="s">
        <v>82</v>
      </c>
      <c r="Y266" s="23">
        <v>20010001</v>
      </c>
      <c r="Z266" s="23">
        <v>0</v>
      </c>
      <c r="AA266" s="20">
        <v>1</v>
      </c>
      <c r="AB266" s="24" t="s">
        <v>83</v>
      </c>
      <c r="AC266" s="20">
        <v>10000</v>
      </c>
      <c r="AD266" s="20">
        <v>10000</v>
      </c>
      <c r="AE266" s="20">
        <v>0</v>
      </c>
      <c r="AF266" s="24">
        <v>40</v>
      </c>
      <c r="AG266" s="24">
        <v>0</v>
      </c>
      <c r="AH266" s="24">
        <v>0</v>
      </c>
      <c r="AI266" s="24">
        <v>0</v>
      </c>
      <c r="AJ266" s="24">
        <v>0</v>
      </c>
    </row>
    <row r="267" ht="14.25" spans="1:36">
      <c r="A267" s="20">
        <v>90000301</v>
      </c>
      <c r="B267" s="20">
        <v>3</v>
      </c>
      <c r="C267" s="20" t="s">
        <v>163</v>
      </c>
      <c r="D267" s="20"/>
      <c r="E267" s="21"/>
      <c r="F267" s="20"/>
      <c r="G267" s="20">
        <v>1</v>
      </c>
      <c r="H267" s="20">
        <v>2</v>
      </c>
      <c r="I267" s="26" t="s">
        <v>81</v>
      </c>
      <c r="J267" s="20">
        <v>0</v>
      </c>
      <c r="K267" s="20" t="s">
        <v>109</v>
      </c>
      <c r="L267" s="20">
        <v>800001011</v>
      </c>
      <c r="M267" s="20">
        <v>1</v>
      </c>
      <c r="N267" s="22">
        <v>1</v>
      </c>
      <c r="O267" s="20">
        <v>1</v>
      </c>
      <c r="P267" s="20">
        <v>8</v>
      </c>
      <c r="Q267" s="20">
        <v>0</v>
      </c>
      <c r="R267" s="20">
        <v>25</v>
      </c>
      <c r="S267" s="20">
        <v>-5000</v>
      </c>
      <c r="T267" s="20">
        <v>1</v>
      </c>
      <c r="U267" s="20">
        <v>0</v>
      </c>
      <c r="V267" s="20" t="s">
        <v>82</v>
      </c>
      <c r="W267" s="20" t="s">
        <v>82</v>
      </c>
      <c r="X267" s="20" t="s">
        <v>82</v>
      </c>
      <c r="Y267" s="23">
        <v>20010001</v>
      </c>
      <c r="Z267" s="23">
        <v>0</v>
      </c>
      <c r="AA267" s="20">
        <v>1</v>
      </c>
      <c r="AB267" s="24" t="s">
        <v>83</v>
      </c>
      <c r="AC267" s="20">
        <v>10000</v>
      </c>
      <c r="AD267" s="20">
        <v>10000</v>
      </c>
      <c r="AE267" s="20">
        <v>0</v>
      </c>
      <c r="AF267" s="24">
        <v>40</v>
      </c>
      <c r="AG267" s="24">
        <v>0</v>
      </c>
      <c r="AH267" s="24">
        <v>0</v>
      </c>
      <c r="AI267" s="24">
        <v>0</v>
      </c>
      <c r="AJ267" s="24">
        <v>0</v>
      </c>
    </row>
    <row r="268" ht="14.25" spans="1:36">
      <c r="A268" s="20">
        <v>90000302</v>
      </c>
      <c r="B268" s="20">
        <v>3</v>
      </c>
      <c r="C268" s="20" t="s">
        <v>164</v>
      </c>
      <c r="D268" s="20"/>
      <c r="E268" s="21"/>
      <c r="F268" s="20"/>
      <c r="G268" s="20">
        <v>1</v>
      </c>
      <c r="H268" s="20">
        <v>2</v>
      </c>
      <c r="I268" s="26" t="s">
        <v>81</v>
      </c>
      <c r="J268" s="20">
        <v>0</v>
      </c>
      <c r="K268" s="20" t="s">
        <v>109</v>
      </c>
      <c r="L268" s="20">
        <v>800001011</v>
      </c>
      <c r="M268" s="20">
        <v>1</v>
      </c>
      <c r="N268" s="22">
        <v>2</v>
      </c>
      <c r="O268" s="20">
        <v>1</v>
      </c>
      <c r="P268" s="20">
        <v>8</v>
      </c>
      <c r="Q268" s="20">
        <v>0</v>
      </c>
      <c r="R268" s="20">
        <v>25</v>
      </c>
      <c r="S268" s="20">
        <v>-5000</v>
      </c>
      <c r="T268" s="20">
        <v>1</v>
      </c>
      <c r="U268" s="20">
        <v>0</v>
      </c>
      <c r="V268" s="20" t="s">
        <v>82</v>
      </c>
      <c r="W268" s="20" t="s">
        <v>82</v>
      </c>
      <c r="X268" s="20" t="s">
        <v>82</v>
      </c>
      <c r="Y268" s="23">
        <v>20010001</v>
      </c>
      <c r="Z268" s="23">
        <v>0</v>
      </c>
      <c r="AA268" s="20">
        <v>1</v>
      </c>
      <c r="AB268" s="24" t="s">
        <v>83</v>
      </c>
      <c r="AC268" s="20">
        <v>10000</v>
      </c>
      <c r="AD268" s="20">
        <v>10000</v>
      </c>
      <c r="AE268" s="20">
        <v>0</v>
      </c>
      <c r="AF268" s="24">
        <v>40</v>
      </c>
      <c r="AG268" s="24">
        <v>0</v>
      </c>
      <c r="AH268" s="24">
        <v>0</v>
      </c>
      <c r="AI268" s="24">
        <v>0</v>
      </c>
      <c r="AJ268" s="24">
        <v>0</v>
      </c>
    </row>
    <row r="269" ht="14.25" spans="1:36">
      <c r="A269" s="20">
        <v>90000401</v>
      </c>
      <c r="B269" s="20">
        <v>3</v>
      </c>
      <c r="C269" s="20" t="s">
        <v>165</v>
      </c>
      <c r="D269" s="20"/>
      <c r="E269" s="21"/>
      <c r="F269" s="20"/>
      <c r="G269" s="20">
        <v>1</v>
      </c>
      <c r="H269" s="20">
        <v>2</v>
      </c>
      <c r="I269" s="26" t="s">
        <v>81</v>
      </c>
      <c r="J269" s="20">
        <v>0</v>
      </c>
      <c r="K269" s="20" t="s">
        <v>109</v>
      </c>
      <c r="L269" s="20">
        <v>800001011</v>
      </c>
      <c r="M269" s="20">
        <v>1</v>
      </c>
      <c r="N269" s="22">
        <v>1</v>
      </c>
      <c r="O269" s="20">
        <v>1</v>
      </c>
      <c r="P269" s="20">
        <v>8</v>
      </c>
      <c r="Q269" s="20">
        <v>0</v>
      </c>
      <c r="R269" s="20">
        <v>25</v>
      </c>
      <c r="S269" s="20">
        <v>-5000</v>
      </c>
      <c r="T269" s="20">
        <v>1</v>
      </c>
      <c r="U269" s="20">
        <v>0</v>
      </c>
      <c r="V269" s="20" t="s">
        <v>82</v>
      </c>
      <c r="W269" s="20" t="s">
        <v>82</v>
      </c>
      <c r="X269" s="20" t="s">
        <v>82</v>
      </c>
      <c r="Y269" s="23">
        <v>20010001</v>
      </c>
      <c r="Z269" s="23">
        <v>0</v>
      </c>
      <c r="AA269" s="20">
        <v>1</v>
      </c>
      <c r="AB269" s="24" t="s">
        <v>83</v>
      </c>
      <c r="AC269" s="20">
        <v>10000</v>
      </c>
      <c r="AD269" s="20">
        <v>10000</v>
      </c>
      <c r="AE269" s="20">
        <v>0</v>
      </c>
      <c r="AF269" s="24">
        <v>40</v>
      </c>
      <c r="AG269" s="24">
        <v>0</v>
      </c>
      <c r="AH269" s="24">
        <v>0</v>
      </c>
      <c r="AI269" s="24">
        <v>0</v>
      </c>
      <c r="AJ269" s="24">
        <v>0</v>
      </c>
    </row>
    <row r="270" ht="14.25" spans="1:36">
      <c r="A270" s="20">
        <v>90000402</v>
      </c>
      <c r="B270" s="20">
        <v>3</v>
      </c>
      <c r="C270" s="20" t="s">
        <v>166</v>
      </c>
      <c r="D270" s="20"/>
      <c r="E270" s="21"/>
      <c r="F270" s="20"/>
      <c r="G270" s="20">
        <v>1</v>
      </c>
      <c r="H270" s="20">
        <v>2</v>
      </c>
      <c r="I270" s="26" t="s">
        <v>81</v>
      </c>
      <c r="J270" s="20">
        <v>0</v>
      </c>
      <c r="K270" s="20" t="s">
        <v>109</v>
      </c>
      <c r="L270" s="20">
        <v>800001011</v>
      </c>
      <c r="M270" s="20">
        <v>1</v>
      </c>
      <c r="N270" s="22">
        <v>2</v>
      </c>
      <c r="O270" s="20">
        <v>1</v>
      </c>
      <c r="P270" s="20">
        <v>8</v>
      </c>
      <c r="Q270" s="20">
        <v>0</v>
      </c>
      <c r="R270" s="20">
        <v>25</v>
      </c>
      <c r="S270" s="20">
        <v>-5000</v>
      </c>
      <c r="T270" s="20">
        <v>1</v>
      </c>
      <c r="U270" s="20">
        <v>0</v>
      </c>
      <c r="V270" s="20" t="s">
        <v>82</v>
      </c>
      <c r="W270" s="20" t="s">
        <v>82</v>
      </c>
      <c r="X270" s="20" t="s">
        <v>82</v>
      </c>
      <c r="Y270" s="23">
        <v>20010001</v>
      </c>
      <c r="Z270" s="23">
        <v>0</v>
      </c>
      <c r="AA270" s="20">
        <v>1</v>
      </c>
      <c r="AB270" s="24" t="s">
        <v>83</v>
      </c>
      <c r="AC270" s="20">
        <v>10000</v>
      </c>
      <c r="AD270" s="20">
        <v>10000</v>
      </c>
      <c r="AE270" s="20">
        <v>0</v>
      </c>
      <c r="AF270" s="24">
        <v>40</v>
      </c>
      <c r="AG270" s="24">
        <v>0</v>
      </c>
      <c r="AH270" s="24">
        <v>0</v>
      </c>
      <c r="AI270" s="24">
        <v>0</v>
      </c>
      <c r="AJ270" s="24">
        <v>0</v>
      </c>
    </row>
    <row r="271" ht="14.25" spans="1:36">
      <c r="A271" s="20">
        <v>90000501</v>
      </c>
      <c r="B271" s="20">
        <v>3</v>
      </c>
      <c r="C271" s="20" t="s">
        <v>167</v>
      </c>
      <c r="D271" s="20"/>
      <c r="E271" s="21"/>
      <c r="F271" s="20"/>
      <c r="G271" s="20">
        <v>1</v>
      </c>
      <c r="H271" s="20">
        <v>2</v>
      </c>
      <c r="I271" s="26" t="s">
        <v>81</v>
      </c>
      <c r="J271" s="20">
        <v>0</v>
      </c>
      <c r="K271" s="20" t="s">
        <v>109</v>
      </c>
      <c r="L271" s="20">
        <v>800001011</v>
      </c>
      <c r="M271" s="20">
        <v>1</v>
      </c>
      <c r="N271" s="22">
        <v>1</v>
      </c>
      <c r="O271" s="20">
        <v>1</v>
      </c>
      <c r="P271" s="20">
        <v>8</v>
      </c>
      <c r="Q271" s="20">
        <v>0</v>
      </c>
      <c r="R271" s="20">
        <v>25</v>
      </c>
      <c r="S271" s="20">
        <v>-5000</v>
      </c>
      <c r="T271" s="20">
        <v>1</v>
      </c>
      <c r="U271" s="20">
        <v>0</v>
      </c>
      <c r="V271" s="20" t="s">
        <v>82</v>
      </c>
      <c r="W271" s="20" t="s">
        <v>82</v>
      </c>
      <c r="X271" s="20" t="s">
        <v>82</v>
      </c>
      <c r="Y271" s="23">
        <v>20010001</v>
      </c>
      <c r="Z271" s="23">
        <v>0</v>
      </c>
      <c r="AA271" s="20">
        <v>1</v>
      </c>
      <c r="AB271" s="24" t="s">
        <v>83</v>
      </c>
      <c r="AC271" s="20">
        <v>10000</v>
      </c>
      <c r="AD271" s="20">
        <v>10000</v>
      </c>
      <c r="AE271" s="20">
        <v>0</v>
      </c>
      <c r="AF271" s="24">
        <v>40</v>
      </c>
      <c r="AG271" s="24">
        <v>0</v>
      </c>
      <c r="AH271" s="24">
        <v>0</v>
      </c>
      <c r="AI271" s="24">
        <v>0</v>
      </c>
      <c r="AJ271" s="24">
        <v>0</v>
      </c>
    </row>
    <row r="272" ht="14.25" spans="1:36">
      <c r="A272" s="20">
        <v>90000502</v>
      </c>
      <c r="B272" s="20">
        <v>3</v>
      </c>
      <c r="C272" s="20" t="s">
        <v>168</v>
      </c>
      <c r="D272" s="20"/>
      <c r="E272" s="21"/>
      <c r="F272" s="20"/>
      <c r="G272" s="20">
        <v>1</v>
      </c>
      <c r="H272" s="20">
        <v>2</v>
      </c>
      <c r="I272" s="26" t="s">
        <v>81</v>
      </c>
      <c r="J272" s="20">
        <v>0</v>
      </c>
      <c r="K272" s="20" t="s">
        <v>109</v>
      </c>
      <c r="L272" s="20">
        <v>800001011</v>
      </c>
      <c r="M272" s="20">
        <v>1</v>
      </c>
      <c r="N272" s="22">
        <v>2</v>
      </c>
      <c r="O272" s="20">
        <v>1</v>
      </c>
      <c r="P272" s="20">
        <v>8</v>
      </c>
      <c r="Q272" s="20">
        <v>0</v>
      </c>
      <c r="R272" s="20">
        <v>25</v>
      </c>
      <c r="S272" s="20">
        <v>-5000</v>
      </c>
      <c r="T272" s="20">
        <v>1</v>
      </c>
      <c r="U272" s="20">
        <v>0</v>
      </c>
      <c r="V272" s="20" t="s">
        <v>82</v>
      </c>
      <c r="W272" s="20" t="s">
        <v>82</v>
      </c>
      <c r="X272" s="20" t="s">
        <v>82</v>
      </c>
      <c r="Y272" s="23">
        <v>20010001</v>
      </c>
      <c r="Z272" s="23">
        <v>0</v>
      </c>
      <c r="AA272" s="20">
        <v>1</v>
      </c>
      <c r="AB272" s="24" t="s">
        <v>83</v>
      </c>
      <c r="AC272" s="20">
        <v>10000</v>
      </c>
      <c r="AD272" s="20">
        <v>10000</v>
      </c>
      <c r="AE272" s="20">
        <v>0</v>
      </c>
      <c r="AF272" s="24">
        <v>40</v>
      </c>
      <c r="AG272" s="24">
        <v>0</v>
      </c>
      <c r="AH272" s="24">
        <v>0</v>
      </c>
      <c r="AI272" s="24">
        <v>0</v>
      </c>
      <c r="AJ272" s="24">
        <v>0</v>
      </c>
    </row>
    <row r="273" ht="14.25" spans="1:36">
      <c r="A273" s="20">
        <v>90000503</v>
      </c>
      <c r="B273" s="20">
        <v>3</v>
      </c>
      <c r="C273" s="20" t="s">
        <v>169</v>
      </c>
      <c r="D273" s="20"/>
      <c r="E273" s="21"/>
      <c r="F273" s="20"/>
      <c r="G273" s="20">
        <v>1</v>
      </c>
      <c r="H273" s="20">
        <v>2</v>
      </c>
      <c r="I273" s="26" t="s">
        <v>81</v>
      </c>
      <c r="J273" s="20">
        <v>0</v>
      </c>
      <c r="K273" s="20" t="s">
        <v>115</v>
      </c>
      <c r="L273" s="20">
        <v>800001021</v>
      </c>
      <c r="M273" s="20">
        <v>1</v>
      </c>
      <c r="N273" s="22">
        <v>3</v>
      </c>
      <c r="O273" s="20">
        <v>1</v>
      </c>
      <c r="P273" s="20">
        <v>8</v>
      </c>
      <c r="Q273" s="20">
        <v>0</v>
      </c>
      <c r="R273" s="20">
        <v>25</v>
      </c>
      <c r="S273" s="20">
        <v>-5000</v>
      </c>
      <c r="T273" s="20">
        <v>1</v>
      </c>
      <c r="U273" s="20">
        <v>0</v>
      </c>
      <c r="V273" s="20" t="s">
        <v>82</v>
      </c>
      <c r="W273" s="20" t="s">
        <v>82</v>
      </c>
      <c r="X273" s="20" t="s">
        <v>82</v>
      </c>
      <c r="Y273" s="23">
        <v>20010001</v>
      </c>
      <c r="Z273" s="23">
        <v>0</v>
      </c>
      <c r="AA273" s="20">
        <v>1</v>
      </c>
      <c r="AB273" s="24" t="s">
        <v>83</v>
      </c>
      <c r="AC273" s="20">
        <v>10000</v>
      </c>
      <c r="AD273" s="20">
        <v>10000</v>
      </c>
      <c r="AE273" s="20">
        <v>0</v>
      </c>
      <c r="AF273" s="24">
        <v>40</v>
      </c>
      <c r="AG273" s="24">
        <v>0</v>
      </c>
      <c r="AH273" s="24">
        <v>0</v>
      </c>
      <c r="AI273" s="24">
        <v>0</v>
      </c>
      <c r="AJ273" s="24">
        <v>0</v>
      </c>
    </row>
    <row r="274" ht="14.25" spans="1:36">
      <c r="A274" s="20">
        <v>90000504</v>
      </c>
      <c r="B274" s="20">
        <v>3</v>
      </c>
      <c r="C274" s="20" t="s">
        <v>170</v>
      </c>
      <c r="D274" s="20"/>
      <c r="E274" s="21"/>
      <c r="F274" s="20"/>
      <c r="G274" s="20">
        <v>1</v>
      </c>
      <c r="H274" s="20">
        <v>2</v>
      </c>
      <c r="I274" s="26" t="s">
        <v>81</v>
      </c>
      <c r="J274" s="20">
        <v>0</v>
      </c>
      <c r="K274" s="20" t="s">
        <v>131</v>
      </c>
      <c r="L274" s="20">
        <v>800011011</v>
      </c>
      <c r="M274" s="20">
        <v>1</v>
      </c>
      <c r="N274" s="22">
        <v>6</v>
      </c>
      <c r="O274" s="20">
        <v>1</v>
      </c>
      <c r="P274" s="20">
        <v>8</v>
      </c>
      <c r="Q274" s="20">
        <v>0</v>
      </c>
      <c r="R274" s="20">
        <v>25</v>
      </c>
      <c r="S274" s="20">
        <v>-5000</v>
      </c>
      <c r="T274" s="20">
        <v>1</v>
      </c>
      <c r="U274" s="20">
        <v>0</v>
      </c>
      <c r="V274" s="20" t="s">
        <v>82</v>
      </c>
      <c r="W274" s="20" t="s">
        <v>82</v>
      </c>
      <c r="X274" s="20" t="s">
        <v>82</v>
      </c>
      <c r="Y274" s="23">
        <v>20010001</v>
      </c>
      <c r="Z274" s="23">
        <v>0</v>
      </c>
      <c r="AA274" s="20">
        <v>1</v>
      </c>
      <c r="AB274" s="24" t="s">
        <v>83</v>
      </c>
      <c r="AC274" s="20">
        <v>10000</v>
      </c>
      <c r="AD274" s="20">
        <v>10000</v>
      </c>
      <c r="AE274" s="20">
        <v>0</v>
      </c>
      <c r="AF274" s="24">
        <v>40</v>
      </c>
      <c r="AG274" s="24">
        <v>0</v>
      </c>
      <c r="AH274" s="24">
        <v>0</v>
      </c>
      <c r="AI274" s="24">
        <v>0</v>
      </c>
      <c r="AJ274" s="24">
        <v>0</v>
      </c>
    </row>
    <row r="275" ht="14.25" spans="1:36">
      <c r="A275" s="20">
        <v>90000601</v>
      </c>
      <c r="B275" s="20">
        <v>3</v>
      </c>
      <c r="C275" s="20" t="s">
        <v>171</v>
      </c>
      <c r="D275" s="20"/>
      <c r="E275" s="21"/>
      <c r="F275" s="20"/>
      <c r="G275" s="20">
        <v>1</v>
      </c>
      <c r="H275" s="20">
        <v>2</v>
      </c>
      <c r="I275" s="26" t="s">
        <v>81</v>
      </c>
      <c r="J275" s="20">
        <v>0</v>
      </c>
      <c r="K275" s="20" t="s">
        <v>109</v>
      </c>
      <c r="L275" s="20">
        <v>800001011</v>
      </c>
      <c r="M275" s="20">
        <v>1</v>
      </c>
      <c r="N275" s="22">
        <v>1</v>
      </c>
      <c r="O275" s="20">
        <v>1</v>
      </c>
      <c r="P275" s="20">
        <v>8</v>
      </c>
      <c r="Q275" s="20">
        <v>0</v>
      </c>
      <c r="R275" s="20">
        <v>25</v>
      </c>
      <c r="S275" s="20">
        <v>-5000</v>
      </c>
      <c r="T275" s="20">
        <v>1</v>
      </c>
      <c r="U275" s="20">
        <v>0</v>
      </c>
      <c r="V275" s="20" t="s">
        <v>82</v>
      </c>
      <c r="W275" s="20" t="s">
        <v>82</v>
      </c>
      <c r="X275" s="20" t="s">
        <v>82</v>
      </c>
      <c r="Y275" s="23">
        <v>20010001</v>
      </c>
      <c r="Z275" s="23">
        <v>0</v>
      </c>
      <c r="AA275" s="20">
        <v>1</v>
      </c>
      <c r="AB275" s="24" t="s">
        <v>83</v>
      </c>
      <c r="AC275" s="20">
        <v>10000</v>
      </c>
      <c r="AD275" s="20">
        <v>10000</v>
      </c>
      <c r="AE275" s="20">
        <v>0</v>
      </c>
      <c r="AF275" s="24">
        <v>40</v>
      </c>
      <c r="AG275" s="24">
        <v>0</v>
      </c>
      <c r="AH275" s="24">
        <v>0</v>
      </c>
      <c r="AI275" s="24">
        <v>0</v>
      </c>
      <c r="AJ275" s="24">
        <v>0</v>
      </c>
    </row>
    <row r="276" ht="14.25" spans="1:36">
      <c r="A276" s="20">
        <v>90000602</v>
      </c>
      <c r="B276" s="20">
        <v>3</v>
      </c>
      <c r="C276" s="20" t="s">
        <v>172</v>
      </c>
      <c r="D276" s="20"/>
      <c r="E276" s="21"/>
      <c r="F276" s="20"/>
      <c r="G276" s="20">
        <v>1</v>
      </c>
      <c r="H276" s="20">
        <v>2</v>
      </c>
      <c r="I276" s="26" t="s">
        <v>81</v>
      </c>
      <c r="J276" s="20">
        <v>0</v>
      </c>
      <c r="K276" s="20" t="s">
        <v>109</v>
      </c>
      <c r="L276" s="20">
        <v>800001011</v>
      </c>
      <c r="M276" s="20">
        <v>1</v>
      </c>
      <c r="N276" s="22">
        <v>2</v>
      </c>
      <c r="O276" s="20">
        <v>1</v>
      </c>
      <c r="P276" s="20">
        <v>8</v>
      </c>
      <c r="Q276" s="20">
        <v>0</v>
      </c>
      <c r="R276" s="20">
        <v>25</v>
      </c>
      <c r="S276" s="20">
        <v>-5000</v>
      </c>
      <c r="T276" s="20">
        <v>1</v>
      </c>
      <c r="U276" s="20">
        <v>0</v>
      </c>
      <c r="V276" s="20" t="s">
        <v>82</v>
      </c>
      <c r="W276" s="20" t="s">
        <v>82</v>
      </c>
      <c r="X276" s="20" t="s">
        <v>82</v>
      </c>
      <c r="Y276" s="23">
        <v>20010001</v>
      </c>
      <c r="Z276" s="23">
        <v>0</v>
      </c>
      <c r="AA276" s="20">
        <v>1</v>
      </c>
      <c r="AB276" s="24" t="s">
        <v>83</v>
      </c>
      <c r="AC276" s="20">
        <v>10000</v>
      </c>
      <c r="AD276" s="20">
        <v>10000</v>
      </c>
      <c r="AE276" s="20">
        <v>0</v>
      </c>
      <c r="AF276" s="24">
        <v>40</v>
      </c>
      <c r="AG276" s="24">
        <v>0</v>
      </c>
      <c r="AH276" s="24">
        <v>0</v>
      </c>
      <c r="AI276" s="24">
        <v>0</v>
      </c>
      <c r="AJ276" s="24">
        <v>0</v>
      </c>
    </row>
    <row r="277" ht="14.25" spans="1:36">
      <c r="A277" s="20">
        <v>90000603</v>
      </c>
      <c r="B277" s="20">
        <v>3</v>
      </c>
      <c r="C277" s="20" t="s">
        <v>173</v>
      </c>
      <c r="D277" s="20"/>
      <c r="E277" s="21"/>
      <c r="F277" s="20"/>
      <c r="G277" s="20">
        <v>1</v>
      </c>
      <c r="H277" s="20">
        <v>2</v>
      </c>
      <c r="I277" s="26" t="s">
        <v>81</v>
      </c>
      <c r="J277" s="20">
        <v>0</v>
      </c>
      <c r="K277" s="20" t="s">
        <v>115</v>
      </c>
      <c r="L277" s="20">
        <v>800001021</v>
      </c>
      <c r="M277" s="20">
        <v>1</v>
      </c>
      <c r="N277" s="22">
        <v>3</v>
      </c>
      <c r="O277" s="20">
        <v>1</v>
      </c>
      <c r="P277" s="20">
        <v>8</v>
      </c>
      <c r="Q277" s="20">
        <v>0</v>
      </c>
      <c r="R277" s="20">
        <v>25</v>
      </c>
      <c r="S277" s="20">
        <v>-5000</v>
      </c>
      <c r="T277" s="20">
        <v>1</v>
      </c>
      <c r="U277" s="20">
        <v>0</v>
      </c>
      <c r="V277" s="20" t="s">
        <v>82</v>
      </c>
      <c r="W277" s="20" t="s">
        <v>82</v>
      </c>
      <c r="X277" s="20" t="s">
        <v>82</v>
      </c>
      <c r="Y277" s="23">
        <v>20010001</v>
      </c>
      <c r="Z277" s="23">
        <v>0</v>
      </c>
      <c r="AA277" s="20">
        <v>1</v>
      </c>
      <c r="AB277" s="24" t="s">
        <v>83</v>
      </c>
      <c r="AC277" s="20">
        <v>10000</v>
      </c>
      <c r="AD277" s="20">
        <v>10000</v>
      </c>
      <c r="AE277" s="20">
        <v>0</v>
      </c>
      <c r="AF277" s="24">
        <v>40</v>
      </c>
      <c r="AG277" s="24">
        <v>0</v>
      </c>
      <c r="AH277" s="24">
        <v>0</v>
      </c>
      <c r="AI277" s="24">
        <v>0</v>
      </c>
      <c r="AJ277" s="24">
        <v>0</v>
      </c>
    </row>
    <row r="278" ht="14.25" spans="1:36">
      <c r="A278" s="20">
        <v>90000604</v>
      </c>
      <c r="B278" s="20">
        <v>3</v>
      </c>
      <c r="C278" s="20" t="s">
        <v>174</v>
      </c>
      <c r="D278" s="20"/>
      <c r="E278" s="21"/>
      <c r="F278" s="20"/>
      <c r="G278" s="20">
        <v>1</v>
      </c>
      <c r="H278" s="20">
        <v>2</v>
      </c>
      <c r="I278" s="26" t="s">
        <v>81</v>
      </c>
      <c r="J278" s="20">
        <v>0</v>
      </c>
      <c r="K278" s="20" t="s">
        <v>115</v>
      </c>
      <c r="L278" s="20">
        <v>800001021</v>
      </c>
      <c r="M278" s="20">
        <v>1</v>
      </c>
      <c r="N278" s="22">
        <v>5</v>
      </c>
      <c r="O278" s="20">
        <v>1</v>
      </c>
      <c r="P278" s="20">
        <v>8</v>
      </c>
      <c r="Q278" s="20">
        <v>0</v>
      </c>
      <c r="R278" s="20">
        <v>25</v>
      </c>
      <c r="S278" s="20">
        <v>-5000</v>
      </c>
      <c r="T278" s="20">
        <v>1</v>
      </c>
      <c r="U278" s="20">
        <v>0</v>
      </c>
      <c r="V278" s="20" t="s">
        <v>82</v>
      </c>
      <c r="W278" s="20" t="s">
        <v>82</v>
      </c>
      <c r="X278" s="20" t="s">
        <v>82</v>
      </c>
      <c r="Y278" s="23">
        <v>20010001</v>
      </c>
      <c r="Z278" s="23">
        <v>0</v>
      </c>
      <c r="AA278" s="20">
        <v>1</v>
      </c>
      <c r="AB278" s="24" t="s">
        <v>83</v>
      </c>
      <c r="AC278" s="20">
        <v>10000</v>
      </c>
      <c r="AD278" s="20">
        <v>10000</v>
      </c>
      <c r="AE278" s="20">
        <v>0</v>
      </c>
      <c r="AF278" s="24">
        <v>40</v>
      </c>
      <c r="AG278" s="24">
        <v>0</v>
      </c>
      <c r="AH278" s="24">
        <v>0</v>
      </c>
      <c r="AI278" s="24">
        <v>0</v>
      </c>
      <c r="AJ278" s="24">
        <v>0</v>
      </c>
    </row>
    <row r="279" ht="14.25" spans="1:36">
      <c r="A279" s="20">
        <v>90000605</v>
      </c>
      <c r="B279" s="20">
        <v>3</v>
      </c>
      <c r="C279" s="20" t="s">
        <v>175</v>
      </c>
      <c r="D279" s="20"/>
      <c r="E279" s="21"/>
      <c r="F279" s="20"/>
      <c r="G279" s="20">
        <v>1</v>
      </c>
      <c r="H279" s="20">
        <v>2</v>
      </c>
      <c r="I279" s="26" t="s">
        <v>81</v>
      </c>
      <c r="J279" s="20">
        <v>0</v>
      </c>
      <c r="K279" s="20" t="s">
        <v>131</v>
      </c>
      <c r="L279" s="20">
        <v>800011011</v>
      </c>
      <c r="M279" s="20">
        <v>1</v>
      </c>
      <c r="N279" s="22">
        <v>10</v>
      </c>
      <c r="O279" s="20">
        <v>1</v>
      </c>
      <c r="P279" s="20">
        <v>8</v>
      </c>
      <c r="Q279" s="20">
        <v>0</v>
      </c>
      <c r="R279" s="20">
        <v>25</v>
      </c>
      <c r="S279" s="20">
        <v>-5000</v>
      </c>
      <c r="T279" s="20">
        <v>1</v>
      </c>
      <c r="U279" s="20">
        <v>0</v>
      </c>
      <c r="V279" s="20" t="s">
        <v>82</v>
      </c>
      <c r="W279" s="20" t="s">
        <v>82</v>
      </c>
      <c r="X279" s="20" t="s">
        <v>82</v>
      </c>
      <c r="Y279" s="23">
        <v>20010001</v>
      </c>
      <c r="Z279" s="23">
        <v>0</v>
      </c>
      <c r="AA279" s="20">
        <v>1</v>
      </c>
      <c r="AB279" s="24" t="s">
        <v>83</v>
      </c>
      <c r="AC279" s="20">
        <v>10000</v>
      </c>
      <c r="AD279" s="20">
        <v>10000</v>
      </c>
      <c r="AE279" s="20">
        <v>0</v>
      </c>
      <c r="AF279" s="24">
        <v>40</v>
      </c>
      <c r="AG279" s="24">
        <v>0</v>
      </c>
      <c r="AH279" s="24">
        <v>0</v>
      </c>
      <c r="AI279" s="24">
        <v>0</v>
      </c>
      <c r="AJ279" s="24">
        <v>0</v>
      </c>
    </row>
    <row r="280" ht="14.25" spans="1:36">
      <c r="A280" s="20">
        <v>90000606</v>
      </c>
      <c r="B280" s="20">
        <v>3</v>
      </c>
      <c r="C280" s="20" t="s">
        <v>176</v>
      </c>
      <c r="D280" s="20"/>
      <c r="E280" s="21"/>
      <c r="F280" s="20"/>
      <c r="G280" s="20">
        <v>1</v>
      </c>
      <c r="H280" s="20">
        <v>2</v>
      </c>
      <c r="I280" s="26" t="s">
        <v>81</v>
      </c>
      <c r="J280" s="20">
        <v>0</v>
      </c>
      <c r="K280" s="20" t="s">
        <v>131</v>
      </c>
      <c r="L280" s="20">
        <v>800011011</v>
      </c>
      <c r="M280" s="20">
        <v>1</v>
      </c>
      <c r="N280" s="22">
        <v>14</v>
      </c>
      <c r="O280" s="20">
        <v>1</v>
      </c>
      <c r="P280" s="20">
        <v>8</v>
      </c>
      <c r="Q280" s="20">
        <v>0</v>
      </c>
      <c r="R280" s="20">
        <v>25</v>
      </c>
      <c r="S280" s="20">
        <v>-5000</v>
      </c>
      <c r="T280" s="20">
        <v>1</v>
      </c>
      <c r="U280" s="20">
        <v>0</v>
      </c>
      <c r="V280" s="20" t="s">
        <v>82</v>
      </c>
      <c r="W280" s="20" t="s">
        <v>82</v>
      </c>
      <c r="X280" s="20" t="s">
        <v>82</v>
      </c>
      <c r="Y280" s="23">
        <v>20010001</v>
      </c>
      <c r="Z280" s="23">
        <v>0</v>
      </c>
      <c r="AA280" s="20">
        <v>1</v>
      </c>
      <c r="AB280" s="24" t="s">
        <v>83</v>
      </c>
      <c r="AC280" s="20">
        <v>10000</v>
      </c>
      <c r="AD280" s="20">
        <v>10000</v>
      </c>
      <c r="AE280" s="20">
        <v>0</v>
      </c>
      <c r="AF280" s="24">
        <v>40</v>
      </c>
      <c r="AG280" s="24">
        <v>0</v>
      </c>
      <c r="AH280" s="24">
        <v>0</v>
      </c>
      <c r="AI280" s="24">
        <v>0</v>
      </c>
      <c r="AJ280" s="24">
        <v>0</v>
      </c>
    </row>
    <row r="281" ht="14.25" spans="1:36">
      <c r="A281" s="20">
        <v>90000607</v>
      </c>
      <c r="B281" s="20">
        <v>3</v>
      </c>
      <c r="C281" s="20" t="s">
        <v>177</v>
      </c>
      <c r="D281" s="20"/>
      <c r="E281" s="21"/>
      <c r="F281" s="20"/>
      <c r="G281" s="20">
        <v>1</v>
      </c>
      <c r="H281" s="20">
        <v>2</v>
      </c>
      <c r="I281" s="26" t="s">
        <v>81</v>
      </c>
      <c r="J281" s="20">
        <v>0</v>
      </c>
      <c r="K281" s="20" t="s">
        <v>133</v>
      </c>
      <c r="L281" s="20">
        <v>800011021</v>
      </c>
      <c r="M281" s="20">
        <v>1</v>
      </c>
      <c r="N281" s="22">
        <v>18</v>
      </c>
      <c r="O281" s="20">
        <v>1</v>
      </c>
      <c r="P281" s="20">
        <v>8</v>
      </c>
      <c r="Q281" s="20">
        <v>0</v>
      </c>
      <c r="R281" s="20">
        <v>25</v>
      </c>
      <c r="S281" s="20">
        <v>-5000</v>
      </c>
      <c r="T281" s="20">
        <v>1</v>
      </c>
      <c r="U281" s="20">
        <v>0</v>
      </c>
      <c r="V281" s="20" t="s">
        <v>82</v>
      </c>
      <c r="W281" s="20" t="s">
        <v>82</v>
      </c>
      <c r="X281" s="20" t="s">
        <v>82</v>
      </c>
      <c r="Y281" s="23">
        <v>20010001</v>
      </c>
      <c r="Z281" s="23">
        <v>0</v>
      </c>
      <c r="AA281" s="20">
        <v>1</v>
      </c>
      <c r="AB281" s="24" t="s">
        <v>83</v>
      </c>
      <c r="AC281" s="20">
        <v>10000</v>
      </c>
      <c r="AD281" s="20">
        <v>10000</v>
      </c>
      <c r="AE281" s="20">
        <v>0</v>
      </c>
      <c r="AF281" s="24">
        <v>40</v>
      </c>
      <c r="AG281" s="24">
        <v>0</v>
      </c>
      <c r="AH281" s="24">
        <v>0</v>
      </c>
      <c r="AI281" s="24">
        <v>0</v>
      </c>
      <c r="AJ281" s="24">
        <v>0</v>
      </c>
    </row>
    <row r="282" ht="14.25" spans="1:36">
      <c r="A282" s="20">
        <v>90000608</v>
      </c>
      <c r="B282" s="20">
        <v>3</v>
      </c>
      <c r="C282" s="20" t="s">
        <v>178</v>
      </c>
      <c r="D282" s="20"/>
      <c r="E282" s="21"/>
      <c r="F282" s="20"/>
      <c r="G282" s="20">
        <v>1</v>
      </c>
      <c r="H282" s="20">
        <v>2</v>
      </c>
      <c r="I282" s="26" t="s">
        <v>81</v>
      </c>
      <c r="J282" s="20">
        <v>0</v>
      </c>
      <c r="K282" s="20" t="s">
        <v>133</v>
      </c>
      <c r="L282" s="20">
        <v>800011021</v>
      </c>
      <c r="M282" s="20">
        <v>1</v>
      </c>
      <c r="N282" s="22">
        <v>45</v>
      </c>
      <c r="O282" s="20">
        <v>1</v>
      </c>
      <c r="P282" s="20">
        <v>8</v>
      </c>
      <c r="Q282" s="20">
        <v>0</v>
      </c>
      <c r="R282" s="20">
        <v>25</v>
      </c>
      <c r="S282" s="20">
        <v>-5000</v>
      </c>
      <c r="T282" s="20">
        <v>1</v>
      </c>
      <c r="U282" s="20">
        <v>0</v>
      </c>
      <c r="V282" s="20" t="s">
        <v>82</v>
      </c>
      <c r="W282" s="20" t="s">
        <v>82</v>
      </c>
      <c r="X282" s="20" t="s">
        <v>82</v>
      </c>
      <c r="Y282" s="23">
        <v>20010001</v>
      </c>
      <c r="Z282" s="23">
        <v>0</v>
      </c>
      <c r="AA282" s="20">
        <v>1</v>
      </c>
      <c r="AB282" s="24" t="s">
        <v>83</v>
      </c>
      <c r="AC282" s="20">
        <v>10000</v>
      </c>
      <c r="AD282" s="20">
        <v>10000</v>
      </c>
      <c r="AE282" s="20">
        <v>0</v>
      </c>
      <c r="AF282" s="24">
        <v>40</v>
      </c>
      <c r="AG282" s="24">
        <v>0</v>
      </c>
      <c r="AH282" s="24">
        <v>0</v>
      </c>
      <c r="AI282" s="24">
        <v>0</v>
      </c>
      <c r="AJ282" s="24">
        <v>0</v>
      </c>
    </row>
    <row r="283" ht="14.25" spans="1:36">
      <c r="A283" s="20">
        <v>90000701</v>
      </c>
      <c r="B283" s="20">
        <v>3</v>
      </c>
      <c r="C283" s="20" t="s">
        <v>179</v>
      </c>
      <c r="D283" s="20"/>
      <c r="E283" s="21"/>
      <c r="F283" s="20"/>
      <c r="G283" s="20">
        <v>1</v>
      </c>
      <c r="H283" s="20">
        <v>2</v>
      </c>
      <c r="I283" s="26" t="s">
        <v>81</v>
      </c>
      <c r="J283" s="20">
        <v>0</v>
      </c>
      <c r="K283" s="20" t="s">
        <v>109</v>
      </c>
      <c r="L283" s="20">
        <v>800001011</v>
      </c>
      <c r="M283" s="20">
        <v>1</v>
      </c>
      <c r="N283" s="22">
        <v>1</v>
      </c>
      <c r="O283" s="20">
        <v>1</v>
      </c>
      <c r="P283" s="20">
        <v>8</v>
      </c>
      <c r="Q283" s="20">
        <v>0</v>
      </c>
      <c r="R283" s="20">
        <v>25</v>
      </c>
      <c r="S283" s="20">
        <v>-5000</v>
      </c>
      <c r="T283" s="20">
        <v>1</v>
      </c>
      <c r="U283" s="20">
        <v>0</v>
      </c>
      <c r="V283" s="20" t="s">
        <v>82</v>
      </c>
      <c r="W283" s="20" t="s">
        <v>82</v>
      </c>
      <c r="X283" s="20" t="s">
        <v>82</v>
      </c>
      <c r="Y283" s="23">
        <v>20010001</v>
      </c>
      <c r="Z283" s="23">
        <v>0</v>
      </c>
      <c r="AA283" s="20">
        <v>1</v>
      </c>
      <c r="AB283" s="24" t="s">
        <v>83</v>
      </c>
      <c r="AC283" s="20">
        <v>10000</v>
      </c>
      <c r="AD283" s="20">
        <v>10000</v>
      </c>
      <c r="AE283" s="20">
        <v>0</v>
      </c>
      <c r="AF283" s="24">
        <v>40</v>
      </c>
      <c r="AG283" s="24">
        <v>0</v>
      </c>
      <c r="AH283" s="24">
        <v>0</v>
      </c>
      <c r="AI283" s="24">
        <v>0</v>
      </c>
      <c r="AJ283" s="24">
        <v>0</v>
      </c>
    </row>
    <row r="284" ht="14.25" spans="1:36">
      <c r="A284" s="20">
        <v>90000702</v>
      </c>
      <c r="B284" s="20">
        <v>3</v>
      </c>
      <c r="C284" s="20" t="s">
        <v>180</v>
      </c>
      <c r="D284" s="20"/>
      <c r="E284" s="21"/>
      <c r="F284" s="20"/>
      <c r="G284" s="20">
        <v>1</v>
      </c>
      <c r="H284" s="20">
        <v>2</v>
      </c>
      <c r="I284" s="26" t="s">
        <v>81</v>
      </c>
      <c r="J284" s="20">
        <v>0</v>
      </c>
      <c r="K284" s="20" t="s">
        <v>109</v>
      </c>
      <c r="L284" s="20">
        <v>800001011</v>
      </c>
      <c r="M284" s="20">
        <v>1</v>
      </c>
      <c r="N284" s="22">
        <v>2</v>
      </c>
      <c r="O284" s="20">
        <v>1</v>
      </c>
      <c r="P284" s="20">
        <v>8</v>
      </c>
      <c r="Q284" s="20">
        <v>0</v>
      </c>
      <c r="R284" s="20">
        <v>25</v>
      </c>
      <c r="S284" s="20">
        <v>-5000</v>
      </c>
      <c r="T284" s="20">
        <v>1</v>
      </c>
      <c r="U284" s="20">
        <v>0</v>
      </c>
      <c r="V284" s="20" t="s">
        <v>82</v>
      </c>
      <c r="W284" s="20" t="s">
        <v>82</v>
      </c>
      <c r="X284" s="20" t="s">
        <v>82</v>
      </c>
      <c r="Y284" s="23">
        <v>20010001</v>
      </c>
      <c r="Z284" s="23">
        <v>0</v>
      </c>
      <c r="AA284" s="20">
        <v>1</v>
      </c>
      <c r="AB284" s="24" t="s">
        <v>83</v>
      </c>
      <c r="AC284" s="20">
        <v>10000</v>
      </c>
      <c r="AD284" s="20">
        <v>10000</v>
      </c>
      <c r="AE284" s="20">
        <v>0</v>
      </c>
      <c r="AF284" s="24">
        <v>40</v>
      </c>
      <c r="AG284" s="24">
        <v>0</v>
      </c>
      <c r="AH284" s="24">
        <v>0</v>
      </c>
      <c r="AI284" s="24">
        <v>0</v>
      </c>
      <c r="AJ284" s="24">
        <v>0</v>
      </c>
    </row>
    <row r="285" ht="14.25" spans="1:36">
      <c r="A285" s="20">
        <v>90000703</v>
      </c>
      <c r="B285" s="20">
        <v>3</v>
      </c>
      <c r="C285" s="20" t="s">
        <v>181</v>
      </c>
      <c r="D285" s="20"/>
      <c r="E285" s="21"/>
      <c r="F285" s="20"/>
      <c r="G285" s="20">
        <v>1</v>
      </c>
      <c r="H285" s="20">
        <v>2</v>
      </c>
      <c r="I285" s="26" t="s">
        <v>81</v>
      </c>
      <c r="J285" s="20">
        <v>0</v>
      </c>
      <c r="K285" s="20" t="s">
        <v>109</v>
      </c>
      <c r="L285" s="20">
        <v>800001011</v>
      </c>
      <c r="M285" s="20">
        <v>1</v>
      </c>
      <c r="N285" s="22">
        <v>3</v>
      </c>
      <c r="O285" s="20">
        <v>1</v>
      </c>
      <c r="P285" s="20">
        <v>8</v>
      </c>
      <c r="Q285" s="20">
        <v>0</v>
      </c>
      <c r="R285" s="20">
        <v>25</v>
      </c>
      <c r="S285" s="20">
        <v>-5000</v>
      </c>
      <c r="T285" s="20">
        <v>1</v>
      </c>
      <c r="U285" s="20">
        <v>0</v>
      </c>
      <c r="V285" s="20" t="s">
        <v>82</v>
      </c>
      <c r="W285" s="20" t="s">
        <v>82</v>
      </c>
      <c r="X285" s="20" t="s">
        <v>82</v>
      </c>
      <c r="Y285" s="23">
        <v>20010001</v>
      </c>
      <c r="Z285" s="23">
        <v>0</v>
      </c>
      <c r="AA285" s="20">
        <v>1</v>
      </c>
      <c r="AB285" s="24" t="s">
        <v>83</v>
      </c>
      <c r="AC285" s="20">
        <v>10000</v>
      </c>
      <c r="AD285" s="20">
        <v>10000</v>
      </c>
      <c r="AE285" s="20">
        <v>0</v>
      </c>
      <c r="AF285" s="24">
        <v>40</v>
      </c>
      <c r="AG285" s="24">
        <v>0</v>
      </c>
      <c r="AH285" s="24">
        <v>0</v>
      </c>
      <c r="AI285" s="24">
        <v>0</v>
      </c>
      <c r="AJ285" s="24">
        <v>0</v>
      </c>
    </row>
    <row r="286" ht="14.25" spans="1:36">
      <c r="A286" s="20">
        <v>90000704</v>
      </c>
      <c r="B286" s="20">
        <v>3</v>
      </c>
      <c r="C286" s="20" t="s">
        <v>182</v>
      </c>
      <c r="D286" s="20"/>
      <c r="E286" s="21"/>
      <c r="F286" s="20"/>
      <c r="G286" s="20">
        <v>1</v>
      </c>
      <c r="H286" s="20">
        <v>2</v>
      </c>
      <c r="I286" s="26" t="s">
        <v>81</v>
      </c>
      <c r="J286" s="20">
        <v>0</v>
      </c>
      <c r="K286" s="20" t="s">
        <v>115</v>
      </c>
      <c r="L286" s="20">
        <v>800001021</v>
      </c>
      <c r="M286" s="20">
        <v>1</v>
      </c>
      <c r="N286" s="22">
        <v>4</v>
      </c>
      <c r="O286" s="20">
        <v>1</v>
      </c>
      <c r="P286" s="20">
        <v>8</v>
      </c>
      <c r="Q286" s="20">
        <v>0</v>
      </c>
      <c r="R286" s="20">
        <v>25</v>
      </c>
      <c r="S286" s="20">
        <v>-5000</v>
      </c>
      <c r="T286" s="20">
        <v>1</v>
      </c>
      <c r="U286" s="20">
        <v>0</v>
      </c>
      <c r="V286" s="20" t="s">
        <v>82</v>
      </c>
      <c r="W286" s="20" t="s">
        <v>82</v>
      </c>
      <c r="X286" s="20" t="s">
        <v>82</v>
      </c>
      <c r="Y286" s="23">
        <v>20010001</v>
      </c>
      <c r="Z286" s="23">
        <v>0</v>
      </c>
      <c r="AA286" s="20">
        <v>1</v>
      </c>
      <c r="AB286" s="24" t="s">
        <v>83</v>
      </c>
      <c r="AC286" s="20">
        <v>10000</v>
      </c>
      <c r="AD286" s="20">
        <v>10000</v>
      </c>
      <c r="AE286" s="20">
        <v>0</v>
      </c>
      <c r="AF286" s="24">
        <v>40</v>
      </c>
      <c r="AG286" s="24">
        <v>0</v>
      </c>
      <c r="AH286" s="24">
        <v>0</v>
      </c>
      <c r="AI286" s="24">
        <v>0</v>
      </c>
      <c r="AJ286" s="24">
        <v>0</v>
      </c>
    </row>
    <row r="287" ht="14.25" spans="1:36">
      <c r="A287" s="20">
        <v>90000705</v>
      </c>
      <c r="B287" s="20">
        <v>3</v>
      </c>
      <c r="C287" s="20" t="s">
        <v>183</v>
      </c>
      <c r="D287" s="20"/>
      <c r="E287" s="21"/>
      <c r="F287" s="20"/>
      <c r="G287" s="20">
        <v>1</v>
      </c>
      <c r="H287" s="20">
        <v>2</v>
      </c>
      <c r="I287" s="26" t="s">
        <v>81</v>
      </c>
      <c r="J287" s="20">
        <v>0</v>
      </c>
      <c r="K287" s="20" t="s">
        <v>115</v>
      </c>
      <c r="L287" s="20">
        <v>800001021</v>
      </c>
      <c r="M287" s="20">
        <v>1</v>
      </c>
      <c r="N287" s="22">
        <v>5</v>
      </c>
      <c r="O287" s="20">
        <v>1</v>
      </c>
      <c r="P287" s="20">
        <v>8</v>
      </c>
      <c r="Q287" s="20">
        <v>0</v>
      </c>
      <c r="R287" s="20">
        <v>25</v>
      </c>
      <c r="S287" s="20">
        <v>-5000</v>
      </c>
      <c r="T287" s="20">
        <v>1</v>
      </c>
      <c r="U287" s="20">
        <v>0</v>
      </c>
      <c r="V287" s="20" t="s">
        <v>82</v>
      </c>
      <c r="W287" s="20" t="s">
        <v>82</v>
      </c>
      <c r="X287" s="20" t="s">
        <v>82</v>
      </c>
      <c r="Y287" s="23">
        <v>20010001</v>
      </c>
      <c r="Z287" s="23">
        <v>0</v>
      </c>
      <c r="AA287" s="20">
        <v>1</v>
      </c>
      <c r="AB287" s="24" t="s">
        <v>83</v>
      </c>
      <c r="AC287" s="20">
        <v>10000</v>
      </c>
      <c r="AD287" s="20">
        <v>10000</v>
      </c>
      <c r="AE287" s="20">
        <v>0</v>
      </c>
      <c r="AF287" s="24">
        <v>40</v>
      </c>
      <c r="AG287" s="24">
        <v>0</v>
      </c>
      <c r="AH287" s="24">
        <v>0</v>
      </c>
      <c r="AI287" s="24">
        <v>0</v>
      </c>
      <c r="AJ287" s="24">
        <v>0</v>
      </c>
    </row>
    <row r="288" ht="14.25" spans="1:36">
      <c r="A288" s="20">
        <v>90000706</v>
      </c>
      <c r="B288" s="20">
        <v>3</v>
      </c>
      <c r="C288" s="20" t="s">
        <v>184</v>
      </c>
      <c r="D288" s="20"/>
      <c r="E288" s="21"/>
      <c r="F288" s="20"/>
      <c r="G288" s="20">
        <v>1</v>
      </c>
      <c r="H288" s="20">
        <v>2</v>
      </c>
      <c r="I288" s="26" t="s">
        <v>81</v>
      </c>
      <c r="J288" s="20">
        <v>0</v>
      </c>
      <c r="K288" s="20" t="s">
        <v>115</v>
      </c>
      <c r="L288" s="20">
        <v>800001021</v>
      </c>
      <c r="M288" s="20">
        <v>1</v>
      </c>
      <c r="N288" s="22">
        <v>13</v>
      </c>
      <c r="O288" s="20">
        <v>1</v>
      </c>
      <c r="P288" s="20">
        <v>8</v>
      </c>
      <c r="Q288" s="20">
        <v>0</v>
      </c>
      <c r="R288" s="20">
        <v>25</v>
      </c>
      <c r="S288" s="20">
        <v>-5000</v>
      </c>
      <c r="T288" s="20">
        <v>1</v>
      </c>
      <c r="U288" s="20">
        <v>0</v>
      </c>
      <c r="V288" s="20" t="s">
        <v>82</v>
      </c>
      <c r="W288" s="20" t="s">
        <v>82</v>
      </c>
      <c r="X288" s="20" t="s">
        <v>82</v>
      </c>
      <c r="Y288" s="23">
        <v>20010001</v>
      </c>
      <c r="Z288" s="23">
        <v>0</v>
      </c>
      <c r="AA288" s="20">
        <v>1</v>
      </c>
      <c r="AB288" s="24" t="s">
        <v>83</v>
      </c>
      <c r="AC288" s="20">
        <v>10000</v>
      </c>
      <c r="AD288" s="20">
        <v>10000</v>
      </c>
      <c r="AE288" s="20">
        <v>0</v>
      </c>
      <c r="AF288" s="24">
        <v>40</v>
      </c>
      <c r="AG288" s="24">
        <v>0</v>
      </c>
      <c r="AH288" s="24">
        <v>0</v>
      </c>
      <c r="AI288" s="24">
        <v>0</v>
      </c>
      <c r="AJ288" s="24">
        <v>0</v>
      </c>
    </row>
    <row r="289" ht="14.25" spans="1:36">
      <c r="A289" s="20">
        <v>90000707</v>
      </c>
      <c r="B289" s="20">
        <v>3</v>
      </c>
      <c r="C289" s="20" t="s">
        <v>185</v>
      </c>
      <c r="D289" s="20"/>
      <c r="E289" s="21"/>
      <c r="F289" s="20"/>
      <c r="G289" s="20">
        <v>1</v>
      </c>
      <c r="H289" s="20">
        <v>2</v>
      </c>
      <c r="I289" s="26" t="s">
        <v>81</v>
      </c>
      <c r="J289" s="20">
        <v>0</v>
      </c>
      <c r="K289" s="20" t="s">
        <v>115</v>
      </c>
      <c r="L289" s="20">
        <v>800001021</v>
      </c>
      <c r="M289" s="20">
        <v>1</v>
      </c>
      <c r="N289" s="22">
        <v>15</v>
      </c>
      <c r="O289" s="20">
        <v>1</v>
      </c>
      <c r="P289" s="20">
        <v>8</v>
      </c>
      <c r="Q289" s="20">
        <v>0</v>
      </c>
      <c r="R289" s="20">
        <v>25</v>
      </c>
      <c r="S289" s="20">
        <v>-5000</v>
      </c>
      <c r="T289" s="20">
        <v>1</v>
      </c>
      <c r="U289" s="20">
        <v>0</v>
      </c>
      <c r="V289" s="20" t="s">
        <v>82</v>
      </c>
      <c r="W289" s="20" t="s">
        <v>82</v>
      </c>
      <c r="X289" s="20" t="s">
        <v>82</v>
      </c>
      <c r="Y289" s="23">
        <v>20010001</v>
      </c>
      <c r="Z289" s="23">
        <v>0</v>
      </c>
      <c r="AA289" s="20">
        <v>1</v>
      </c>
      <c r="AB289" s="24" t="s">
        <v>83</v>
      </c>
      <c r="AC289" s="20">
        <v>10000</v>
      </c>
      <c r="AD289" s="20">
        <v>10000</v>
      </c>
      <c r="AE289" s="20">
        <v>0</v>
      </c>
      <c r="AF289" s="24">
        <v>40</v>
      </c>
      <c r="AG289" s="24">
        <v>0</v>
      </c>
      <c r="AH289" s="24">
        <v>0</v>
      </c>
      <c r="AI289" s="24">
        <v>0</v>
      </c>
      <c r="AJ289" s="24">
        <v>0</v>
      </c>
    </row>
    <row r="290" ht="14.25" spans="1:36">
      <c r="A290" s="20">
        <v>90000708</v>
      </c>
      <c r="B290" s="20">
        <v>3</v>
      </c>
      <c r="C290" s="20" t="s">
        <v>186</v>
      </c>
      <c r="D290" s="20"/>
      <c r="E290" s="21"/>
      <c r="F290" s="20"/>
      <c r="G290" s="20">
        <v>1</v>
      </c>
      <c r="H290" s="20">
        <v>2</v>
      </c>
      <c r="I290" s="26" t="s">
        <v>81</v>
      </c>
      <c r="J290" s="20">
        <v>0</v>
      </c>
      <c r="K290" s="20" t="s">
        <v>131</v>
      </c>
      <c r="L290" s="20">
        <v>800011011</v>
      </c>
      <c r="M290" s="20">
        <v>1</v>
      </c>
      <c r="N290" s="22">
        <v>35</v>
      </c>
      <c r="O290" s="20">
        <v>1</v>
      </c>
      <c r="P290" s="20">
        <v>8</v>
      </c>
      <c r="Q290" s="20">
        <v>0</v>
      </c>
      <c r="R290" s="20">
        <v>25</v>
      </c>
      <c r="S290" s="20">
        <v>-5000</v>
      </c>
      <c r="T290" s="20">
        <v>1</v>
      </c>
      <c r="U290" s="20">
        <v>0</v>
      </c>
      <c r="V290" s="20" t="s">
        <v>82</v>
      </c>
      <c r="W290" s="20" t="s">
        <v>82</v>
      </c>
      <c r="X290" s="20" t="s">
        <v>82</v>
      </c>
      <c r="Y290" s="23">
        <v>20010001</v>
      </c>
      <c r="Z290" s="23">
        <v>0</v>
      </c>
      <c r="AA290" s="20">
        <v>1</v>
      </c>
      <c r="AB290" s="24" t="s">
        <v>83</v>
      </c>
      <c r="AC290" s="20">
        <v>10000</v>
      </c>
      <c r="AD290" s="20">
        <v>10000</v>
      </c>
      <c r="AE290" s="20">
        <v>0</v>
      </c>
      <c r="AF290" s="24">
        <v>40</v>
      </c>
      <c r="AG290" s="24">
        <v>0</v>
      </c>
      <c r="AH290" s="24">
        <v>0</v>
      </c>
      <c r="AI290" s="24">
        <v>0</v>
      </c>
      <c r="AJ290" s="24">
        <v>0</v>
      </c>
    </row>
    <row r="291" ht="14.25" spans="1:36">
      <c r="A291" s="20">
        <v>90000709</v>
      </c>
      <c r="B291" s="20">
        <v>3</v>
      </c>
      <c r="C291" s="20" t="s">
        <v>187</v>
      </c>
      <c r="D291" s="20"/>
      <c r="E291" s="21"/>
      <c r="F291" s="20"/>
      <c r="G291" s="20">
        <v>1</v>
      </c>
      <c r="H291" s="20">
        <v>2</v>
      </c>
      <c r="I291" s="26" t="s">
        <v>81</v>
      </c>
      <c r="J291" s="20">
        <v>0</v>
      </c>
      <c r="K291" s="20" t="s">
        <v>131</v>
      </c>
      <c r="L291" s="20">
        <v>800011011</v>
      </c>
      <c r="M291" s="20">
        <v>1</v>
      </c>
      <c r="N291" s="22">
        <v>40</v>
      </c>
      <c r="O291" s="20">
        <v>1</v>
      </c>
      <c r="P291" s="20">
        <v>8</v>
      </c>
      <c r="Q291" s="20">
        <v>0</v>
      </c>
      <c r="R291" s="20">
        <v>25</v>
      </c>
      <c r="S291" s="20">
        <v>-5000</v>
      </c>
      <c r="T291" s="20">
        <v>1</v>
      </c>
      <c r="U291" s="20">
        <v>0</v>
      </c>
      <c r="V291" s="20" t="s">
        <v>82</v>
      </c>
      <c r="W291" s="20" t="s">
        <v>82</v>
      </c>
      <c r="X291" s="20" t="s">
        <v>82</v>
      </c>
      <c r="Y291" s="23">
        <v>20010001</v>
      </c>
      <c r="Z291" s="23">
        <v>0</v>
      </c>
      <c r="AA291" s="20">
        <v>1</v>
      </c>
      <c r="AB291" s="24" t="s">
        <v>83</v>
      </c>
      <c r="AC291" s="20">
        <v>10000</v>
      </c>
      <c r="AD291" s="20">
        <v>10000</v>
      </c>
      <c r="AE291" s="20">
        <v>0</v>
      </c>
      <c r="AF291" s="24">
        <v>40</v>
      </c>
      <c r="AG291" s="24">
        <v>0</v>
      </c>
      <c r="AH291" s="24">
        <v>0</v>
      </c>
      <c r="AI291" s="24">
        <v>0</v>
      </c>
      <c r="AJ291" s="24">
        <v>0</v>
      </c>
    </row>
    <row r="292" ht="14.25" spans="1:36">
      <c r="A292" s="20">
        <v>90000710</v>
      </c>
      <c r="B292" s="20">
        <v>3</v>
      </c>
      <c r="C292" s="20" t="s">
        <v>188</v>
      </c>
      <c r="D292" s="20"/>
      <c r="E292" s="21"/>
      <c r="F292" s="20"/>
      <c r="G292" s="20">
        <v>1</v>
      </c>
      <c r="H292" s="20">
        <v>2</v>
      </c>
      <c r="I292" s="26" t="s">
        <v>81</v>
      </c>
      <c r="J292" s="20">
        <v>0</v>
      </c>
      <c r="K292" s="20" t="s">
        <v>131</v>
      </c>
      <c r="L292" s="20">
        <v>800011011</v>
      </c>
      <c r="M292" s="20">
        <v>1</v>
      </c>
      <c r="N292" s="22">
        <v>90</v>
      </c>
      <c r="O292" s="20">
        <v>1</v>
      </c>
      <c r="P292" s="20">
        <v>8</v>
      </c>
      <c r="Q292" s="20">
        <v>0</v>
      </c>
      <c r="R292" s="20">
        <v>25</v>
      </c>
      <c r="S292" s="20">
        <v>-5000</v>
      </c>
      <c r="T292" s="20">
        <v>1</v>
      </c>
      <c r="U292" s="20">
        <v>0</v>
      </c>
      <c r="V292" s="20" t="s">
        <v>82</v>
      </c>
      <c r="W292" s="20" t="s">
        <v>82</v>
      </c>
      <c r="X292" s="20" t="s">
        <v>82</v>
      </c>
      <c r="Y292" s="23">
        <v>20010001</v>
      </c>
      <c r="Z292" s="23">
        <v>0</v>
      </c>
      <c r="AA292" s="20">
        <v>1</v>
      </c>
      <c r="AB292" s="24" t="s">
        <v>83</v>
      </c>
      <c r="AC292" s="20">
        <v>10000</v>
      </c>
      <c r="AD292" s="20">
        <v>10000</v>
      </c>
      <c r="AE292" s="20">
        <v>0</v>
      </c>
      <c r="AF292" s="24">
        <v>40</v>
      </c>
      <c r="AG292" s="24">
        <v>0</v>
      </c>
      <c r="AH292" s="24">
        <v>0</v>
      </c>
      <c r="AI292" s="24">
        <v>0</v>
      </c>
      <c r="AJ292" s="24">
        <v>0</v>
      </c>
    </row>
    <row r="293" ht="14.25" spans="1:36">
      <c r="A293" s="20">
        <v>90000711</v>
      </c>
      <c r="B293" s="20">
        <v>3</v>
      </c>
      <c r="C293" s="20" t="s">
        <v>189</v>
      </c>
      <c r="D293" s="20"/>
      <c r="E293" s="21"/>
      <c r="F293" s="20"/>
      <c r="G293" s="20">
        <v>1</v>
      </c>
      <c r="H293" s="20">
        <v>2</v>
      </c>
      <c r="I293" s="26" t="s">
        <v>81</v>
      </c>
      <c r="J293" s="20">
        <v>0</v>
      </c>
      <c r="K293" s="20" t="s">
        <v>131</v>
      </c>
      <c r="L293" s="20">
        <v>800011011</v>
      </c>
      <c r="M293" s="20">
        <v>1</v>
      </c>
      <c r="N293" s="22">
        <v>100</v>
      </c>
      <c r="O293" s="20">
        <v>1</v>
      </c>
      <c r="P293" s="20">
        <v>8</v>
      </c>
      <c r="Q293" s="20">
        <v>0</v>
      </c>
      <c r="R293" s="20">
        <v>25</v>
      </c>
      <c r="S293" s="20">
        <v>-5000</v>
      </c>
      <c r="T293" s="20">
        <v>1</v>
      </c>
      <c r="U293" s="20">
        <v>0</v>
      </c>
      <c r="V293" s="20" t="s">
        <v>82</v>
      </c>
      <c r="W293" s="20" t="s">
        <v>82</v>
      </c>
      <c r="X293" s="20" t="s">
        <v>82</v>
      </c>
      <c r="Y293" s="23">
        <v>20010001</v>
      </c>
      <c r="Z293" s="23">
        <v>0</v>
      </c>
      <c r="AA293" s="20">
        <v>1</v>
      </c>
      <c r="AB293" s="24" t="s">
        <v>83</v>
      </c>
      <c r="AC293" s="20">
        <v>10000</v>
      </c>
      <c r="AD293" s="20">
        <v>10000</v>
      </c>
      <c r="AE293" s="20">
        <v>0</v>
      </c>
      <c r="AF293" s="24">
        <v>40</v>
      </c>
      <c r="AG293" s="24">
        <v>0</v>
      </c>
      <c r="AH293" s="24">
        <v>0</v>
      </c>
      <c r="AI293" s="24">
        <v>0</v>
      </c>
      <c r="AJ293" s="24">
        <v>0</v>
      </c>
    </row>
    <row r="294" ht="14.25" spans="1:36">
      <c r="A294" s="20">
        <v>90000712</v>
      </c>
      <c r="B294" s="20">
        <v>3</v>
      </c>
      <c r="C294" s="20" t="s">
        <v>190</v>
      </c>
      <c r="D294" s="20"/>
      <c r="E294" s="21"/>
      <c r="F294" s="20"/>
      <c r="G294" s="20">
        <v>1</v>
      </c>
      <c r="H294" s="20">
        <v>2</v>
      </c>
      <c r="I294" s="26" t="s">
        <v>81</v>
      </c>
      <c r="J294" s="20">
        <v>0</v>
      </c>
      <c r="K294" s="20" t="s">
        <v>133</v>
      </c>
      <c r="L294" s="20">
        <v>800011021</v>
      </c>
      <c r="M294" s="20">
        <v>1</v>
      </c>
      <c r="N294" s="22">
        <v>240</v>
      </c>
      <c r="O294" s="20">
        <v>1</v>
      </c>
      <c r="P294" s="20">
        <v>8</v>
      </c>
      <c r="Q294" s="20">
        <v>0</v>
      </c>
      <c r="R294" s="20">
        <v>25</v>
      </c>
      <c r="S294" s="20">
        <v>-5000</v>
      </c>
      <c r="T294" s="20">
        <v>1</v>
      </c>
      <c r="U294" s="20">
        <v>0</v>
      </c>
      <c r="V294" s="20" t="s">
        <v>82</v>
      </c>
      <c r="W294" s="20" t="s">
        <v>82</v>
      </c>
      <c r="X294" s="20" t="s">
        <v>82</v>
      </c>
      <c r="Y294" s="23">
        <v>20010001</v>
      </c>
      <c r="Z294" s="23">
        <v>0</v>
      </c>
      <c r="AA294" s="20">
        <v>1</v>
      </c>
      <c r="AB294" s="24" t="s">
        <v>83</v>
      </c>
      <c r="AC294" s="20">
        <v>10000</v>
      </c>
      <c r="AD294" s="20">
        <v>10000</v>
      </c>
      <c r="AE294" s="20">
        <v>0</v>
      </c>
      <c r="AF294" s="24">
        <v>40</v>
      </c>
      <c r="AG294" s="24">
        <v>0</v>
      </c>
      <c r="AH294" s="24">
        <v>0</v>
      </c>
      <c r="AI294" s="24">
        <v>0</v>
      </c>
      <c r="AJ294" s="24">
        <v>0</v>
      </c>
    </row>
    <row r="295" ht="14.25" spans="1:36">
      <c r="A295" s="20">
        <v>90000713</v>
      </c>
      <c r="B295" s="20">
        <v>3</v>
      </c>
      <c r="C295" s="20" t="s">
        <v>191</v>
      </c>
      <c r="D295" s="20"/>
      <c r="E295" s="21"/>
      <c r="F295" s="20"/>
      <c r="G295" s="20">
        <v>1</v>
      </c>
      <c r="H295" s="20">
        <v>2</v>
      </c>
      <c r="I295" s="26" t="s">
        <v>81</v>
      </c>
      <c r="J295" s="20">
        <v>0</v>
      </c>
      <c r="K295" s="20" t="s">
        <v>133</v>
      </c>
      <c r="L295" s="20">
        <v>800011021</v>
      </c>
      <c r="M295" s="20">
        <v>1</v>
      </c>
      <c r="N295" s="22">
        <v>300</v>
      </c>
      <c r="O295" s="20">
        <v>1</v>
      </c>
      <c r="P295" s="20">
        <v>8</v>
      </c>
      <c r="Q295" s="20">
        <v>0</v>
      </c>
      <c r="R295" s="20">
        <v>25</v>
      </c>
      <c r="S295" s="20">
        <v>-5000</v>
      </c>
      <c r="T295" s="20">
        <v>1</v>
      </c>
      <c r="U295" s="20">
        <v>0</v>
      </c>
      <c r="V295" s="20" t="s">
        <v>82</v>
      </c>
      <c r="W295" s="20" t="s">
        <v>82</v>
      </c>
      <c r="X295" s="20" t="s">
        <v>82</v>
      </c>
      <c r="Y295" s="23">
        <v>20010001</v>
      </c>
      <c r="Z295" s="23">
        <v>0</v>
      </c>
      <c r="AA295" s="20">
        <v>1</v>
      </c>
      <c r="AB295" s="24" t="s">
        <v>83</v>
      </c>
      <c r="AC295" s="20">
        <v>10000</v>
      </c>
      <c r="AD295" s="20">
        <v>10000</v>
      </c>
      <c r="AE295" s="20">
        <v>0</v>
      </c>
      <c r="AF295" s="24">
        <v>40</v>
      </c>
      <c r="AG295" s="24">
        <v>0</v>
      </c>
      <c r="AH295" s="24">
        <v>0</v>
      </c>
      <c r="AI295" s="24">
        <v>0</v>
      </c>
      <c r="AJ295" s="24">
        <v>0</v>
      </c>
    </row>
    <row r="296" ht="14.25" spans="1:36">
      <c r="A296" s="20">
        <v>90000714</v>
      </c>
      <c r="B296" s="20">
        <v>3</v>
      </c>
      <c r="C296" s="20" t="s">
        <v>192</v>
      </c>
      <c r="D296" s="20"/>
      <c r="E296" s="21"/>
      <c r="F296" s="20"/>
      <c r="G296" s="20">
        <v>1</v>
      </c>
      <c r="H296" s="20">
        <v>2</v>
      </c>
      <c r="I296" s="26" t="s">
        <v>81</v>
      </c>
      <c r="J296" s="20">
        <v>0</v>
      </c>
      <c r="K296" s="20" t="s">
        <v>133</v>
      </c>
      <c r="L296" s="20">
        <v>800011021</v>
      </c>
      <c r="M296" s="20">
        <v>1</v>
      </c>
      <c r="N296" s="22">
        <v>700</v>
      </c>
      <c r="O296" s="20">
        <v>1</v>
      </c>
      <c r="P296" s="20">
        <v>8</v>
      </c>
      <c r="Q296" s="20">
        <v>0</v>
      </c>
      <c r="R296" s="20">
        <v>25</v>
      </c>
      <c r="S296" s="20">
        <v>-5000</v>
      </c>
      <c r="T296" s="20">
        <v>1</v>
      </c>
      <c r="U296" s="20">
        <v>0</v>
      </c>
      <c r="V296" s="20" t="s">
        <v>82</v>
      </c>
      <c r="W296" s="20" t="s">
        <v>82</v>
      </c>
      <c r="X296" s="20" t="s">
        <v>82</v>
      </c>
      <c r="Y296" s="23">
        <v>20010001</v>
      </c>
      <c r="Z296" s="23">
        <v>0</v>
      </c>
      <c r="AA296" s="20">
        <v>1</v>
      </c>
      <c r="AB296" s="24" t="s">
        <v>83</v>
      </c>
      <c r="AC296" s="20">
        <v>10000</v>
      </c>
      <c r="AD296" s="20">
        <v>10000</v>
      </c>
      <c r="AE296" s="20">
        <v>0</v>
      </c>
      <c r="AF296" s="24">
        <v>40</v>
      </c>
      <c r="AG296" s="24">
        <v>0</v>
      </c>
      <c r="AH296" s="24">
        <v>0</v>
      </c>
      <c r="AI296" s="24">
        <v>0</v>
      </c>
      <c r="AJ296" s="24">
        <v>0</v>
      </c>
    </row>
    <row r="297" ht="14.25" spans="1:36">
      <c r="A297" s="20">
        <v>90000715</v>
      </c>
      <c r="B297" s="20">
        <v>3</v>
      </c>
      <c r="C297" s="20" t="s">
        <v>193</v>
      </c>
      <c r="D297" s="20"/>
      <c r="E297" s="21"/>
      <c r="F297" s="20"/>
      <c r="G297" s="20">
        <v>1</v>
      </c>
      <c r="H297" s="20">
        <v>2</v>
      </c>
      <c r="I297" s="26" t="s">
        <v>81</v>
      </c>
      <c r="J297" s="20">
        <v>0</v>
      </c>
      <c r="K297" s="20" t="s">
        <v>133</v>
      </c>
      <c r="L297" s="20">
        <v>800011021</v>
      </c>
      <c r="M297" s="20">
        <v>1</v>
      </c>
      <c r="N297" s="22">
        <v>800</v>
      </c>
      <c r="O297" s="20">
        <v>1</v>
      </c>
      <c r="P297" s="20">
        <v>8</v>
      </c>
      <c r="Q297" s="20">
        <v>0</v>
      </c>
      <c r="R297" s="20">
        <v>25</v>
      </c>
      <c r="S297" s="20">
        <v>-5000</v>
      </c>
      <c r="T297" s="20">
        <v>1</v>
      </c>
      <c r="U297" s="20">
        <v>0</v>
      </c>
      <c r="V297" s="20" t="s">
        <v>82</v>
      </c>
      <c r="W297" s="20" t="s">
        <v>82</v>
      </c>
      <c r="X297" s="20" t="s">
        <v>82</v>
      </c>
      <c r="Y297" s="23">
        <v>20010001</v>
      </c>
      <c r="Z297" s="23">
        <v>0</v>
      </c>
      <c r="AA297" s="20">
        <v>1</v>
      </c>
      <c r="AB297" s="24" t="s">
        <v>83</v>
      </c>
      <c r="AC297" s="20">
        <v>10000</v>
      </c>
      <c r="AD297" s="20">
        <v>10000</v>
      </c>
      <c r="AE297" s="20">
        <v>0</v>
      </c>
      <c r="AF297" s="24">
        <v>40</v>
      </c>
      <c r="AG297" s="24">
        <v>0</v>
      </c>
      <c r="AH297" s="24">
        <v>0</v>
      </c>
      <c r="AI297" s="24">
        <v>0</v>
      </c>
      <c r="AJ297" s="24">
        <v>0</v>
      </c>
    </row>
    <row r="298" ht="14.25" spans="1:36">
      <c r="A298" s="20">
        <v>90000716</v>
      </c>
      <c r="B298" s="20">
        <v>3</v>
      </c>
      <c r="C298" s="20" t="s">
        <v>194</v>
      </c>
      <c r="D298" s="20"/>
      <c r="E298" s="21"/>
      <c r="F298" s="20"/>
      <c r="G298" s="20">
        <v>1</v>
      </c>
      <c r="H298" s="20">
        <v>2</v>
      </c>
      <c r="I298" s="26" t="s">
        <v>81</v>
      </c>
      <c r="J298" s="20">
        <v>0</v>
      </c>
      <c r="K298" s="20" t="s">
        <v>133</v>
      </c>
      <c r="L298" s="20">
        <v>800011021</v>
      </c>
      <c r="M298" s="20">
        <v>1</v>
      </c>
      <c r="N298" s="22">
        <v>1500</v>
      </c>
      <c r="O298" s="20">
        <v>1</v>
      </c>
      <c r="P298" s="20">
        <v>8</v>
      </c>
      <c r="Q298" s="20">
        <v>0</v>
      </c>
      <c r="R298" s="20">
        <v>25</v>
      </c>
      <c r="S298" s="20">
        <v>-5000</v>
      </c>
      <c r="T298" s="20">
        <v>1</v>
      </c>
      <c r="U298" s="20">
        <v>0</v>
      </c>
      <c r="V298" s="20" t="s">
        <v>82</v>
      </c>
      <c r="W298" s="20" t="s">
        <v>82</v>
      </c>
      <c r="X298" s="20" t="s">
        <v>82</v>
      </c>
      <c r="Y298" s="23">
        <v>20010001</v>
      </c>
      <c r="Z298" s="23">
        <v>0</v>
      </c>
      <c r="AA298" s="20">
        <v>1</v>
      </c>
      <c r="AB298" s="24" t="s">
        <v>83</v>
      </c>
      <c r="AC298" s="20">
        <v>10000</v>
      </c>
      <c r="AD298" s="20">
        <v>10000</v>
      </c>
      <c r="AE298" s="20">
        <v>0</v>
      </c>
      <c r="AF298" s="24">
        <v>40</v>
      </c>
      <c r="AG298" s="24">
        <v>0</v>
      </c>
      <c r="AH298" s="24">
        <v>0</v>
      </c>
      <c r="AI298" s="24">
        <v>0</v>
      </c>
      <c r="AJ298" s="24">
        <v>0</v>
      </c>
    </row>
    <row r="299" ht="14.25" spans="1:36">
      <c r="A299" s="20">
        <v>90000717</v>
      </c>
      <c r="B299" s="20">
        <v>3</v>
      </c>
      <c r="C299" s="20" t="s">
        <v>195</v>
      </c>
      <c r="D299" s="20"/>
      <c r="E299" s="21"/>
      <c r="F299" s="20"/>
      <c r="G299" s="20">
        <v>1</v>
      </c>
      <c r="H299" s="20">
        <v>2</v>
      </c>
      <c r="I299" s="26" t="s">
        <v>81</v>
      </c>
      <c r="J299" s="20">
        <v>0</v>
      </c>
      <c r="K299" s="20" t="s">
        <v>133</v>
      </c>
      <c r="L299" s="20">
        <v>800011021</v>
      </c>
      <c r="M299" s="20">
        <v>1</v>
      </c>
      <c r="N299" s="22">
        <v>3000</v>
      </c>
      <c r="O299" s="20">
        <v>1</v>
      </c>
      <c r="P299" s="20">
        <v>8</v>
      </c>
      <c r="Q299" s="20">
        <v>0</v>
      </c>
      <c r="R299" s="20">
        <v>25</v>
      </c>
      <c r="S299" s="20">
        <v>-5000</v>
      </c>
      <c r="T299" s="20">
        <v>1</v>
      </c>
      <c r="U299" s="20">
        <v>0</v>
      </c>
      <c r="V299" s="20" t="s">
        <v>82</v>
      </c>
      <c r="W299" s="20" t="s">
        <v>82</v>
      </c>
      <c r="X299" s="20" t="s">
        <v>82</v>
      </c>
      <c r="Y299" s="23">
        <v>20010001</v>
      </c>
      <c r="Z299" s="23">
        <v>0</v>
      </c>
      <c r="AA299" s="20">
        <v>1</v>
      </c>
      <c r="AB299" s="24" t="s">
        <v>83</v>
      </c>
      <c r="AC299" s="20">
        <v>10000</v>
      </c>
      <c r="AD299" s="20">
        <v>10000</v>
      </c>
      <c r="AE299" s="20">
        <v>0</v>
      </c>
      <c r="AF299" s="24">
        <v>40</v>
      </c>
      <c r="AG299" s="24">
        <v>0</v>
      </c>
      <c r="AH299" s="24">
        <v>0</v>
      </c>
      <c r="AI299" s="24">
        <v>0</v>
      </c>
      <c r="AJ299" s="24">
        <v>0</v>
      </c>
    </row>
    <row r="300" ht="14.25" spans="1:36">
      <c r="A300" s="20">
        <v>90000718</v>
      </c>
      <c r="B300" s="20">
        <v>3</v>
      </c>
      <c r="C300" s="20" t="s">
        <v>196</v>
      </c>
      <c r="D300" s="20"/>
      <c r="E300" s="21"/>
      <c r="F300" s="20"/>
      <c r="G300" s="20">
        <v>1</v>
      </c>
      <c r="H300" s="20">
        <v>2</v>
      </c>
      <c r="I300" s="26" t="s">
        <v>81</v>
      </c>
      <c r="J300" s="20">
        <v>0</v>
      </c>
      <c r="K300" s="20" t="s">
        <v>133</v>
      </c>
      <c r="L300" s="20">
        <v>800011021</v>
      </c>
      <c r="M300" s="20">
        <v>1</v>
      </c>
      <c r="N300" s="22">
        <v>4800</v>
      </c>
      <c r="O300" s="20">
        <v>1</v>
      </c>
      <c r="P300" s="20">
        <v>8</v>
      </c>
      <c r="Q300" s="20">
        <v>0</v>
      </c>
      <c r="R300" s="20">
        <v>25</v>
      </c>
      <c r="S300" s="20">
        <v>-5000</v>
      </c>
      <c r="T300" s="20">
        <v>1</v>
      </c>
      <c r="U300" s="20">
        <v>0</v>
      </c>
      <c r="V300" s="20" t="s">
        <v>82</v>
      </c>
      <c r="W300" s="20" t="s">
        <v>82</v>
      </c>
      <c r="X300" s="20" t="s">
        <v>82</v>
      </c>
      <c r="Y300" s="23">
        <v>20010001</v>
      </c>
      <c r="Z300" s="23">
        <v>0</v>
      </c>
      <c r="AA300" s="20">
        <v>1</v>
      </c>
      <c r="AB300" s="24" t="s">
        <v>83</v>
      </c>
      <c r="AC300" s="20">
        <v>10000</v>
      </c>
      <c r="AD300" s="20">
        <v>10000</v>
      </c>
      <c r="AE300" s="20">
        <v>0</v>
      </c>
      <c r="AF300" s="24">
        <v>40</v>
      </c>
      <c r="AG300" s="24">
        <v>0</v>
      </c>
      <c r="AH300" s="24">
        <v>0</v>
      </c>
      <c r="AI300" s="24">
        <v>0</v>
      </c>
      <c r="AJ300" s="24">
        <v>0</v>
      </c>
    </row>
    <row r="301" ht="14.25" spans="1:36">
      <c r="A301" s="20">
        <v>90000719</v>
      </c>
      <c r="B301" s="20">
        <v>3</v>
      </c>
      <c r="C301" s="20" t="s">
        <v>197</v>
      </c>
      <c r="D301" s="20"/>
      <c r="E301" s="21"/>
      <c r="F301" s="20"/>
      <c r="G301" s="20">
        <v>1</v>
      </c>
      <c r="H301" s="20">
        <v>2</v>
      </c>
      <c r="I301" s="26" t="s">
        <v>81</v>
      </c>
      <c r="J301" s="20">
        <v>0</v>
      </c>
      <c r="K301" s="20" t="s">
        <v>133</v>
      </c>
      <c r="L301" s="20">
        <v>800011021</v>
      </c>
      <c r="M301" s="20">
        <v>1</v>
      </c>
      <c r="N301" s="22">
        <v>8000</v>
      </c>
      <c r="O301" s="20">
        <v>1</v>
      </c>
      <c r="P301" s="20">
        <v>8</v>
      </c>
      <c r="Q301" s="20">
        <v>0</v>
      </c>
      <c r="R301" s="20">
        <v>25</v>
      </c>
      <c r="S301" s="20">
        <v>-5000</v>
      </c>
      <c r="T301" s="20">
        <v>1</v>
      </c>
      <c r="U301" s="20">
        <v>0</v>
      </c>
      <c r="V301" s="20" t="s">
        <v>82</v>
      </c>
      <c r="W301" s="20" t="s">
        <v>82</v>
      </c>
      <c r="X301" s="20" t="s">
        <v>82</v>
      </c>
      <c r="Y301" s="23">
        <v>20010001</v>
      </c>
      <c r="Z301" s="23">
        <v>0</v>
      </c>
      <c r="AA301" s="20">
        <v>1</v>
      </c>
      <c r="AB301" s="24" t="s">
        <v>83</v>
      </c>
      <c r="AC301" s="20">
        <v>10000</v>
      </c>
      <c r="AD301" s="20">
        <v>10000</v>
      </c>
      <c r="AE301" s="20">
        <v>0</v>
      </c>
      <c r="AF301" s="24">
        <v>40</v>
      </c>
      <c r="AG301" s="24">
        <v>0</v>
      </c>
      <c r="AH301" s="24">
        <v>0</v>
      </c>
      <c r="AI301" s="24">
        <v>0</v>
      </c>
      <c r="AJ301" s="24">
        <v>0</v>
      </c>
    </row>
  </sheetData>
  <sortState ref="A5:AD211">
    <sortCondition ref="A5:A211"/>
  </sortState>
  <conditionalFormatting sqref="A221:A1048576 A1:A215">
    <cfRule type="duplicateValues" dxfId="0" priority="33"/>
  </conditionalFormatting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I1:S28"/>
  <sheetViews>
    <sheetView topLeftCell="F1" workbookViewId="0">
      <selection activeCell="I3" sqref="I3"/>
    </sheetView>
  </sheetViews>
  <sheetFormatPr defaultColWidth="9" defaultRowHeight="13.5"/>
  <cols>
    <col min="1" max="16384" width="9" style="6"/>
  </cols>
  <sheetData>
    <row r="1" spans="9:19">
      <c r="I1" s="6">
        <v>1</v>
      </c>
      <c r="J1" s="6">
        <v>10101</v>
      </c>
      <c r="K1" s="7">
        <v>10192</v>
      </c>
      <c r="L1" s="7">
        <v>65750</v>
      </c>
      <c r="M1" s="6">
        <f t="shared" ref="M1:M28" si="0">VLOOKUP(I1,$Q$1:$S$10,2,FALSE)</f>
        <v>10000</v>
      </c>
      <c r="N1" s="6">
        <f t="shared" ref="N1:N28" si="1">VLOOKUP(I1,$Q$1:$S$10,3,FALSE)</f>
        <v>65000</v>
      </c>
      <c r="Q1" s="6">
        <v>1</v>
      </c>
      <c r="R1" s="6">
        <v>10000</v>
      </c>
      <c r="S1" s="6">
        <v>65000</v>
      </c>
    </row>
    <row r="2" spans="9:19">
      <c r="I2" s="6">
        <v>2</v>
      </c>
      <c r="J2" s="6">
        <v>20101</v>
      </c>
      <c r="K2" s="7">
        <v>10192</v>
      </c>
      <c r="L2" s="7">
        <v>85470</v>
      </c>
      <c r="M2" s="6">
        <f t="shared" si="0"/>
        <v>10000</v>
      </c>
      <c r="N2" s="6">
        <f t="shared" si="1"/>
        <v>85000</v>
      </c>
      <c r="Q2" s="6">
        <v>2</v>
      </c>
      <c r="R2" s="6">
        <v>10000</v>
      </c>
      <c r="S2" s="6">
        <v>85000</v>
      </c>
    </row>
    <row r="3" spans="9:19">
      <c r="I3" s="6">
        <v>2</v>
      </c>
      <c r="J3" s="6">
        <v>20104</v>
      </c>
      <c r="K3" s="7">
        <v>10192</v>
      </c>
      <c r="L3" s="7">
        <v>85470</v>
      </c>
      <c r="M3" s="6">
        <f t="shared" si="0"/>
        <v>10000</v>
      </c>
      <c r="N3" s="6">
        <f t="shared" si="1"/>
        <v>85000</v>
      </c>
      <c r="Q3" s="6">
        <v>3</v>
      </c>
      <c r="R3" s="6">
        <v>10000</v>
      </c>
      <c r="S3" s="6">
        <v>110000</v>
      </c>
    </row>
    <row r="4" spans="9:19">
      <c r="I4" s="6">
        <v>3</v>
      </c>
      <c r="J4" s="6">
        <v>30102</v>
      </c>
      <c r="K4" s="7">
        <v>10192</v>
      </c>
      <c r="L4" s="7">
        <v>111110</v>
      </c>
      <c r="M4" s="6">
        <f t="shared" si="0"/>
        <v>10000</v>
      </c>
      <c r="N4" s="6">
        <f t="shared" si="1"/>
        <v>110000</v>
      </c>
      <c r="Q4" s="6">
        <v>4</v>
      </c>
      <c r="R4" s="6">
        <v>10000</v>
      </c>
      <c r="S4" s="6">
        <v>140000</v>
      </c>
    </row>
    <row r="5" spans="9:19">
      <c r="I5" s="6">
        <v>3</v>
      </c>
      <c r="J5" s="6">
        <v>30104</v>
      </c>
      <c r="K5" s="7">
        <v>10192</v>
      </c>
      <c r="L5" s="7">
        <v>111110</v>
      </c>
      <c r="M5" s="6">
        <f t="shared" si="0"/>
        <v>10000</v>
      </c>
      <c r="N5" s="6">
        <f t="shared" si="1"/>
        <v>110000</v>
      </c>
      <c r="Q5" s="6">
        <v>5</v>
      </c>
      <c r="R5" s="6">
        <v>15000</v>
      </c>
      <c r="S5" s="6">
        <v>180000</v>
      </c>
    </row>
    <row r="6" spans="9:19">
      <c r="I6" s="6">
        <v>4</v>
      </c>
      <c r="J6" s="6">
        <v>40101</v>
      </c>
      <c r="K6" s="7">
        <v>10192</v>
      </c>
      <c r="L6" s="7">
        <v>153840</v>
      </c>
      <c r="M6" s="6">
        <f t="shared" si="0"/>
        <v>10000</v>
      </c>
      <c r="N6" s="6">
        <f t="shared" si="1"/>
        <v>140000</v>
      </c>
      <c r="Q6" s="6">
        <v>6</v>
      </c>
      <c r="R6" s="6">
        <v>25000</v>
      </c>
      <c r="S6" s="6">
        <v>350000</v>
      </c>
    </row>
    <row r="7" spans="9:19">
      <c r="I7" s="6">
        <v>4</v>
      </c>
      <c r="J7" s="6">
        <v>40104</v>
      </c>
      <c r="K7" s="7">
        <v>10192</v>
      </c>
      <c r="L7" s="7">
        <v>153840</v>
      </c>
      <c r="M7" s="6">
        <f t="shared" si="0"/>
        <v>10000</v>
      </c>
      <c r="N7" s="6">
        <f t="shared" si="1"/>
        <v>140000</v>
      </c>
      <c r="Q7" s="6">
        <v>7</v>
      </c>
      <c r="R7" s="6">
        <v>40000</v>
      </c>
      <c r="S7" s="6">
        <v>500000</v>
      </c>
    </row>
    <row r="8" spans="9:19">
      <c r="I8" s="6">
        <v>5</v>
      </c>
      <c r="J8" s="6">
        <v>50101</v>
      </c>
      <c r="K8" s="7">
        <v>23096</v>
      </c>
      <c r="L8" s="7">
        <v>213650</v>
      </c>
      <c r="M8" s="6">
        <f t="shared" si="0"/>
        <v>15000</v>
      </c>
      <c r="N8" s="6">
        <f t="shared" si="1"/>
        <v>180000</v>
      </c>
      <c r="Q8" s="6">
        <v>8</v>
      </c>
      <c r="R8" s="6">
        <v>55000</v>
      </c>
      <c r="S8" s="6">
        <v>800000</v>
      </c>
    </row>
    <row r="9" spans="9:19">
      <c r="I9" s="6">
        <v>5</v>
      </c>
      <c r="J9" s="6">
        <v>50104</v>
      </c>
      <c r="K9" s="7">
        <v>23096</v>
      </c>
      <c r="L9" s="7">
        <v>213650</v>
      </c>
      <c r="M9" s="6">
        <f t="shared" si="0"/>
        <v>15000</v>
      </c>
      <c r="N9" s="6">
        <f t="shared" si="1"/>
        <v>180000</v>
      </c>
      <c r="Q9" s="6">
        <v>9</v>
      </c>
      <c r="R9" s="6">
        <v>70000</v>
      </c>
      <c r="S9" s="6">
        <v>1400000</v>
      </c>
    </row>
    <row r="10" spans="9:19">
      <c r="I10" s="6">
        <v>6</v>
      </c>
      <c r="J10" s="6">
        <v>60101</v>
      </c>
      <c r="K10" s="7">
        <v>34124</v>
      </c>
      <c r="L10" s="7">
        <v>438210</v>
      </c>
      <c r="M10" s="6">
        <f t="shared" si="0"/>
        <v>25000</v>
      </c>
      <c r="N10" s="6">
        <f t="shared" si="1"/>
        <v>350000</v>
      </c>
      <c r="Q10" s="6">
        <v>10</v>
      </c>
      <c r="R10" s="6">
        <v>90000</v>
      </c>
      <c r="S10" s="6">
        <v>3000000</v>
      </c>
    </row>
    <row r="11" spans="9:14">
      <c r="I11" s="6">
        <v>6</v>
      </c>
      <c r="J11" s="6">
        <v>60102</v>
      </c>
      <c r="K11" s="7">
        <v>34124</v>
      </c>
      <c r="L11" s="7">
        <v>438210</v>
      </c>
      <c r="M11" s="6">
        <f t="shared" si="0"/>
        <v>25000</v>
      </c>
      <c r="N11" s="6">
        <f t="shared" si="1"/>
        <v>350000</v>
      </c>
    </row>
    <row r="12" spans="9:14">
      <c r="I12" s="6">
        <v>6</v>
      </c>
      <c r="J12" s="6">
        <v>60104</v>
      </c>
      <c r="K12" s="7">
        <v>34124</v>
      </c>
      <c r="L12" s="7">
        <v>438210</v>
      </c>
      <c r="M12" s="6">
        <f t="shared" si="0"/>
        <v>25000</v>
      </c>
      <c r="N12" s="6">
        <f t="shared" si="1"/>
        <v>350000</v>
      </c>
    </row>
    <row r="13" spans="9:14">
      <c r="I13" s="6">
        <v>7</v>
      </c>
      <c r="J13" s="6">
        <v>70101</v>
      </c>
      <c r="K13" s="7">
        <v>51097</v>
      </c>
      <c r="L13" s="7">
        <v>579690</v>
      </c>
      <c r="M13" s="6">
        <f t="shared" si="0"/>
        <v>40000</v>
      </c>
      <c r="N13" s="6">
        <f t="shared" si="1"/>
        <v>500000</v>
      </c>
    </row>
    <row r="14" spans="9:14">
      <c r="I14" s="6">
        <v>7</v>
      </c>
      <c r="J14" s="6">
        <v>70102</v>
      </c>
      <c r="K14" s="7">
        <v>51097</v>
      </c>
      <c r="L14" s="7">
        <v>579690</v>
      </c>
      <c r="M14" s="6">
        <f t="shared" si="0"/>
        <v>40000</v>
      </c>
      <c r="N14" s="6">
        <f t="shared" si="1"/>
        <v>500000</v>
      </c>
    </row>
    <row r="15" spans="9:14">
      <c r="I15" s="6">
        <v>7</v>
      </c>
      <c r="J15" s="6">
        <v>70104</v>
      </c>
      <c r="K15" s="7">
        <v>51097</v>
      </c>
      <c r="L15" s="7">
        <v>579690</v>
      </c>
      <c r="M15" s="6">
        <f t="shared" si="0"/>
        <v>40000</v>
      </c>
      <c r="N15" s="6">
        <f t="shared" si="1"/>
        <v>500000</v>
      </c>
    </row>
    <row r="16" spans="9:14">
      <c r="I16" s="6">
        <v>7</v>
      </c>
      <c r="J16" s="6">
        <v>70114</v>
      </c>
      <c r="K16" s="7">
        <v>51097</v>
      </c>
      <c r="L16" s="7">
        <v>579690</v>
      </c>
      <c r="M16" s="6">
        <f t="shared" si="0"/>
        <v>40000</v>
      </c>
      <c r="N16" s="6">
        <f t="shared" si="1"/>
        <v>500000</v>
      </c>
    </row>
    <row r="17" spans="9:14">
      <c r="I17" s="6">
        <v>8</v>
      </c>
      <c r="J17" s="6">
        <v>80101</v>
      </c>
      <c r="K17" s="7">
        <v>64706</v>
      </c>
      <c r="L17" s="7">
        <v>1027570</v>
      </c>
      <c r="M17" s="6">
        <f t="shared" si="0"/>
        <v>55000</v>
      </c>
      <c r="N17" s="6">
        <f t="shared" si="1"/>
        <v>800000</v>
      </c>
    </row>
    <row r="18" spans="9:14">
      <c r="I18" s="6">
        <v>8</v>
      </c>
      <c r="J18" s="6">
        <v>80103</v>
      </c>
      <c r="K18" s="7">
        <v>64706</v>
      </c>
      <c r="L18" s="7">
        <v>1027570</v>
      </c>
      <c r="M18" s="6">
        <f t="shared" si="0"/>
        <v>55000</v>
      </c>
      <c r="N18" s="6">
        <f t="shared" si="1"/>
        <v>800000</v>
      </c>
    </row>
    <row r="19" spans="9:14">
      <c r="I19" s="6">
        <v>8</v>
      </c>
      <c r="J19" s="6">
        <v>80104</v>
      </c>
      <c r="K19" s="7">
        <v>64706</v>
      </c>
      <c r="L19" s="7">
        <v>1027570</v>
      </c>
      <c r="M19" s="6">
        <f t="shared" si="0"/>
        <v>55000</v>
      </c>
      <c r="N19" s="6">
        <f t="shared" si="1"/>
        <v>800000</v>
      </c>
    </row>
    <row r="20" spans="9:14">
      <c r="I20" s="6">
        <v>8</v>
      </c>
      <c r="J20" s="6">
        <v>80114</v>
      </c>
      <c r="K20" s="7">
        <v>64706</v>
      </c>
      <c r="L20" s="7">
        <v>1027570</v>
      </c>
      <c r="M20" s="6">
        <f t="shared" si="0"/>
        <v>55000</v>
      </c>
      <c r="N20" s="6">
        <f t="shared" si="1"/>
        <v>800000</v>
      </c>
    </row>
    <row r="21" spans="9:14">
      <c r="I21" s="6">
        <v>9</v>
      </c>
      <c r="J21" s="6">
        <v>90102</v>
      </c>
      <c r="K21" s="7">
        <v>80251</v>
      </c>
      <c r="L21" s="7">
        <v>1764410</v>
      </c>
      <c r="M21" s="6">
        <f t="shared" si="0"/>
        <v>70000</v>
      </c>
      <c r="N21" s="6">
        <f t="shared" si="1"/>
        <v>1400000</v>
      </c>
    </row>
    <row r="22" spans="9:14">
      <c r="I22" s="6">
        <v>9</v>
      </c>
      <c r="J22" s="6">
        <v>90103</v>
      </c>
      <c r="K22" s="7">
        <v>80251</v>
      </c>
      <c r="L22" s="7">
        <v>1764410</v>
      </c>
      <c r="M22" s="6">
        <f t="shared" si="0"/>
        <v>70000</v>
      </c>
      <c r="N22" s="6">
        <f t="shared" si="1"/>
        <v>1400000</v>
      </c>
    </row>
    <row r="23" spans="9:14">
      <c r="I23" s="6">
        <v>9</v>
      </c>
      <c r="J23" s="6">
        <v>90105</v>
      </c>
      <c r="K23" s="7">
        <v>80251</v>
      </c>
      <c r="L23" s="7">
        <v>1764410</v>
      </c>
      <c r="M23" s="6">
        <f t="shared" si="0"/>
        <v>70000</v>
      </c>
      <c r="N23" s="6">
        <f t="shared" si="1"/>
        <v>1400000</v>
      </c>
    </row>
    <row r="24" spans="9:14">
      <c r="I24" s="6">
        <v>9</v>
      </c>
      <c r="J24" s="6">
        <v>90113</v>
      </c>
      <c r="K24" s="7">
        <v>80251</v>
      </c>
      <c r="L24" s="7">
        <v>1764410</v>
      </c>
      <c r="M24" s="6">
        <f t="shared" si="0"/>
        <v>70000</v>
      </c>
      <c r="N24" s="6">
        <f t="shared" si="1"/>
        <v>1400000</v>
      </c>
    </row>
    <row r="25" spans="9:14">
      <c r="I25" s="6">
        <v>10</v>
      </c>
      <c r="J25" s="6">
        <v>100101</v>
      </c>
      <c r="K25" s="7">
        <v>105208</v>
      </c>
      <c r="L25" s="7">
        <v>3304130</v>
      </c>
      <c r="M25" s="6">
        <f t="shared" si="0"/>
        <v>90000</v>
      </c>
      <c r="N25" s="6">
        <f t="shared" si="1"/>
        <v>3000000</v>
      </c>
    </row>
    <row r="26" spans="9:14">
      <c r="I26" s="6">
        <v>10</v>
      </c>
      <c r="J26" s="6">
        <v>100103</v>
      </c>
      <c r="K26" s="7">
        <v>105208</v>
      </c>
      <c r="L26" s="7">
        <v>3304130</v>
      </c>
      <c r="M26" s="6">
        <f t="shared" si="0"/>
        <v>90000</v>
      </c>
      <c r="N26" s="6">
        <f t="shared" si="1"/>
        <v>3000000</v>
      </c>
    </row>
    <row r="27" spans="9:14">
      <c r="I27" s="6">
        <v>10</v>
      </c>
      <c r="J27" s="6">
        <v>100104</v>
      </c>
      <c r="K27" s="7">
        <v>105208</v>
      </c>
      <c r="L27" s="7">
        <v>3304130</v>
      </c>
      <c r="M27" s="6">
        <f t="shared" si="0"/>
        <v>90000</v>
      </c>
      <c r="N27" s="6">
        <f t="shared" si="1"/>
        <v>3000000</v>
      </c>
    </row>
    <row r="28" spans="9:14">
      <c r="I28" s="6">
        <v>10</v>
      </c>
      <c r="J28" s="6">
        <v>100114</v>
      </c>
      <c r="K28" s="7">
        <v>105208</v>
      </c>
      <c r="L28" s="7">
        <v>3304130</v>
      </c>
      <c r="M28" s="6">
        <f t="shared" si="0"/>
        <v>90000</v>
      </c>
      <c r="N28" s="6">
        <f t="shared" si="1"/>
        <v>3000000</v>
      </c>
    </row>
  </sheetData>
  <pageMargins left="0.7" right="0.7" top="0.75" bottom="0.75" header="0.3" footer="0.3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6:O22"/>
  <sheetViews>
    <sheetView workbookViewId="0">
      <selection activeCell="J11" sqref="J11"/>
    </sheetView>
  </sheetViews>
  <sheetFormatPr defaultColWidth="9" defaultRowHeight="13.5"/>
  <cols>
    <col min="1" max="1" width="9" style="1"/>
    <col min="2" max="2" width="8.625" style="1" customWidth="1"/>
    <col min="3" max="3" width="9.5" style="1" customWidth="1"/>
    <col min="4" max="4" width="8.125" style="1" customWidth="1"/>
    <col min="5" max="5" width="7.125" style="1" customWidth="1"/>
    <col min="6" max="6" width="2.5" style="1" customWidth="1"/>
    <col min="7" max="7" width="14.25" style="1" customWidth="1"/>
    <col min="8" max="9" width="9" style="1"/>
    <col min="10" max="10" width="7.5" style="1" customWidth="1"/>
    <col min="11" max="11" width="9" style="1"/>
    <col min="12" max="12" width="7.125" style="1" customWidth="1"/>
    <col min="13" max="13" width="2.5" style="1" customWidth="1"/>
    <col min="14" max="14" width="17.375" style="1" customWidth="1"/>
    <col min="15" max="15" width="6" style="1" customWidth="1"/>
    <col min="16" max="16384" width="9" style="1"/>
  </cols>
  <sheetData>
    <row r="6" ht="14.25" spans="2:14">
      <c r="B6" t="s">
        <v>55</v>
      </c>
      <c r="C6" t="s">
        <v>198</v>
      </c>
      <c r="D6"/>
      <c r="E6"/>
      <c r="F6"/>
      <c r="G6" t="s">
        <v>199</v>
      </c>
      <c r="J6" t="s">
        <v>200</v>
      </c>
      <c r="K6"/>
      <c r="L6"/>
      <c r="M6"/>
      <c r="N6" s="1" t="s">
        <v>201</v>
      </c>
    </row>
    <row r="7" ht="14.25" spans="1:15">
      <c r="A7" s="2" t="s">
        <v>146</v>
      </c>
      <c r="B7">
        <v>1000003</v>
      </c>
      <c r="C7">
        <f>VLOOKUP(F7,$M$7:$N$16,2,FALSE)</f>
        <v>20030001</v>
      </c>
      <c r="D7" t="s">
        <v>202</v>
      </c>
      <c r="E7" t="str">
        <f t="shared" ref="E7:E14" si="0">LEFT(D7,3)</f>
        <v>乌龟怪</v>
      </c>
      <c r="F7">
        <f>VLOOKUP(E7,备注资源组与动作id!$L$7:$M$16,2,FALSE)</f>
        <v>3</v>
      </c>
      <c r="G7" t="s">
        <v>203</v>
      </c>
      <c r="J7">
        <v>990101</v>
      </c>
      <c r="K7" t="s">
        <v>204</v>
      </c>
      <c r="L7" t="s">
        <v>205</v>
      </c>
      <c r="M7">
        <v>1</v>
      </c>
      <c r="N7" s="4">
        <v>20010001</v>
      </c>
      <c r="O7" s="5" t="s">
        <v>205</v>
      </c>
    </row>
    <row r="8" ht="14.25" spans="1:15">
      <c r="A8" s="2" t="s">
        <v>146</v>
      </c>
      <c r="B8">
        <v>1000004</v>
      </c>
      <c r="C8">
        <f t="shared" ref="C8:C22" si="1">VLOOKUP(F8,$M$7:$N$16,2,FALSE)</f>
        <v>20030001</v>
      </c>
      <c r="D8" t="s">
        <v>206</v>
      </c>
      <c r="E8" t="str">
        <f t="shared" si="0"/>
        <v>乌龟怪</v>
      </c>
      <c r="F8">
        <f>VLOOKUP(E8,备注资源组与动作id!$L$7:$M$16,2,FALSE)</f>
        <v>3</v>
      </c>
      <c r="G8" t="s">
        <v>203</v>
      </c>
      <c r="J8">
        <v>990102</v>
      </c>
      <c r="K8" t="s">
        <v>204</v>
      </c>
      <c r="L8" t="s">
        <v>205</v>
      </c>
      <c r="M8">
        <v>1</v>
      </c>
      <c r="N8" s="4">
        <v>20010002</v>
      </c>
      <c r="O8" s="5" t="s">
        <v>205</v>
      </c>
    </row>
    <row r="9" ht="14.25" spans="1:15">
      <c r="A9" s="2" t="s">
        <v>146</v>
      </c>
      <c r="B9">
        <v>1000005</v>
      </c>
      <c r="C9">
        <f t="shared" si="1"/>
        <v>20030001</v>
      </c>
      <c r="D9" t="s">
        <v>207</v>
      </c>
      <c r="E9" t="str">
        <f t="shared" si="0"/>
        <v>乌龟怪</v>
      </c>
      <c r="F9">
        <f>VLOOKUP(E9,备注资源组与动作id!$L$7:$M$16,2,FALSE)</f>
        <v>3</v>
      </c>
      <c r="G9" t="s">
        <v>203</v>
      </c>
      <c r="J9">
        <v>990201</v>
      </c>
      <c r="K9" t="s">
        <v>204</v>
      </c>
      <c r="L9" t="s">
        <v>208</v>
      </c>
      <c r="M9">
        <v>2</v>
      </c>
      <c r="N9" s="4">
        <v>20020001</v>
      </c>
      <c r="O9" s="5" t="s">
        <v>209</v>
      </c>
    </row>
    <row r="10" ht="14.25" spans="1:15">
      <c r="A10" s="2" t="s">
        <v>146</v>
      </c>
      <c r="B10">
        <v>1000006</v>
      </c>
      <c r="C10">
        <f t="shared" si="1"/>
        <v>20030001</v>
      </c>
      <c r="D10" t="s">
        <v>210</v>
      </c>
      <c r="E10" t="str">
        <f t="shared" si="0"/>
        <v>乌龟怪</v>
      </c>
      <c r="F10">
        <f>VLOOKUP(E10,备注资源组与动作id!$L$7:$M$16,2,FALSE)</f>
        <v>3</v>
      </c>
      <c r="G10" t="s">
        <v>203</v>
      </c>
      <c r="J10">
        <v>990202</v>
      </c>
      <c r="K10" t="s">
        <v>204</v>
      </c>
      <c r="L10" t="s">
        <v>208</v>
      </c>
      <c r="M10">
        <v>2</v>
      </c>
      <c r="N10" s="4">
        <v>20020002</v>
      </c>
      <c r="O10" s="5" t="s">
        <v>209</v>
      </c>
    </row>
    <row r="11" ht="14.25" spans="1:15">
      <c r="A11" s="3" t="s">
        <v>145</v>
      </c>
      <c r="B11">
        <v>1000007</v>
      </c>
      <c r="C11">
        <f t="shared" si="1"/>
        <v>20040001</v>
      </c>
      <c r="D11" t="s">
        <v>211</v>
      </c>
      <c r="E11" t="str">
        <f t="shared" si="0"/>
        <v>野狼怪</v>
      </c>
      <c r="F11">
        <f>VLOOKUP(E11,备注资源组与动作id!$L$7:$M$16,2,FALSE)</f>
        <v>4</v>
      </c>
      <c r="G11" t="s">
        <v>212</v>
      </c>
      <c r="J11">
        <v>990301</v>
      </c>
      <c r="K11" t="s">
        <v>204</v>
      </c>
      <c r="L11" t="s">
        <v>213</v>
      </c>
      <c r="M11">
        <v>3</v>
      </c>
      <c r="N11" s="4">
        <v>20030001</v>
      </c>
      <c r="O11" s="5" t="s">
        <v>213</v>
      </c>
    </row>
    <row r="12" ht="14.25" spans="1:15">
      <c r="A12" s="3" t="s">
        <v>145</v>
      </c>
      <c r="B12">
        <v>1000008</v>
      </c>
      <c r="C12">
        <f t="shared" si="1"/>
        <v>20040001</v>
      </c>
      <c r="D12" t="s">
        <v>214</v>
      </c>
      <c r="E12" t="str">
        <f t="shared" si="0"/>
        <v>野狼怪</v>
      </c>
      <c r="F12">
        <f>VLOOKUP(E12,备注资源组与动作id!$L$7:$M$16,2,FALSE)</f>
        <v>4</v>
      </c>
      <c r="G12" t="s">
        <v>212</v>
      </c>
      <c r="J12">
        <v>990302</v>
      </c>
      <c r="K12" t="s">
        <v>204</v>
      </c>
      <c r="L12" t="s">
        <v>213</v>
      </c>
      <c r="M12">
        <v>3</v>
      </c>
      <c r="N12" s="4">
        <v>20030002</v>
      </c>
      <c r="O12" s="5" t="s">
        <v>213</v>
      </c>
    </row>
    <row r="13" ht="14.25" spans="1:15">
      <c r="A13" s="3" t="s">
        <v>145</v>
      </c>
      <c r="B13">
        <v>1000009</v>
      </c>
      <c r="C13">
        <f t="shared" si="1"/>
        <v>20040001</v>
      </c>
      <c r="D13" t="s">
        <v>215</v>
      </c>
      <c r="E13" t="str">
        <f t="shared" si="0"/>
        <v>野狼怪</v>
      </c>
      <c r="F13">
        <f>VLOOKUP(E13,备注资源组与动作id!$L$7:$M$16,2,FALSE)</f>
        <v>4</v>
      </c>
      <c r="G13" t="s">
        <v>212</v>
      </c>
      <c r="J13">
        <v>990401</v>
      </c>
      <c r="K13" t="s">
        <v>204</v>
      </c>
      <c r="L13" t="s">
        <v>216</v>
      </c>
      <c r="M13">
        <v>4</v>
      </c>
      <c r="N13" s="4">
        <v>20040001</v>
      </c>
      <c r="O13" s="5" t="s">
        <v>217</v>
      </c>
    </row>
    <row r="14" ht="14.25" spans="1:15">
      <c r="A14" s="3" t="s">
        <v>145</v>
      </c>
      <c r="B14">
        <v>1000010</v>
      </c>
      <c r="C14">
        <f t="shared" si="1"/>
        <v>20040001</v>
      </c>
      <c r="D14" t="s">
        <v>218</v>
      </c>
      <c r="E14" t="str">
        <f t="shared" si="0"/>
        <v>野狼怪</v>
      </c>
      <c r="F14">
        <f>VLOOKUP(E14,备注资源组与动作id!$L$7:$M$16,2,FALSE)</f>
        <v>4</v>
      </c>
      <c r="G14" t="s">
        <v>212</v>
      </c>
      <c r="J14">
        <v>990402</v>
      </c>
      <c r="K14" t="s">
        <v>204</v>
      </c>
      <c r="L14" t="s">
        <v>216</v>
      </c>
      <c r="M14">
        <v>4</v>
      </c>
      <c r="N14" s="4">
        <v>20040002</v>
      </c>
      <c r="O14" s="5" t="s">
        <v>217</v>
      </c>
    </row>
    <row r="15" ht="14.25" spans="1:15">
      <c r="A15" s="2" t="s">
        <v>148</v>
      </c>
      <c r="B15">
        <v>1000011</v>
      </c>
      <c r="C15">
        <f t="shared" si="1"/>
        <v>20050001</v>
      </c>
      <c r="D15" t="s">
        <v>219</v>
      </c>
      <c r="E15" t="s">
        <v>220</v>
      </c>
      <c r="F15">
        <f>VLOOKUP(E15,备注资源组与动作id!$L$7:$M$16,2,FALSE)</f>
        <v>5</v>
      </c>
      <c r="G15" t="s">
        <v>221</v>
      </c>
      <c r="J15">
        <v>990501</v>
      </c>
      <c r="K15" t="s">
        <v>204</v>
      </c>
      <c r="L15" t="s">
        <v>220</v>
      </c>
      <c r="M15">
        <v>5</v>
      </c>
      <c r="N15" s="4">
        <v>20050001</v>
      </c>
      <c r="O15" s="5" t="s">
        <v>220</v>
      </c>
    </row>
    <row r="16" ht="14.25" spans="1:15">
      <c r="A16" s="2" t="s">
        <v>148</v>
      </c>
      <c r="B16">
        <v>1000012</v>
      </c>
      <c r="C16">
        <f t="shared" si="1"/>
        <v>20050001</v>
      </c>
      <c r="D16" t="s">
        <v>222</v>
      </c>
      <c r="E16" t="s">
        <v>220</v>
      </c>
      <c r="F16">
        <f>VLOOKUP(E16,备注资源组与动作id!$L$7:$M$16,2,FALSE)</f>
        <v>5</v>
      </c>
      <c r="G16" t="s">
        <v>221</v>
      </c>
      <c r="J16">
        <v>990502</v>
      </c>
      <c r="K16" t="s">
        <v>204</v>
      </c>
      <c r="L16" t="s">
        <v>220</v>
      </c>
      <c r="M16">
        <v>5</v>
      </c>
      <c r="N16" s="4">
        <v>20050002</v>
      </c>
      <c r="O16" s="5" t="s">
        <v>220</v>
      </c>
    </row>
    <row r="17" ht="14.25" spans="1:7">
      <c r="A17" s="2" t="s">
        <v>148</v>
      </c>
      <c r="B17">
        <v>1000013</v>
      </c>
      <c r="C17">
        <f t="shared" si="1"/>
        <v>20050001</v>
      </c>
      <c r="D17" t="s">
        <v>223</v>
      </c>
      <c r="E17" t="s">
        <v>220</v>
      </c>
      <c r="F17">
        <f>VLOOKUP(E17,备注资源组与动作id!$L$7:$M$16,2,FALSE)</f>
        <v>5</v>
      </c>
      <c r="G17" t="s">
        <v>221</v>
      </c>
    </row>
    <row r="18" ht="14.25" spans="1:7">
      <c r="A18" s="2" t="s">
        <v>148</v>
      </c>
      <c r="B18">
        <v>1000014</v>
      </c>
      <c r="C18">
        <f t="shared" si="1"/>
        <v>20050001</v>
      </c>
      <c r="D18" t="s">
        <v>224</v>
      </c>
      <c r="E18" t="s">
        <v>220</v>
      </c>
      <c r="F18">
        <f>VLOOKUP(E18,备注资源组与动作id!$L$7:$M$16,2,FALSE)</f>
        <v>5</v>
      </c>
      <c r="G18" t="s">
        <v>221</v>
      </c>
    </row>
    <row r="19" ht="14.25" spans="1:7">
      <c r="A19" s="2" t="s">
        <v>225</v>
      </c>
      <c r="B19">
        <v>1000101</v>
      </c>
      <c r="C19">
        <f t="shared" si="1"/>
        <v>20010001</v>
      </c>
      <c r="D19" t="s">
        <v>226</v>
      </c>
      <c r="E19" t="str">
        <f>LEFT(D19,3)</f>
        <v>蜥蜴怪</v>
      </c>
      <c r="F19">
        <f>VLOOKUP(E19,备注资源组与动作id!$L$7:$M$16,2,FALSE)</f>
        <v>1</v>
      </c>
      <c r="G19" t="s">
        <v>227</v>
      </c>
    </row>
    <row r="20" ht="14.25" spans="1:7">
      <c r="A20" s="2" t="s">
        <v>225</v>
      </c>
      <c r="B20">
        <v>1000102</v>
      </c>
      <c r="C20">
        <f t="shared" si="1"/>
        <v>20010001</v>
      </c>
      <c r="D20" t="s">
        <v>228</v>
      </c>
      <c r="E20" t="str">
        <f>LEFT(D20,3)</f>
        <v>蜥蜴怪</v>
      </c>
      <c r="F20">
        <f>VLOOKUP(E20,备注资源组与动作id!$L$7:$M$16,2,FALSE)</f>
        <v>1</v>
      </c>
      <c r="G20" t="s">
        <v>227</v>
      </c>
    </row>
    <row r="21" ht="14.25" spans="1:7">
      <c r="A21" s="2" t="s">
        <v>147</v>
      </c>
      <c r="B21">
        <v>1000103</v>
      </c>
      <c r="C21">
        <f t="shared" si="1"/>
        <v>20020001</v>
      </c>
      <c r="D21" t="s">
        <v>229</v>
      </c>
      <c r="E21" t="str">
        <f>LEFT(D21,3)</f>
        <v>青蛙怪</v>
      </c>
      <c r="F21">
        <f>VLOOKUP(E21,备注资源组与动作id!$L$7:$M$16,2,FALSE)</f>
        <v>2</v>
      </c>
      <c r="G21" t="s">
        <v>230</v>
      </c>
    </row>
    <row r="22" ht="14.25" spans="1:7">
      <c r="A22" s="2" t="s">
        <v>147</v>
      </c>
      <c r="B22">
        <v>1000104</v>
      </c>
      <c r="C22">
        <f t="shared" si="1"/>
        <v>20020001</v>
      </c>
      <c r="D22" t="s">
        <v>231</v>
      </c>
      <c r="E22" t="str">
        <f>LEFT(D22,3)</f>
        <v>青蛙怪</v>
      </c>
      <c r="F22">
        <f>VLOOKUP(E22,备注资源组与动作id!$L$7:$M$16,2,FALSE)</f>
        <v>2</v>
      </c>
      <c r="G22" t="s">
        <v>230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B2:K162"/>
  <sheetViews>
    <sheetView workbookViewId="0">
      <pane ySplit="2" topLeftCell="A3" activePane="bottomLeft" state="frozen"/>
      <selection/>
      <selection pane="bottomLeft" activeCell="I8" sqref="I8"/>
    </sheetView>
  </sheetViews>
  <sheetFormatPr defaultColWidth="9" defaultRowHeight="14.25"/>
  <sheetData>
    <row r="2" spans="3:11">
      <c r="C2" t="s">
        <v>232</v>
      </c>
      <c r="D2" t="s">
        <v>233</v>
      </c>
      <c r="E2" t="s">
        <v>234</v>
      </c>
      <c r="F2" t="s">
        <v>232</v>
      </c>
      <c r="G2" t="s">
        <v>233</v>
      </c>
      <c r="H2" t="s">
        <v>234</v>
      </c>
      <c r="I2" t="s">
        <v>232</v>
      </c>
      <c r="J2" t="s">
        <v>233</v>
      </c>
      <c r="K2" t="s">
        <v>234</v>
      </c>
    </row>
    <row r="3" spans="2:11">
      <c r="B3">
        <v>1</v>
      </c>
      <c r="C3">
        <f>B3</f>
        <v>1</v>
      </c>
      <c r="D3">
        <f>C3*2</f>
        <v>2</v>
      </c>
      <c r="E3">
        <v>10</v>
      </c>
      <c r="F3" t="str">
        <f>$B3&amp;":"&amp;C3</f>
        <v>1:1</v>
      </c>
      <c r="G3" t="str">
        <f>$B3&amp;":"&amp;D3</f>
        <v>1:2</v>
      </c>
      <c r="H3" t="str">
        <f>$B3&amp;":"&amp;E3</f>
        <v>1:10</v>
      </c>
      <c r="I3" t="str">
        <f>_xlfn.TEXTJOIN("_",TRUE,F3:F162)</f>
        <v>1:1_2:2_3:3_4:4_5:5_6:6_7:7_8:8_9:9_10:10_11:11_12:12_13:13_14:14_15:15_16:16_17:17_18:18_19:19_20:20_21:21_22:22_23:23_24:24_25:25_26:26_27:27_28:28_29:29_30:30_31:31_32:32_33:33_34:34_35:35_36:36_37:37_38:38_39:39_40:40_41:41_42:42_43:43_44:44_45:45_46:46_47:47_48:48_49:49_50:50_51:51_52:52_53:53_54:54_55:55_56:56_57:57_58:58_59:59_60:60_61:61_62:62_63:63_64:64_65:65_66:66_67:67_68:68_69:69_70:70_71:71_72:72_73:73_74:74_75:75_76:76_77:77_78:78_79:79_80:80_81:81_82:82_83:83_84:84_85:85_86:86_87:87_88:88_89:89_90:90_91:91_92:92_93:93_94:94_95:95_96:96_97:97_98:98_99:99_100:100_101:101_102:102_103:103_104:104_105:105_106:106_107:107_108:108_109:109_110:110_111:111_112:112_113:113_114:114_115:115_116:116_117:117_118:118_119:119_120:120_121:121_122:122_123:123_124:124_125:125_126:126_127:127_128:128_129:129_130:130_131:131_132:132_133:133_134:134_135:135_136:136_137:137_138:138_139:139_140:140_141:141_142:142_143:143_144:144_145:145_146:146_147:147_148:148_149:149_150:150_151:151_152:152_153:153_154:154_155:155_156:156_157:157_158:158_159:159_160:160</v>
      </c>
      <c r="J3" t="str">
        <f>_xlfn.TEXTJOIN("_",TRUE,G3:G162)</f>
        <v>1:2_2:4_3:6_4:8_5:10_6:12_7:14_8:16_9:18_10:20_11:22_12:24_13:26_14:28_15:30_16:32_17:34_18:36_19:38_20:40_21:42_22:44_23:46_24:48_25:50_26:52_27:54_28:56_29:58_30:60_31:62_32:64_33:66_34:68_35:70_36:72_37:74_38:76_39:78_40:80_41:82_42:84_43:86_44:88_45:90_46:92_47:94_48:96_49:98_50:100_51:102_52:104_53:106_54:108_55:110_56:112_57:114_58:116_59:118_60:120_61:122_62:124_63:126_64:128_65:130_66:132_67:134_68:136_69:138_70:140_71:142_72:144_73:146_74:148_75:150_76:152_77:154_78:156_79:158_80:160_81:162_82:164_83:166_84:168_85:170_86:172_87:174_88:176_89:178_90:180_91:182_92:184_93:186_94:188_95:190_96:192_97:194_98:196_99:198_100:200_101:202_102:204_103:206_104:208_105:210_106:212_107:214_108:216_109:218_110:220_111:222_112:224_113:226_114:228_115:230_116:232_117:234_118:236_119:238_120:240_121:242_122:244_123:246_124:248_125:250_126:252_127:254_128:256_129:258_130:260_131:262_132:264_133:266_134:268_135:270_136:272_137:274_138:276_139:278_140:280_141:282_142:284_143:286_144:288_145:290_146:292_147:294_148:296_149:298_150:300_151:302_152:304_153:306_154:308_155:310_156:312_157:314_158:316_159:318_160:320</v>
      </c>
      <c r="K3" t="str">
        <f>_xlfn.TEXTJOIN("_",TRUE,H3:H162)</f>
        <v>1:10_2:10_3:10_4:10_5:10_6:10_7:10_8:10_9:10_10:10_11:10_12:10_13:10_14:10_15:10_16:10_17:10_18:10_19:10_20:10_21:10_22:10_23:10_24:10_25:10_26:10_27:10_28:10_29:10_30:10_31:10_32:10_33:10_34:10_35:10_36:10_37:10_38:10_39:10_40:10_41:10_42:10_43:10_44:10_45:10_46:10_47:10_48:10_49:10_50:10_51:10_52:10_53:10_54:10_55:10_56:10_57:10_58:10_59:10_60:10_61:10_62:10_63:10_64:10_65:10_66:10_67:10_68:10_69:10_70:10_71:10_72:10_73:10_74:10_75:10_76:10_77:10_78:10_79:10_80:10_81:10_82:10_83:10_84:10_85:10_86:10_87:10_88:10_89:10_90:10_91:10_92:10_93:10_94:10_95:10_96:10_97:10_98:10_99:10_100:10_101:10_102:10_103:10_104:10_105:10_106:10_107:10_108:10_109:10_110:10_111:10_112:10_113:10_114:10_115:10_116:10_117:10_118:10_119:10_120:10_121:10_122:10_123:10_124:10_125:10_126:10_127:10_128:10_129:10_130:10_131:10_132:10_133:10_134:10_135:10_136:10_137:10_138:10_139:10_140:10_141:10_142:10_143:10_144:10_145:10_146:10_147:10_148:10_149:10_150:10_151:10_152:10_153:10_154:10_155:10_156:10_157:10_158:10_159:10_160:10</v>
      </c>
    </row>
    <row r="4" spans="2:8">
      <c r="B4">
        <f t="shared" ref="B4:B35" si="0">B3+1</f>
        <v>2</v>
      </c>
      <c r="C4">
        <f t="shared" ref="C4:C67" si="1">B4</f>
        <v>2</v>
      </c>
      <c r="D4">
        <f t="shared" ref="D4:D67" si="2">C4*2</f>
        <v>4</v>
      </c>
      <c r="E4">
        <v>10</v>
      </c>
      <c r="F4" t="str">
        <f t="shared" ref="F4:F67" si="3">$B4&amp;":"&amp;C4</f>
        <v>2:2</v>
      </c>
      <c r="G4" t="str">
        <f t="shared" ref="G4:G67" si="4">$B4&amp;":"&amp;D4</f>
        <v>2:4</v>
      </c>
      <c r="H4" t="str">
        <f t="shared" ref="H4:H67" si="5">$B4&amp;":"&amp;E4</f>
        <v>2:10</v>
      </c>
    </row>
    <row r="5" spans="2:8">
      <c r="B5">
        <f t="shared" si="0"/>
        <v>3</v>
      </c>
      <c r="C5">
        <f t="shared" si="1"/>
        <v>3</v>
      </c>
      <c r="D5">
        <f t="shared" si="2"/>
        <v>6</v>
      </c>
      <c r="E5">
        <v>10</v>
      </c>
      <c r="F5" t="str">
        <f t="shared" si="3"/>
        <v>3:3</v>
      </c>
      <c r="G5" t="str">
        <f t="shared" si="4"/>
        <v>3:6</v>
      </c>
      <c r="H5" t="str">
        <f t="shared" si="5"/>
        <v>3:10</v>
      </c>
    </row>
    <row r="6" spans="2:8">
      <c r="B6">
        <f t="shared" si="0"/>
        <v>4</v>
      </c>
      <c r="C6">
        <f t="shared" si="1"/>
        <v>4</v>
      </c>
      <c r="D6">
        <f t="shared" si="2"/>
        <v>8</v>
      </c>
      <c r="E6">
        <v>10</v>
      </c>
      <c r="F6" t="str">
        <f t="shared" si="3"/>
        <v>4:4</v>
      </c>
      <c r="G6" t="str">
        <f t="shared" si="4"/>
        <v>4:8</v>
      </c>
      <c r="H6" t="str">
        <f t="shared" si="5"/>
        <v>4:10</v>
      </c>
    </row>
    <row r="7" spans="2:8">
      <c r="B7">
        <f t="shared" si="0"/>
        <v>5</v>
      </c>
      <c r="C7">
        <f t="shared" si="1"/>
        <v>5</v>
      </c>
      <c r="D7">
        <f t="shared" si="2"/>
        <v>10</v>
      </c>
      <c r="E7">
        <v>10</v>
      </c>
      <c r="F7" t="str">
        <f t="shared" si="3"/>
        <v>5:5</v>
      </c>
      <c r="G7" t="str">
        <f t="shared" si="4"/>
        <v>5:10</v>
      </c>
      <c r="H7" t="str">
        <f t="shared" si="5"/>
        <v>5:10</v>
      </c>
    </row>
    <row r="8" spans="2:8">
      <c r="B8">
        <f t="shared" si="0"/>
        <v>6</v>
      </c>
      <c r="C8">
        <f t="shared" si="1"/>
        <v>6</v>
      </c>
      <c r="D8">
        <f t="shared" si="2"/>
        <v>12</v>
      </c>
      <c r="E8">
        <v>10</v>
      </c>
      <c r="F8" t="str">
        <f t="shared" si="3"/>
        <v>6:6</v>
      </c>
      <c r="G8" t="str">
        <f t="shared" si="4"/>
        <v>6:12</v>
      </c>
      <c r="H8" t="str">
        <f t="shared" si="5"/>
        <v>6:10</v>
      </c>
    </row>
    <row r="9" spans="2:8">
      <c r="B9">
        <f t="shared" si="0"/>
        <v>7</v>
      </c>
      <c r="C9">
        <f t="shared" si="1"/>
        <v>7</v>
      </c>
      <c r="D9">
        <f t="shared" si="2"/>
        <v>14</v>
      </c>
      <c r="E9">
        <v>10</v>
      </c>
      <c r="F9" t="str">
        <f t="shared" si="3"/>
        <v>7:7</v>
      </c>
      <c r="G9" t="str">
        <f t="shared" si="4"/>
        <v>7:14</v>
      </c>
      <c r="H9" t="str">
        <f t="shared" si="5"/>
        <v>7:10</v>
      </c>
    </row>
    <row r="10" spans="2:8">
      <c r="B10">
        <f t="shared" si="0"/>
        <v>8</v>
      </c>
      <c r="C10">
        <f t="shared" si="1"/>
        <v>8</v>
      </c>
      <c r="D10">
        <f t="shared" si="2"/>
        <v>16</v>
      </c>
      <c r="E10">
        <v>10</v>
      </c>
      <c r="F10" t="str">
        <f t="shared" si="3"/>
        <v>8:8</v>
      </c>
      <c r="G10" t="str">
        <f t="shared" si="4"/>
        <v>8:16</v>
      </c>
      <c r="H10" t="str">
        <f t="shared" si="5"/>
        <v>8:10</v>
      </c>
    </row>
    <row r="11" spans="2:8">
      <c r="B11">
        <f t="shared" si="0"/>
        <v>9</v>
      </c>
      <c r="C11">
        <f t="shared" si="1"/>
        <v>9</v>
      </c>
      <c r="D11">
        <f t="shared" si="2"/>
        <v>18</v>
      </c>
      <c r="E11">
        <v>10</v>
      </c>
      <c r="F11" t="str">
        <f t="shared" si="3"/>
        <v>9:9</v>
      </c>
      <c r="G11" t="str">
        <f t="shared" si="4"/>
        <v>9:18</v>
      </c>
      <c r="H11" t="str">
        <f t="shared" si="5"/>
        <v>9:10</v>
      </c>
    </row>
    <row r="12" spans="2:8">
      <c r="B12">
        <f t="shared" si="0"/>
        <v>10</v>
      </c>
      <c r="C12">
        <f t="shared" si="1"/>
        <v>10</v>
      </c>
      <c r="D12">
        <f t="shared" si="2"/>
        <v>20</v>
      </c>
      <c r="E12">
        <v>10</v>
      </c>
      <c r="F12" t="str">
        <f t="shared" si="3"/>
        <v>10:10</v>
      </c>
      <c r="G12" t="str">
        <f t="shared" si="4"/>
        <v>10:20</v>
      </c>
      <c r="H12" t="str">
        <f t="shared" si="5"/>
        <v>10:10</v>
      </c>
    </row>
    <row r="13" spans="2:8">
      <c r="B13">
        <f t="shared" si="0"/>
        <v>11</v>
      </c>
      <c r="C13">
        <f t="shared" si="1"/>
        <v>11</v>
      </c>
      <c r="D13">
        <f t="shared" si="2"/>
        <v>22</v>
      </c>
      <c r="E13">
        <v>10</v>
      </c>
      <c r="F13" t="str">
        <f t="shared" si="3"/>
        <v>11:11</v>
      </c>
      <c r="G13" t="str">
        <f t="shared" si="4"/>
        <v>11:22</v>
      </c>
      <c r="H13" t="str">
        <f t="shared" si="5"/>
        <v>11:10</v>
      </c>
    </row>
    <row r="14" spans="2:8">
      <c r="B14">
        <f t="shared" si="0"/>
        <v>12</v>
      </c>
      <c r="C14">
        <f t="shared" si="1"/>
        <v>12</v>
      </c>
      <c r="D14">
        <f t="shared" si="2"/>
        <v>24</v>
      </c>
      <c r="E14">
        <v>10</v>
      </c>
      <c r="F14" t="str">
        <f t="shared" si="3"/>
        <v>12:12</v>
      </c>
      <c r="G14" t="str">
        <f t="shared" si="4"/>
        <v>12:24</v>
      </c>
      <c r="H14" t="str">
        <f t="shared" si="5"/>
        <v>12:10</v>
      </c>
    </row>
    <row r="15" spans="2:8">
      <c r="B15">
        <f t="shared" si="0"/>
        <v>13</v>
      </c>
      <c r="C15">
        <f t="shared" si="1"/>
        <v>13</v>
      </c>
      <c r="D15">
        <f t="shared" si="2"/>
        <v>26</v>
      </c>
      <c r="E15">
        <v>10</v>
      </c>
      <c r="F15" t="str">
        <f t="shared" si="3"/>
        <v>13:13</v>
      </c>
      <c r="G15" t="str">
        <f t="shared" si="4"/>
        <v>13:26</v>
      </c>
      <c r="H15" t="str">
        <f t="shared" si="5"/>
        <v>13:10</v>
      </c>
    </row>
    <row r="16" spans="2:8">
      <c r="B16">
        <f t="shared" si="0"/>
        <v>14</v>
      </c>
      <c r="C16">
        <f t="shared" si="1"/>
        <v>14</v>
      </c>
      <c r="D16">
        <f t="shared" si="2"/>
        <v>28</v>
      </c>
      <c r="E16">
        <v>10</v>
      </c>
      <c r="F16" t="str">
        <f t="shared" si="3"/>
        <v>14:14</v>
      </c>
      <c r="G16" t="str">
        <f t="shared" si="4"/>
        <v>14:28</v>
      </c>
      <c r="H16" t="str">
        <f t="shared" si="5"/>
        <v>14:10</v>
      </c>
    </row>
    <row r="17" spans="2:8">
      <c r="B17">
        <f t="shared" si="0"/>
        <v>15</v>
      </c>
      <c r="C17">
        <f t="shared" si="1"/>
        <v>15</v>
      </c>
      <c r="D17">
        <f t="shared" si="2"/>
        <v>30</v>
      </c>
      <c r="E17">
        <v>10</v>
      </c>
      <c r="F17" t="str">
        <f t="shared" si="3"/>
        <v>15:15</v>
      </c>
      <c r="G17" t="str">
        <f t="shared" si="4"/>
        <v>15:30</v>
      </c>
      <c r="H17" t="str">
        <f t="shared" si="5"/>
        <v>15:10</v>
      </c>
    </row>
    <row r="18" spans="2:8">
      <c r="B18">
        <f t="shared" si="0"/>
        <v>16</v>
      </c>
      <c r="C18">
        <f t="shared" si="1"/>
        <v>16</v>
      </c>
      <c r="D18">
        <f t="shared" si="2"/>
        <v>32</v>
      </c>
      <c r="E18">
        <v>10</v>
      </c>
      <c r="F18" t="str">
        <f t="shared" si="3"/>
        <v>16:16</v>
      </c>
      <c r="G18" t="str">
        <f t="shared" si="4"/>
        <v>16:32</v>
      </c>
      <c r="H18" t="str">
        <f t="shared" si="5"/>
        <v>16:10</v>
      </c>
    </row>
    <row r="19" spans="2:8">
      <c r="B19">
        <f t="shared" si="0"/>
        <v>17</v>
      </c>
      <c r="C19">
        <f t="shared" si="1"/>
        <v>17</v>
      </c>
      <c r="D19">
        <f t="shared" si="2"/>
        <v>34</v>
      </c>
      <c r="E19">
        <v>10</v>
      </c>
      <c r="F19" t="str">
        <f t="shared" si="3"/>
        <v>17:17</v>
      </c>
      <c r="G19" t="str">
        <f t="shared" si="4"/>
        <v>17:34</v>
      </c>
      <c r="H19" t="str">
        <f t="shared" si="5"/>
        <v>17:10</v>
      </c>
    </row>
    <row r="20" spans="2:8">
      <c r="B20">
        <f t="shared" si="0"/>
        <v>18</v>
      </c>
      <c r="C20">
        <f t="shared" si="1"/>
        <v>18</v>
      </c>
      <c r="D20">
        <f t="shared" si="2"/>
        <v>36</v>
      </c>
      <c r="E20">
        <v>10</v>
      </c>
      <c r="F20" t="str">
        <f t="shared" si="3"/>
        <v>18:18</v>
      </c>
      <c r="G20" t="str">
        <f t="shared" si="4"/>
        <v>18:36</v>
      </c>
      <c r="H20" t="str">
        <f t="shared" si="5"/>
        <v>18:10</v>
      </c>
    </row>
    <row r="21" spans="2:8">
      <c r="B21">
        <f t="shared" si="0"/>
        <v>19</v>
      </c>
      <c r="C21">
        <f t="shared" si="1"/>
        <v>19</v>
      </c>
      <c r="D21">
        <f t="shared" si="2"/>
        <v>38</v>
      </c>
      <c r="E21">
        <v>10</v>
      </c>
      <c r="F21" t="str">
        <f t="shared" si="3"/>
        <v>19:19</v>
      </c>
      <c r="G21" t="str">
        <f t="shared" si="4"/>
        <v>19:38</v>
      </c>
      <c r="H21" t="str">
        <f t="shared" si="5"/>
        <v>19:10</v>
      </c>
    </row>
    <row r="22" spans="2:8">
      <c r="B22">
        <f t="shared" si="0"/>
        <v>20</v>
      </c>
      <c r="C22">
        <f t="shared" si="1"/>
        <v>20</v>
      </c>
      <c r="D22">
        <f t="shared" si="2"/>
        <v>40</v>
      </c>
      <c r="E22">
        <v>10</v>
      </c>
      <c r="F22" t="str">
        <f t="shared" si="3"/>
        <v>20:20</v>
      </c>
      <c r="G22" t="str">
        <f t="shared" si="4"/>
        <v>20:40</v>
      </c>
      <c r="H22" t="str">
        <f t="shared" si="5"/>
        <v>20:10</v>
      </c>
    </row>
    <row r="23" spans="2:8">
      <c r="B23">
        <f t="shared" si="0"/>
        <v>21</v>
      </c>
      <c r="C23">
        <f t="shared" si="1"/>
        <v>21</v>
      </c>
      <c r="D23">
        <f t="shared" si="2"/>
        <v>42</v>
      </c>
      <c r="E23">
        <v>10</v>
      </c>
      <c r="F23" t="str">
        <f t="shared" si="3"/>
        <v>21:21</v>
      </c>
      <c r="G23" t="str">
        <f t="shared" si="4"/>
        <v>21:42</v>
      </c>
      <c r="H23" t="str">
        <f t="shared" si="5"/>
        <v>21:10</v>
      </c>
    </row>
    <row r="24" spans="2:8">
      <c r="B24">
        <f t="shared" si="0"/>
        <v>22</v>
      </c>
      <c r="C24">
        <f t="shared" si="1"/>
        <v>22</v>
      </c>
      <c r="D24">
        <f t="shared" si="2"/>
        <v>44</v>
      </c>
      <c r="E24">
        <v>10</v>
      </c>
      <c r="F24" t="str">
        <f t="shared" si="3"/>
        <v>22:22</v>
      </c>
      <c r="G24" t="str">
        <f t="shared" si="4"/>
        <v>22:44</v>
      </c>
      <c r="H24" t="str">
        <f t="shared" si="5"/>
        <v>22:10</v>
      </c>
    </row>
    <row r="25" spans="2:8">
      <c r="B25">
        <f t="shared" si="0"/>
        <v>23</v>
      </c>
      <c r="C25">
        <f t="shared" si="1"/>
        <v>23</v>
      </c>
      <c r="D25">
        <f t="shared" si="2"/>
        <v>46</v>
      </c>
      <c r="E25">
        <v>10</v>
      </c>
      <c r="F25" t="str">
        <f t="shared" si="3"/>
        <v>23:23</v>
      </c>
      <c r="G25" t="str">
        <f t="shared" si="4"/>
        <v>23:46</v>
      </c>
      <c r="H25" t="str">
        <f t="shared" si="5"/>
        <v>23:10</v>
      </c>
    </row>
    <row r="26" spans="2:8">
      <c r="B26">
        <f t="shared" si="0"/>
        <v>24</v>
      </c>
      <c r="C26">
        <f t="shared" si="1"/>
        <v>24</v>
      </c>
      <c r="D26">
        <f t="shared" si="2"/>
        <v>48</v>
      </c>
      <c r="E26">
        <v>10</v>
      </c>
      <c r="F26" t="str">
        <f t="shared" si="3"/>
        <v>24:24</v>
      </c>
      <c r="G26" t="str">
        <f t="shared" si="4"/>
        <v>24:48</v>
      </c>
      <c r="H26" t="str">
        <f t="shared" si="5"/>
        <v>24:10</v>
      </c>
    </row>
    <row r="27" spans="2:8">
      <c r="B27">
        <f t="shared" si="0"/>
        <v>25</v>
      </c>
      <c r="C27">
        <f t="shared" si="1"/>
        <v>25</v>
      </c>
      <c r="D27">
        <f t="shared" si="2"/>
        <v>50</v>
      </c>
      <c r="E27">
        <v>10</v>
      </c>
      <c r="F27" t="str">
        <f t="shared" si="3"/>
        <v>25:25</v>
      </c>
      <c r="G27" t="str">
        <f t="shared" si="4"/>
        <v>25:50</v>
      </c>
      <c r="H27" t="str">
        <f t="shared" si="5"/>
        <v>25:10</v>
      </c>
    </row>
    <row r="28" spans="2:8">
      <c r="B28">
        <f t="shared" si="0"/>
        <v>26</v>
      </c>
      <c r="C28">
        <f t="shared" si="1"/>
        <v>26</v>
      </c>
      <c r="D28">
        <f t="shared" si="2"/>
        <v>52</v>
      </c>
      <c r="E28">
        <v>10</v>
      </c>
      <c r="F28" t="str">
        <f t="shared" si="3"/>
        <v>26:26</v>
      </c>
      <c r="G28" t="str">
        <f t="shared" si="4"/>
        <v>26:52</v>
      </c>
      <c r="H28" t="str">
        <f t="shared" si="5"/>
        <v>26:10</v>
      </c>
    </row>
    <row r="29" spans="2:8">
      <c r="B29">
        <f t="shared" si="0"/>
        <v>27</v>
      </c>
      <c r="C29">
        <f t="shared" si="1"/>
        <v>27</v>
      </c>
      <c r="D29">
        <f t="shared" si="2"/>
        <v>54</v>
      </c>
      <c r="E29">
        <v>10</v>
      </c>
      <c r="F29" t="str">
        <f t="shared" si="3"/>
        <v>27:27</v>
      </c>
      <c r="G29" t="str">
        <f t="shared" si="4"/>
        <v>27:54</v>
      </c>
      <c r="H29" t="str">
        <f t="shared" si="5"/>
        <v>27:10</v>
      </c>
    </row>
    <row r="30" spans="2:8">
      <c r="B30">
        <f t="shared" si="0"/>
        <v>28</v>
      </c>
      <c r="C30">
        <f t="shared" si="1"/>
        <v>28</v>
      </c>
      <c r="D30">
        <f t="shared" si="2"/>
        <v>56</v>
      </c>
      <c r="E30">
        <v>10</v>
      </c>
      <c r="F30" t="str">
        <f t="shared" si="3"/>
        <v>28:28</v>
      </c>
      <c r="G30" t="str">
        <f t="shared" si="4"/>
        <v>28:56</v>
      </c>
      <c r="H30" t="str">
        <f t="shared" si="5"/>
        <v>28:10</v>
      </c>
    </row>
    <row r="31" spans="2:8">
      <c r="B31">
        <f t="shared" si="0"/>
        <v>29</v>
      </c>
      <c r="C31">
        <f t="shared" si="1"/>
        <v>29</v>
      </c>
      <c r="D31">
        <f t="shared" si="2"/>
        <v>58</v>
      </c>
      <c r="E31">
        <v>10</v>
      </c>
      <c r="F31" t="str">
        <f t="shared" si="3"/>
        <v>29:29</v>
      </c>
      <c r="G31" t="str">
        <f t="shared" si="4"/>
        <v>29:58</v>
      </c>
      <c r="H31" t="str">
        <f t="shared" si="5"/>
        <v>29:10</v>
      </c>
    </row>
    <row r="32" spans="2:8">
      <c r="B32">
        <f t="shared" si="0"/>
        <v>30</v>
      </c>
      <c r="C32">
        <f t="shared" si="1"/>
        <v>30</v>
      </c>
      <c r="D32">
        <f t="shared" si="2"/>
        <v>60</v>
      </c>
      <c r="E32">
        <v>10</v>
      </c>
      <c r="F32" t="str">
        <f t="shared" si="3"/>
        <v>30:30</v>
      </c>
      <c r="G32" t="str">
        <f t="shared" si="4"/>
        <v>30:60</v>
      </c>
      <c r="H32" t="str">
        <f t="shared" si="5"/>
        <v>30:10</v>
      </c>
    </row>
    <row r="33" spans="2:8">
      <c r="B33">
        <f t="shared" si="0"/>
        <v>31</v>
      </c>
      <c r="C33">
        <f t="shared" si="1"/>
        <v>31</v>
      </c>
      <c r="D33">
        <f t="shared" si="2"/>
        <v>62</v>
      </c>
      <c r="E33">
        <v>10</v>
      </c>
      <c r="F33" t="str">
        <f t="shared" si="3"/>
        <v>31:31</v>
      </c>
      <c r="G33" t="str">
        <f t="shared" si="4"/>
        <v>31:62</v>
      </c>
      <c r="H33" t="str">
        <f t="shared" si="5"/>
        <v>31:10</v>
      </c>
    </row>
    <row r="34" spans="2:8">
      <c r="B34">
        <f t="shared" si="0"/>
        <v>32</v>
      </c>
      <c r="C34">
        <f t="shared" si="1"/>
        <v>32</v>
      </c>
      <c r="D34">
        <f t="shared" si="2"/>
        <v>64</v>
      </c>
      <c r="E34">
        <v>10</v>
      </c>
      <c r="F34" t="str">
        <f t="shared" si="3"/>
        <v>32:32</v>
      </c>
      <c r="G34" t="str">
        <f t="shared" si="4"/>
        <v>32:64</v>
      </c>
      <c r="H34" t="str">
        <f t="shared" si="5"/>
        <v>32:10</v>
      </c>
    </row>
    <row r="35" spans="2:8">
      <c r="B35">
        <f t="shared" si="0"/>
        <v>33</v>
      </c>
      <c r="C35">
        <f t="shared" si="1"/>
        <v>33</v>
      </c>
      <c r="D35">
        <f t="shared" si="2"/>
        <v>66</v>
      </c>
      <c r="E35">
        <v>10</v>
      </c>
      <c r="F35" t="str">
        <f t="shared" si="3"/>
        <v>33:33</v>
      </c>
      <c r="G35" t="str">
        <f t="shared" si="4"/>
        <v>33:66</v>
      </c>
      <c r="H35" t="str">
        <f t="shared" si="5"/>
        <v>33:10</v>
      </c>
    </row>
    <row r="36" spans="2:8">
      <c r="B36">
        <f t="shared" ref="B36:B67" si="6">B35+1</f>
        <v>34</v>
      </c>
      <c r="C36">
        <f t="shared" si="1"/>
        <v>34</v>
      </c>
      <c r="D36">
        <f t="shared" si="2"/>
        <v>68</v>
      </c>
      <c r="E36">
        <v>10</v>
      </c>
      <c r="F36" t="str">
        <f t="shared" si="3"/>
        <v>34:34</v>
      </c>
      <c r="G36" t="str">
        <f t="shared" si="4"/>
        <v>34:68</v>
      </c>
      <c r="H36" t="str">
        <f t="shared" si="5"/>
        <v>34:10</v>
      </c>
    </row>
    <row r="37" spans="2:8">
      <c r="B37">
        <f t="shared" si="6"/>
        <v>35</v>
      </c>
      <c r="C37">
        <f t="shared" si="1"/>
        <v>35</v>
      </c>
      <c r="D37">
        <f t="shared" si="2"/>
        <v>70</v>
      </c>
      <c r="E37">
        <v>10</v>
      </c>
      <c r="F37" t="str">
        <f t="shared" si="3"/>
        <v>35:35</v>
      </c>
      <c r="G37" t="str">
        <f t="shared" si="4"/>
        <v>35:70</v>
      </c>
      <c r="H37" t="str">
        <f t="shared" si="5"/>
        <v>35:10</v>
      </c>
    </row>
    <row r="38" spans="2:8">
      <c r="B38">
        <f t="shared" si="6"/>
        <v>36</v>
      </c>
      <c r="C38">
        <f t="shared" si="1"/>
        <v>36</v>
      </c>
      <c r="D38">
        <f t="shared" si="2"/>
        <v>72</v>
      </c>
      <c r="E38">
        <v>10</v>
      </c>
      <c r="F38" t="str">
        <f t="shared" si="3"/>
        <v>36:36</v>
      </c>
      <c r="G38" t="str">
        <f t="shared" si="4"/>
        <v>36:72</v>
      </c>
      <c r="H38" t="str">
        <f t="shared" si="5"/>
        <v>36:10</v>
      </c>
    </row>
    <row r="39" spans="2:8">
      <c r="B39">
        <f t="shared" si="6"/>
        <v>37</v>
      </c>
      <c r="C39">
        <f t="shared" si="1"/>
        <v>37</v>
      </c>
      <c r="D39">
        <f t="shared" si="2"/>
        <v>74</v>
      </c>
      <c r="E39">
        <v>10</v>
      </c>
      <c r="F39" t="str">
        <f t="shared" si="3"/>
        <v>37:37</v>
      </c>
      <c r="G39" t="str">
        <f t="shared" si="4"/>
        <v>37:74</v>
      </c>
      <c r="H39" t="str">
        <f t="shared" si="5"/>
        <v>37:10</v>
      </c>
    </row>
    <row r="40" spans="2:8">
      <c r="B40">
        <f t="shared" si="6"/>
        <v>38</v>
      </c>
      <c r="C40">
        <f t="shared" si="1"/>
        <v>38</v>
      </c>
      <c r="D40">
        <f t="shared" si="2"/>
        <v>76</v>
      </c>
      <c r="E40">
        <v>10</v>
      </c>
      <c r="F40" t="str">
        <f t="shared" si="3"/>
        <v>38:38</v>
      </c>
      <c r="G40" t="str">
        <f t="shared" si="4"/>
        <v>38:76</v>
      </c>
      <c r="H40" t="str">
        <f t="shared" si="5"/>
        <v>38:10</v>
      </c>
    </row>
    <row r="41" spans="2:8">
      <c r="B41">
        <f t="shared" si="6"/>
        <v>39</v>
      </c>
      <c r="C41">
        <f t="shared" si="1"/>
        <v>39</v>
      </c>
      <c r="D41">
        <f t="shared" si="2"/>
        <v>78</v>
      </c>
      <c r="E41">
        <v>10</v>
      </c>
      <c r="F41" t="str">
        <f t="shared" si="3"/>
        <v>39:39</v>
      </c>
      <c r="G41" t="str">
        <f t="shared" si="4"/>
        <v>39:78</v>
      </c>
      <c r="H41" t="str">
        <f t="shared" si="5"/>
        <v>39:10</v>
      </c>
    </row>
    <row r="42" spans="2:8">
      <c r="B42">
        <f t="shared" si="6"/>
        <v>40</v>
      </c>
      <c r="C42">
        <f t="shared" si="1"/>
        <v>40</v>
      </c>
      <c r="D42">
        <f t="shared" si="2"/>
        <v>80</v>
      </c>
      <c r="E42">
        <v>10</v>
      </c>
      <c r="F42" t="str">
        <f t="shared" si="3"/>
        <v>40:40</v>
      </c>
      <c r="G42" t="str">
        <f t="shared" si="4"/>
        <v>40:80</v>
      </c>
      <c r="H42" t="str">
        <f t="shared" si="5"/>
        <v>40:10</v>
      </c>
    </row>
    <row r="43" spans="2:8">
      <c r="B43">
        <f t="shared" si="6"/>
        <v>41</v>
      </c>
      <c r="C43">
        <f t="shared" si="1"/>
        <v>41</v>
      </c>
      <c r="D43">
        <f t="shared" si="2"/>
        <v>82</v>
      </c>
      <c r="E43">
        <v>10</v>
      </c>
      <c r="F43" t="str">
        <f t="shared" si="3"/>
        <v>41:41</v>
      </c>
      <c r="G43" t="str">
        <f t="shared" si="4"/>
        <v>41:82</v>
      </c>
      <c r="H43" t="str">
        <f t="shared" si="5"/>
        <v>41:10</v>
      </c>
    </row>
    <row r="44" spans="2:8">
      <c r="B44">
        <f t="shared" si="6"/>
        <v>42</v>
      </c>
      <c r="C44">
        <f t="shared" si="1"/>
        <v>42</v>
      </c>
      <c r="D44">
        <f t="shared" si="2"/>
        <v>84</v>
      </c>
      <c r="E44">
        <v>10</v>
      </c>
      <c r="F44" t="str">
        <f t="shared" si="3"/>
        <v>42:42</v>
      </c>
      <c r="G44" t="str">
        <f t="shared" si="4"/>
        <v>42:84</v>
      </c>
      <c r="H44" t="str">
        <f t="shared" si="5"/>
        <v>42:10</v>
      </c>
    </row>
    <row r="45" spans="2:8">
      <c r="B45">
        <f t="shared" si="6"/>
        <v>43</v>
      </c>
      <c r="C45">
        <f t="shared" si="1"/>
        <v>43</v>
      </c>
      <c r="D45">
        <f t="shared" si="2"/>
        <v>86</v>
      </c>
      <c r="E45">
        <v>10</v>
      </c>
      <c r="F45" t="str">
        <f t="shared" si="3"/>
        <v>43:43</v>
      </c>
      <c r="G45" t="str">
        <f t="shared" si="4"/>
        <v>43:86</v>
      </c>
      <c r="H45" t="str">
        <f t="shared" si="5"/>
        <v>43:10</v>
      </c>
    </row>
    <row r="46" spans="2:8">
      <c r="B46">
        <f t="shared" si="6"/>
        <v>44</v>
      </c>
      <c r="C46">
        <f t="shared" si="1"/>
        <v>44</v>
      </c>
      <c r="D46">
        <f t="shared" si="2"/>
        <v>88</v>
      </c>
      <c r="E46">
        <v>10</v>
      </c>
      <c r="F46" t="str">
        <f t="shared" si="3"/>
        <v>44:44</v>
      </c>
      <c r="G46" t="str">
        <f t="shared" si="4"/>
        <v>44:88</v>
      </c>
      <c r="H46" t="str">
        <f t="shared" si="5"/>
        <v>44:10</v>
      </c>
    </row>
    <row r="47" spans="2:8">
      <c r="B47">
        <f t="shared" si="6"/>
        <v>45</v>
      </c>
      <c r="C47">
        <f t="shared" si="1"/>
        <v>45</v>
      </c>
      <c r="D47">
        <f t="shared" si="2"/>
        <v>90</v>
      </c>
      <c r="E47">
        <v>10</v>
      </c>
      <c r="F47" t="str">
        <f t="shared" si="3"/>
        <v>45:45</v>
      </c>
      <c r="G47" t="str">
        <f t="shared" si="4"/>
        <v>45:90</v>
      </c>
      <c r="H47" t="str">
        <f t="shared" si="5"/>
        <v>45:10</v>
      </c>
    </row>
    <row r="48" spans="2:8">
      <c r="B48">
        <f t="shared" si="6"/>
        <v>46</v>
      </c>
      <c r="C48">
        <f t="shared" si="1"/>
        <v>46</v>
      </c>
      <c r="D48">
        <f t="shared" si="2"/>
        <v>92</v>
      </c>
      <c r="E48">
        <v>10</v>
      </c>
      <c r="F48" t="str">
        <f t="shared" si="3"/>
        <v>46:46</v>
      </c>
      <c r="G48" t="str">
        <f t="shared" si="4"/>
        <v>46:92</v>
      </c>
      <c r="H48" t="str">
        <f t="shared" si="5"/>
        <v>46:10</v>
      </c>
    </row>
    <row r="49" spans="2:8">
      <c r="B49">
        <f t="shared" si="6"/>
        <v>47</v>
      </c>
      <c r="C49">
        <f t="shared" si="1"/>
        <v>47</v>
      </c>
      <c r="D49">
        <f t="shared" si="2"/>
        <v>94</v>
      </c>
      <c r="E49">
        <v>10</v>
      </c>
      <c r="F49" t="str">
        <f t="shared" si="3"/>
        <v>47:47</v>
      </c>
      <c r="G49" t="str">
        <f t="shared" si="4"/>
        <v>47:94</v>
      </c>
      <c r="H49" t="str">
        <f t="shared" si="5"/>
        <v>47:10</v>
      </c>
    </row>
    <row r="50" spans="2:8">
      <c r="B50">
        <f t="shared" si="6"/>
        <v>48</v>
      </c>
      <c r="C50">
        <f t="shared" si="1"/>
        <v>48</v>
      </c>
      <c r="D50">
        <f t="shared" si="2"/>
        <v>96</v>
      </c>
      <c r="E50">
        <v>10</v>
      </c>
      <c r="F50" t="str">
        <f t="shared" si="3"/>
        <v>48:48</v>
      </c>
      <c r="G50" t="str">
        <f t="shared" si="4"/>
        <v>48:96</v>
      </c>
      <c r="H50" t="str">
        <f t="shared" si="5"/>
        <v>48:10</v>
      </c>
    </row>
    <row r="51" spans="2:8">
      <c r="B51">
        <f t="shared" si="6"/>
        <v>49</v>
      </c>
      <c r="C51">
        <f t="shared" si="1"/>
        <v>49</v>
      </c>
      <c r="D51">
        <f t="shared" si="2"/>
        <v>98</v>
      </c>
      <c r="E51">
        <v>10</v>
      </c>
      <c r="F51" t="str">
        <f t="shared" si="3"/>
        <v>49:49</v>
      </c>
      <c r="G51" t="str">
        <f t="shared" si="4"/>
        <v>49:98</v>
      </c>
      <c r="H51" t="str">
        <f t="shared" si="5"/>
        <v>49:10</v>
      </c>
    </row>
    <row r="52" spans="2:8">
      <c r="B52">
        <f t="shared" si="6"/>
        <v>50</v>
      </c>
      <c r="C52">
        <f t="shared" si="1"/>
        <v>50</v>
      </c>
      <c r="D52">
        <f t="shared" si="2"/>
        <v>100</v>
      </c>
      <c r="E52">
        <v>10</v>
      </c>
      <c r="F52" t="str">
        <f t="shared" si="3"/>
        <v>50:50</v>
      </c>
      <c r="G52" t="str">
        <f t="shared" si="4"/>
        <v>50:100</v>
      </c>
      <c r="H52" t="str">
        <f t="shared" si="5"/>
        <v>50:10</v>
      </c>
    </row>
    <row r="53" spans="2:8">
      <c r="B53">
        <f t="shared" si="6"/>
        <v>51</v>
      </c>
      <c r="C53">
        <f t="shared" si="1"/>
        <v>51</v>
      </c>
      <c r="D53">
        <f t="shared" si="2"/>
        <v>102</v>
      </c>
      <c r="E53">
        <v>10</v>
      </c>
      <c r="F53" t="str">
        <f t="shared" si="3"/>
        <v>51:51</v>
      </c>
      <c r="G53" t="str">
        <f t="shared" si="4"/>
        <v>51:102</v>
      </c>
      <c r="H53" t="str">
        <f t="shared" si="5"/>
        <v>51:10</v>
      </c>
    </row>
    <row r="54" spans="2:8">
      <c r="B54">
        <f t="shared" si="6"/>
        <v>52</v>
      </c>
      <c r="C54">
        <f t="shared" si="1"/>
        <v>52</v>
      </c>
      <c r="D54">
        <f t="shared" si="2"/>
        <v>104</v>
      </c>
      <c r="E54">
        <v>10</v>
      </c>
      <c r="F54" t="str">
        <f t="shared" si="3"/>
        <v>52:52</v>
      </c>
      <c r="G54" t="str">
        <f t="shared" si="4"/>
        <v>52:104</v>
      </c>
      <c r="H54" t="str">
        <f t="shared" si="5"/>
        <v>52:10</v>
      </c>
    </row>
    <row r="55" spans="2:8">
      <c r="B55">
        <f t="shared" si="6"/>
        <v>53</v>
      </c>
      <c r="C55">
        <f t="shared" si="1"/>
        <v>53</v>
      </c>
      <c r="D55">
        <f t="shared" si="2"/>
        <v>106</v>
      </c>
      <c r="E55">
        <v>10</v>
      </c>
      <c r="F55" t="str">
        <f t="shared" si="3"/>
        <v>53:53</v>
      </c>
      <c r="G55" t="str">
        <f t="shared" si="4"/>
        <v>53:106</v>
      </c>
      <c r="H55" t="str">
        <f t="shared" si="5"/>
        <v>53:10</v>
      </c>
    </row>
    <row r="56" spans="2:8">
      <c r="B56">
        <f t="shared" si="6"/>
        <v>54</v>
      </c>
      <c r="C56">
        <f t="shared" si="1"/>
        <v>54</v>
      </c>
      <c r="D56">
        <f t="shared" si="2"/>
        <v>108</v>
      </c>
      <c r="E56">
        <v>10</v>
      </c>
      <c r="F56" t="str">
        <f t="shared" si="3"/>
        <v>54:54</v>
      </c>
      <c r="G56" t="str">
        <f t="shared" si="4"/>
        <v>54:108</v>
      </c>
      <c r="H56" t="str">
        <f t="shared" si="5"/>
        <v>54:10</v>
      </c>
    </row>
    <row r="57" spans="2:8">
      <c r="B57">
        <f t="shared" si="6"/>
        <v>55</v>
      </c>
      <c r="C57">
        <f t="shared" si="1"/>
        <v>55</v>
      </c>
      <c r="D57">
        <f t="shared" si="2"/>
        <v>110</v>
      </c>
      <c r="E57">
        <v>10</v>
      </c>
      <c r="F57" t="str">
        <f t="shared" si="3"/>
        <v>55:55</v>
      </c>
      <c r="G57" t="str">
        <f t="shared" si="4"/>
        <v>55:110</v>
      </c>
      <c r="H57" t="str">
        <f t="shared" si="5"/>
        <v>55:10</v>
      </c>
    </row>
    <row r="58" spans="2:8">
      <c r="B58">
        <f t="shared" si="6"/>
        <v>56</v>
      </c>
      <c r="C58">
        <f t="shared" si="1"/>
        <v>56</v>
      </c>
      <c r="D58">
        <f t="shared" si="2"/>
        <v>112</v>
      </c>
      <c r="E58">
        <v>10</v>
      </c>
      <c r="F58" t="str">
        <f t="shared" si="3"/>
        <v>56:56</v>
      </c>
      <c r="G58" t="str">
        <f t="shared" si="4"/>
        <v>56:112</v>
      </c>
      <c r="H58" t="str">
        <f t="shared" si="5"/>
        <v>56:10</v>
      </c>
    </row>
    <row r="59" spans="2:8">
      <c r="B59">
        <f t="shared" si="6"/>
        <v>57</v>
      </c>
      <c r="C59">
        <f t="shared" si="1"/>
        <v>57</v>
      </c>
      <c r="D59">
        <f t="shared" si="2"/>
        <v>114</v>
      </c>
      <c r="E59">
        <v>10</v>
      </c>
      <c r="F59" t="str">
        <f t="shared" si="3"/>
        <v>57:57</v>
      </c>
      <c r="G59" t="str">
        <f t="shared" si="4"/>
        <v>57:114</v>
      </c>
      <c r="H59" t="str">
        <f t="shared" si="5"/>
        <v>57:10</v>
      </c>
    </row>
    <row r="60" spans="2:8">
      <c r="B60">
        <f t="shared" si="6"/>
        <v>58</v>
      </c>
      <c r="C60">
        <f t="shared" si="1"/>
        <v>58</v>
      </c>
      <c r="D60">
        <f t="shared" si="2"/>
        <v>116</v>
      </c>
      <c r="E60">
        <v>10</v>
      </c>
      <c r="F60" t="str">
        <f t="shared" si="3"/>
        <v>58:58</v>
      </c>
      <c r="G60" t="str">
        <f t="shared" si="4"/>
        <v>58:116</v>
      </c>
      <c r="H60" t="str">
        <f t="shared" si="5"/>
        <v>58:10</v>
      </c>
    </row>
    <row r="61" spans="2:8">
      <c r="B61">
        <f t="shared" si="6"/>
        <v>59</v>
      </c>
      <c r="C61">
        <f t="shared" si="1"/>
        <v>59</v>
      </c>
      <c r="D61">
        <f t="shared" si="2"/>
        <v>118</v>
      </c>
      <c r="E61">
        <v>10</v>
      </c>
      <c r="F61" t="str">
        <f t="shared" si="3"/>
        <v>59:59</v>
      </c>
      <c r="G61" t="str">
        <f t="shared" si="4"/>
        <v>59:118</v>
      </c>
      <c r="H61" t="str">
        <f t="shared" si="5"/>
        <v>59:10</v>
      </c>
    </row>
    <row r="62" spans="2:8">
      <c r="B62">
        <f t="shared" si="6"/>
        <v>60</v>
      </c>
      <c r="C62">
        <f t="shared" si="1"/>
        <v>60</v>
      </c>
      <c r="D62">
        <f t="shared" si="2"/>
        <v>120</v>
      </c>
      <c r="E62">
        <v>10</v>
      </c>
      <c r="F62" t="str">
        <f t="shared" si="3"/>
        <v>60:60</v>
      </c>
      <c r="G62" t="str">
        <f t="shared" si="4"/>
        <v>60:120</v>
      </c>
      <c r="H62" t="str">
        <f t="shared" si="5"/>
        <v>60:10</v>
      </c>
    </row>
    <row r="63" spans="2:8">
      <c r="B63">
        <f t="shared" si="6"/>
        <v>61</v>
      </c>
      <c r="C63">
        <f t="shared" si="1"/>
        <v>61</v>
      </c>
      <c r="D63">
        <f t="shared" si="2"/>
        <v>122</v>
      </c>
      <c r="E63">
        <v>10</v>
      </c>
      <c r="F63" t="str">
        <f t="shared" si="3"/>
        <v>61:61</v>
      </c>
      <c r="G63" t="str">
        <f t="shared" si="4"/>
        <v>61:122</v>
      </c>
      <c r="H63" t="str">
        <f t="shared" si="5"/>
        <v>61:10</v>
      </c>
    </row>
    <row r="64" spans="2:8">
      <c r="B64">
        <f t="shared" si="6"/>
        <v>62</v>
      </c>
      <c r="C64">
        <f t="shared" si="1"/>
        <v>62</v>
      </c>
      <c r="D64">
        <f t="shared" si="2"/>
        <v>124</v>
      </c>
      <c r="E64">
        <v>10</v>
      </c>
      <c r="F64" t="str">
        <f t="shared" si="3"/>
        <v>62:62</v>
      </c>
      <c r="G64" t="str">
        <f t="shared" si="4"/>
        <v>62:124</v>
      </c>
      <c r="H64" t="str">
        <f t="shared" si="5"/>
        <v>62:10</v>
      </c>
    </row>
    <row r="65" spans="2:8">
      <c r="B65">
        <f t="shared" si="6"/>
        <v>63</v>
      </c>
      <c r="C65">
        <f t="shared" si="1"/>
        <v>63</v>
      </c>
      <c r="D65">
        <f t="shared" si="2"/>
        <v>126</v>
      </c>
      <c r="E65">
        <v>10</v>
      </c>
      <c r="F65" t="str">
        <f t="shared" si="3"/>
        <v>63:63</v>
      </c>
      <c r="G65" t="str">
        <f t="shared" si="4"/>
        <v>63:126</v>
      </c>
      <c r="H65" t="str">
        <f t="shared" si="5"/>
        <v>63:10</v>
      </c>
    </row>
    <row r="66" spans="2:8">
      <c r="B66">
        <f t="shared" si="6"/>
        <v>64</v>
      </c>
      <c r="C66">
        <f t="shared" si="1"/>
        <v>64</v>
      </c>
      <c r="D66">
        <f t="shared" si="2"/>
        <v>128</v>
      </c>
      <c r="E66">
        <v>10</v>
      </c>
      <c r="F66" t="str">
        <f t="shared" si="3"/>
        <v>64:64</v>
      </c>
      <c r="G66" t="str">
        <f t="shared" si="4"/>
        <v>64:128</v>
      </c>
      <c r="H66" t="str">
        <f t="shared" si="5"/>
        <v>64:10</v>
      </c>
    </row>
    <row r="67" spans="2:8">
      <c r="B67">
        <f t="shared" si="6"/>
        <v>65</v>
      </c>
      <c r="C67">
        <f t="shared" si="1"/>
        <v>65</v>
      </c>
      <c r="D67">
        <f t="shared" si="2"/>
        <v>130</v>
      </c>
      <c r="E67">
        <v>10</v>
      </c>
      <c r="F67" t="str">
        <f t="shared" si="3"/>
        <v>65:65</v>
      </c>
      <c r="G67" t="str">
        <f t="shared" si="4"/>
        <v>65:130</v>
      </c>
      <c r="H67" t="str">
        <f t="shared" si="5"/>
        <v>65:10</v>
      </c>
    </row>
    <row r="68" spans="2:8">
      <c r="B68">
        <f t="shared" ref="B68:B94" si="7">B67+1</f>
        <v>66</v>
      </c>
      <c r="C68">
        <f t="shared" ref="C68:C131" si="8">B68</f>
        <v>66</v>
      </c>
      <c r="D68">
        <f t="shared" ref="D68:D131" si="9">C68*2</f>
        <v>132</v>
      </c>
      <c r="E68">
        <v>10</v>
      </c>
      <c r="F68" t="str">
        <f t="shared" ref="F68:F131" si="10">$B68&amp;":"&amp;C68</f>
        <v>66:66</v>
      </c>
      <c r="G68" t="str">
        <f t="shared" ref="G68:G131" si="11">$B68&amp;":"&amp;D68</f>
        <v>66:132</v>
      </c>
      <c r="H68" t="str">
        <f t="shared" ref="H68:H131" si="12">$B68&amp;":"&amp;E68</f>
        <v>66:10</v>
      </c>
    </row>
    <row r="69" spans="2:8">
      <c r="B69">
        <f t="shared" si="7"/>
        <v>67</v>
      </c>
      <c r="C69">
        <f t="shared" si="8"/>
        <v>67</v>
      </c>
      <c r="D69">
        <f t="shared" si="9"/>
        <v>134</v>
      </c>
      <c r="E69">
        <v>10</v>
      </c>
      <c r="F69" t="str">
        <f t="shared" si="10"/>
        <v>67:67</v>
      </c>
      <c r="G69" t="str">
        <f t="shared" si="11"/>
        <v>67:134</v>
      </c>
      <c r="H69" t="str">
        <f t="shared" si="12"/>
        <v>67:10</v>
      </c>
    </row>
    <row r="70" spans="2:8">
      <c r="B70">
        <f t="shared" si="7"/>
        <v>68</v>
      </c>
      <c r="C70">
        <f t="shared" si="8"/>
        <v>68</v>
      </c>
      <c r="D70">
        <f t="shared" si="9"/>
        <v>136</v>
      </c>
      <c r="E70">
        <v>10</v>
      </c>
      <c r="F70" t="str">
        <f t="shared" si="10"/>
        <v>68:68</v>
      </c>
      <c r="G70" t="str">
        <f t="shared" si="11"/>
        <v>68:136</v>
      </c>
      <c r="H70" t="str">
        <f t="shared" si="12"/>
        <v>68:10</v>
      </c>
    </row>
    <row r="71" spans="2:8">
      <c r="B71">
        <f t="shared" si="7"/>
        <v>69</v>
      </c>
      <c r="C71">
        <f t="shared" si="8"/>
        <v>69</v>
      </c>
      <c r="D71">
        <f t="shared" si="9"/>
        <v>138</v>
      </c>
      <c r="E71">
        <v>10</v>
      </c>
      <c r="F71" t="str">
        <f t="shared" si="10"/>
        <v>69:69</v>
      </c>
      <c r="G71" t="str">
        <f t="shared" si="11"/>
        <v>69:138</v>
      </c>
      <c r="H71" t="str">
        <f t="shared" si="12"/>
        <v>69:10</v>
      </c>
    </row>
    <row r="72" spans="2:8">
      <c r="B72">
        <f t="shared" si="7"/>
        <v>70</v>
      </c>
      <c r="C72">
        <f t="shared" si="8"/>
        <v>70</v>
      </c>
      <c r="D72">
        <f t="shared" si="9"/>
        <v>140</v>
      </c>
      <c r="E72">
        <v>10</v>
      </c>
      <c r="F72" t="str">
        <f t="shared" si="10"/>
        <v>70:70</v>
      </c>
      <c r="G72" t="str">
        <f t="shared" si="11"/>
        <v>70:140</v>
      </c>
      <c r="H72" t="str">
        <f t="shared" si="12"/>
        <v>70:10</v>
      </c>
    </row>
    <row r="73" spans="2:8">
      <c r="B73">
        <f t="shared" si="7"/>
        <v>71</v>
      </c>
      <c r="C73">
        <f t="shared" si="8"/>
        <v>71</v>
      </c>
      <c r="D73">
        <f t="shared" si="9"/>
        <v>142</v>
      </c>
      <c r="E73">
        <v>10</v>
      </c>
      <c r="F73" t="str">
        <f t="shared" si="10"/>
        <v>71:71</v>
      </c>
      <c r="G73" t="str">
        <f t="shared" si="11"/>
        <v>71:142</v>
      </c>
      <c r="H73" t="str">
        <f t="shared" si="12"/>
        <v>71:10</v>
      </c>
    </row>
    <row r="74" spans="2:8">
      <c r="B74">
        <f t="shared" si="7"/>
        <v>72</v>
      </c>
      <c r="C74">
        <f t="shared" si="8"/>
        <v>72</v>
      </c>
      <c r="D74">
        <f t="shared" si="9"/>
        <v>144</v>
      </c>
      <c r="E74">
        <v>10</v>
      </c>
      <c r="F74" t="str">
        <f t="shared" si="10"/>
        <v>72:72</v>
      </c>
      <c r="G74" t="str">
        <f t="shared" si="11"/>
        <v>72:144</v>
      </c>
      <c r="H74" t="str">
        <f t="shared" si="12"/>
        <v>72:10</v>
      </c>
    </row>
    <row r="75" spans="2:8">
      <c r="B75">
        <f t="shared" si="7"/>
        <v>73</v>
      </c>
      <c r="C75">
        <f t="shared" si="8"/>
        <v>73</v>
      </c>
      <c r="D75">
        <f t="shared" si="9"/>
        <v>146</v>
      </c>
      <c r="E75">
        <v>10</v>
      </c>
      <c r="F75" t="str">
        <f t="shared" si="10"/>
        <v>73:73</v>
      </c>
      <c r="G75" t="str">
        <f t="shared" si="11"/>
        <v>73:146</v>
      </c>
      <c r="H75" t="str">
        <f t="shared" si="12"/>
        <v>73:10</v>
      </c>
    </row>
    <row r="76" spans="2:8">
      <c r="B76">
        <f t="shared" si="7"/>
        <v>74</v>
      </c>
      <c r="C76">
        <f t="shared" si="8"/>
        <v>74</v>
      </c>
      <c r="D76">
        <f t="shared" si="9"/>
        <v>148</v>
      </c>
      <c r="E76">
        <v>10</v>
      </c>
      <c r="F76" t="str">
        <f t="shared" si="10"/>
        <v>74:74</v>
      </c>
      <c r="G76" t="str">
        <f t="shared" si="11"/>
        <v>74:148</v>
      </c>
      <c r="H76" t="str">
        <f t="shared" si="12"/>
        <v>74:10</v>
      </c>
    </row>
    <row r="77" spans="2:8">
      <c r="B77">
        <f t="shared" si="7"/>
        <v>75</v>
      </c>
      <c r="C77">
        <f t="shared" si="8"/>
        <v>75</v>
      </c>
      <c r="D77">
        <f t="shared" si="9"/>
        <v>150</v>
      </c>
      <c r="E77">
        <v>10</v>
      </c>
      <c r="F77" t="str">
        <f t="shared" si="10"/>
        <v>75:75</v>
      </c>
      <c r="G77" t="str">
        <f t="shared" si="11"/>
        <v>75:150</v>
      </c>
      <c r="H77" t="str">
        <f t="shared" si="12"/>
        <v>75:10</v>
      </c>
    </row>
    <row r="78" spans="2:8">
      <c r="B78">
        <f t="shared" si="7"/>
        <v>76</v>
      </c>
      <c r="C78">
        <f t="shared" si="8"/>
        <v>76</v>
      </c>
      <c r="D78">
        <f t="shared" si="9"/>
        <v>152</v>
      </c>
      <c r="E78">
        <v>10</v>
      </c>
      <c r="F78" t="str">
        <f t="shared" si="10"/>
        <v>76:76</v>
      </c>
      <c r="G78" t="str">
        <f t="shared" si="11"/>
        <v>76:152</v>
      </c>
      <c r="H78" t="str">
        <f t="shared" si="12"/>
        <v>76:10</v>
      </c>
    </row>
    <row r="79" spans="2:8">
      <c r="B79">
        <f t="shared" si="7"/>
        <v>77</v>
      </c>
      <c r="C79">
        <f t="shared" si="8"/>
        <v>77</v>
      </c>
      <c r="D79">
        <f t="shared" si="9"/>
        <v>154</v>
      </c>
      <c r="E79">
        <v>10</v>
      </c>
      <c r="F79" t="str">
        <f t="shared" si="10"/>
        <v>77:77</v>
      </c>
      <c r="G79" t="str">
        <f t="shared" si="11"/>
        <v>77:154</v>
      </c>
      <c r="H79" t="str">
        <f t="shared" si="12"/>
        <v>77:10</v>
      </c>
    </row>
    <row r="80" spans="2:8">
      <c r="B80">
        <f t="shared" si="7"/>
        <v>78</v>
      </c>
      <c r="C80">
        <f t="shared" si="8"/>
        <v>78</v>
      </c>
      <c r="D80">
        <f t="shared" si="9"/>
        <v>156</v>
      </c>
      <c r="E80">
        <v>10</v>
      </c>
      <c r="F80" t="str">
        <f t="shared" si="10"/>
        <v>78:78</v>
      </c>
      <c r="G80" t="str">
        <f t="shared" si="11"/>
        <v>78:156</v>
      </c>
      <c r="H80" t="str">
        <f t="shared" si="12"/>
        <v>78:10</v>
      </c>
    </row>
    <row r="81" spans="2:8">
      <c r="B81">
        <f t="shared" si="7"/>
        <v>79</v>
      </c>
      <c r="C81">
        <f t="shared" si="8"/>
        <v>79</v>
      </c>
      <c r="D81">
        <f t="shared" si="9"/>
        <v>158</v>
      </c>
      <c r="E81">
        <v>10</v>
      </c>
      <c r="F81" t="str">
        <f t="shared" si="10"/>
        <v>79:79</v>
      </c>
      <c r="G81" t="str">
        <f t="shared" si="11"/>
        <v>79:158</v>
      </c>
      <c r="H81" t="str">
        <f t="shared" si="12"/>
        <v>79:10</v>
      </c>
    </row>
    <row r="82" spans="2:8">
      <c r="B82">
        <f t="shared" si="7"/>
        <v>80</v>
      </c>
      <c r="C82">
        <f t="shared" si="8"/>
        <v>80</v>
      </c>
      <c r="D82">
        <f t="shared" si="9"/>
        <v>160</v>
      </c>
      <c r="E82">
        <v>10</v>
      </c>
      <c r="F82" t="str">
        <f t="shared" si="10"/>
        <v>80:80</v>
      </c>
      <c r="G82" t="str">
        <f t="shared" si="11"/>
        <v>80:160</v>
      </c>
      <c r="H82" t="str">
        <f t="shared" si="12"/>
        <v>80:10</v>
      </c>
    </row>
    <row r="83" spans="2:8">
      <c r="B83">
        <f t="shared" si="7"/>
        <v>81</v>
      </c>
      <c r="C83">
        <f t="shared" si="8"/>
        <v>81</v>
      </c>
      <c r="D83">
        <f t="shared" si="9"/>
        <v>162</v>
      </c>
      <c r="E83">
        <v>10</v>
      </c>
      <c r="F83" t="str">
        <f t="shared" si="10"/>
        <v>81:81</v>
      </c>
      <c r="G83" t="str">
        <f t="shared" si="11"/>
        <v>81:162</v>
      </c>
      <c r="H83" t="str">
        <f t="shared" si="12"/>
        <v>81:10</v>
      </c>
    </row>
    <row r="84" spans="2:8">
      <c r="B84">
        <f t="shared" si="7"/>
        <v>82</v>
      </c>
      <c r="C84">
        <f t="shared" si="8"/>
        <v>82</v>
      </c>
      <c r="D84">
        <f t="shared" si="9"/>
        <v>164</v>
      </c>
      <c r="E84">
        <v>10</v>
      </c>
      <c r="F84" t="str">
        <f t="shared" si="10"/>
        <v>82:82</v>
      </c>
      <c r="G84" t="str">
        <f t="shared" si="11"/>
        <v>82:164</v>
      </c>
      <c r="H84" t="str">
        <f t="shared" si="12"/>
        <v>82:10</v>
      </c>
    </row>
    <row r="85" spans="2:8">
      <c r="B85">
        <f t="shared" si="7"/>
        <v>83</v>
      </c>
      <c r="C85">
        <f t="shared" si="8"/>
        <v>83</v>
      </c>
      <c r="D85">
        <f t="shared" si="9"/>
        <v>166</v>
      </c>
      <c r="E85">
        <v>10</v>
      </c>
      <c r="F85" t="str">
        <f t="shared" si="10"/>
        <v>83:83</v>
      </c>
      <c r="G85" t="str">
        <f t="shared" si="11"/>
        <v>83:166</v>
      </c>
      <c r="H85" t="str">
        <f t="shared" si="12"/>
        <v>83:10</v>
      </c>
    </row>
    <row r="86" spans="2:8">
      <c r="B86">
        <f t="shared" si="7"/>
        <v>84</v>
      </c>
      <c r="C86">
        <f t="shared" si="8"/>
        <v>84</v>
      </c>
      <c r="D86">
        <f t="shared" si="9"/>
        <v>168</v>
      </c>
      <c r="E86">
        <v>10</v>
      </c>
      <c r="F86" t="str">
        <f t="shared" si="10"/>
        <v>84:84</v>
      </c>
      <c r="G86" t="str">
        <f t="shared" si="11"/>
        <v>84:168</v>
      </c>
      <c r="H86" t="str">
        <f t="shared" si="12"/>
        <v>84:10</v>
      </c>
    </row>
    <row r="87" spans="2:8">
      <c r="B87">
        <f t="shared" si="7"/>
        <v>85</v>
      </c>
      <c r="C87">
        <f t="shared" si="8"/>
        <v>85</v>
      </c>
      <c r="D87">
        <f t="shared" si="9"/>
        <v>170</v>
      </c>
      <c r="E87">
        <v>10</v>
      </c>
      <c r="F87" t="str">
        <f t="shared" si="10"/>
        <v>85:85</v>
      </c>
      <c r="G87" t="str">
        <f t="shared" si="11"/>
        <v>85:170</v>
      </c>
      <c r="H87" t="str">
        <f t="shared" si="12"/>
        <v>85:10</v>
      </c>
    </row>
    <row r="88" spans="2:8">
      <c r="B88">
        <f t="shared" si="7"/>
        <v>86</v>
      </c>
      <c r="C88">
        <f t="shared" si="8"/>
        <v>86</v>
      </c>
      <c r="D88">
        <f t="shared" si="9"/>
        <v>172</v>
      </c>
      <c r="E88">
        <v>10</v>
      </c>
      <c r="F88" t="str">
        <f t="shared" si="10"/>
        <v>86:86</v>
      </c>
      <c r="G88" t="str">
        <f t="shared" si="11"/>
        <v>86:172</v>
      </c>
      <c r="H88" t="str">
        <f t="shared" si="12"/>
        <v>86:10</v>
      </c>
    </row>
    <row r="89" spans="2:8">
      <c r="B89">
        <f t="shared" si="7"/>
        <v>87</v>
      </c>
      <c r="C89">
        <f t="shared" si="8"/>
        <v>87</v>
      </c>
      <c r="D89">
        <f t="shared" si="9"/>
        <v>174</v>
      </c>
      <c r="E89">
        <v>10</v>
      </c>
      <c r="F89" t="str">
        <f t="shared" si="10"/>
        <v>87:87</v>
      </c>
      <c r="G89" t="str">
        <f t="shared" si="11"/>
        <v>87:174</v>
      </c>
      <c r="H89" t="str">
        <f t="shared" si="12"/>
        <v>87:10</v>
      </c>
    </row>
    <row r="90" spans="2:8">
      <c r="B90">
        <f t="shared" si="7"/>
        <v>88</v>
      </c>
      <c r="C90">
        <f t="shared" si="8"/>
        <v>88</v>
      </c>
      <c r="D90">
        <f t="shared" si="9"/>
        <v>176</v>
      </c>
      <c r="E90">
        <v>10</v>
      </c>
      <c r="F90" t="str">
        <f t="shared" si="10"/>
        <v>88:88</v>
      </c>
      <c r="G90" t="str">
        <f t="shared" si="11"/>
        <v>88:176</v>
      </c>
      <c r="H90" t="str">
        <f t="shared" si="12"/>
        <v>88:10</v>
      </c>
    </row>
    <row r="91" spans="2:8">
      <c r="B91">
        <f t="shared" si="7"/>
        <v>89</v>
      </c>
      <c r="C91">
        <f t="shared" si="8"/>
        <v>89</v>
      </c>
      <c r="D91">
        <f t="shared" si="9"/>
        <v>178</v>
      </c>
      <c r="E91">
        <v>10</v>
      </c>
      <c r="F91" t="str">
        <f t="shared" si="10"/>
        <v>89:89</v>
      </c>
      <c r="G91" t="str">
        <f t="shared" si="11"/>
        <v>89:178</v>
      </c>
      <c r="H91" t="str">
        <f t="shared" si="12"/>
        <v>89:10</v>
      </c>
    </row>
    <row r="92" spans="2:8">
      <c r="B92">
        <f t="shared" si="7"/>
        <v>90</v>
      </c>
      <c r="C92">
        <f t="shared" si="8"/>
        <v>90</v>
      </c>
      <c r="D92">
        <f t="shared" si="9"/>
        <v>180</v>
      </c>
      <c r="E92">
        <v>10</v>
      </c>
      <c r="F92" t="str">
        <f t="shared" si="10"/>
        <v>90:90</v>
      </c>
      <c r="G92" t="str">
        <f t="shared" si="11"/>
        <v>90:180</v>
      </c>
      <c r="H92" t="str">
        <f t="shared" si="12"/>
        <v>90:10</v>
      </c>
    </row>
    <row r="93" spans="2:8">
      <c r="B93">
        <f t="shared" si="7"/>
        <v>91</v>
      </c>
      <c r="C93">
        <f t="shared" si="8"/>
        <v>91</v>
      </c>
      <c r="D93">
        <f t="shared" si="9"/>
        <v>182</v>
      </c>
      <c r="E93">
        <v>10</v>
      </c>
      <c r="F93" t="str">
        <f t="shared" si="10"/>
        <v>91:91</v>
      </c>
      <c r="G93" t="str">
        <f t="shared" si="11"/>
        <v>91:182</v>
      </c>
      <c r="H93" t="str">
        <f t="shared" si="12"/>
        <v>91:10</v>
      </c>
    </row>
    <row r="94" spans="2:8">
      <c r="B94">
        <f t="shared" si="7"/>
        <v>92</v>
      </c>
      <c r="C94">
        <f t="shared" si="8"/>
        <v>92</v>
      </c>
      <c r="D94">
        <f t="shared" si="9"/>
        <v>184</v>
      </c>
      <c r="E94">
        <v>10</v>
      </c>
      <c r="F94" t="str">
        <f t="shared" si="10"/>
        <v>92:92</v>
      </c>
      <c r="G94" t="str">
        <f t="shared" si="11"/>
        <v>92:184</v>
      </c>
      <c r="H94" t="str">
        <f t="shared" si="12"/>
        <v>92:10</v>
      </c>
    </row>
    <row r="95" spans="2:8">
      <c r="B95">
        <f t="shared" ref="B95:B158" si="13">B94+1</f>
        <v>93</v>
      </c>
      <c r="C95">
        <f t="shared" si="8"/>
        <v>93</v>
      </c>
      <c r="D95">
        <f t="shared" si="9"/>
        <v>186</v>
      </c>
      <c r="E95">
        <v>10</v>
      </c>
      <c r="F95" t="str">
        <f t="shared" si="10"/>
        <v>93:93</v>
      </c>
      <c r="G95" t="str">
        <f t="shared" si="11"/>
        <v>93:186</v>
      </c>
      <c r="H95" t="str">
        <f t="shared" si="12"/>
        <v>93:10</v>
      </c>
    </row>
    <row r="96" spans="2:8">
      <c r="B96">
        <f t="shared" si="13"/>
        <v>94</v>
      </c>
      <c r="C96">
        <f t="shared" si="8"/>
        <v>94</v>
      </c>
      <c r="D96">
        <f t="shared" si="9"/>
        <v>188</v>
      </c>
      <c r="E96">
        <v>10</v>
      </c>
      <c r="F96" t="str">
        <f t="shared" si="10"/>
        <v>94:94</v>
      </c>
      <c r="G96" t="str">
        <f t="shared" si="11"/>
        <v>94:188</v>
      </c>
      <c r="H96" t="str">
        <f t="shared" si="12"/>
        <v>94:10</v>
      </c>
    </row>
    <row r="97" spans="2:8">
      <c r="B97">
        <f t="shared" si="13"/>
        <v>95</v>
      </c>
      <c r="C97">
        <f t="shared" si="8"/>
        <v>95</v>
      </c>
      <c r="D97">
        <f t="shared" si="9"/>
        <v>190</v>
      </c>
      <c r="E97">
        <v>10</v>
      </c>
      <c r="F97" t="str">
        <f t="shared" si="10"/>
        <v>95:95</v>
      </c>
      <c r="G97" t="str">
        <f t="shared" si="11"/>
        <v>95:190</v>
      </c>
      <c r="H97" t="str">
        <f t="shared" si="12"/>
        <v>95:10</v>
      </c>
    </row>
    <row r="98" spans="2:8">
      <c r="B98">
        <f t="shared" si="13"/>
        <v>96</v>
      </c>
      <c r="C98">
        <f t="shared" si="8"/>
        <v>96</v>
      </c>
      <c r="D98">
        <f t="shared" si="9"/>
        <v>192</v>
      </c>
      <c r="E98">
        <v>10</v>
      </c>
      <c r="F98" t="str">
        <f t="shared" si="10"/>
        <v>96:96</v>
      </c>
      <c r="G98" t="str">
        <f t="shared" si="11"/>
        <v>96:192</v>
      </c>
      <c r="H98" t="str">
        <f t="shared" si="12"/>
        <v>96:10</v>
      </c>
    </row>
    <row r="99" spans="2:8">
      <c r="B99">
        <f t="shared" si="13"/>
        <v>97</v>
      </c>
      <c r="C99">
        <f t="shared" si="8"/>
        <v>97</v>
      </c>
      <c r="D99">
        <f t="shared" si="9"/>
        <v>194</v>
      </c>
      <c r="E99">
        <v>10</v>
      </c>
      <c r="F99" t="str">
        <f t="shared" si="10"/>
        <v>97:97</v>
      </c>
      <c r="G99" t="str">
        <f t="shared" si="11"/>
        <v>97:194</v>
      </c>
      <c r="H99" t="str">
        <f t="shared" si="12"/>
        <v>97:10</v>
      </c>
    </row>
    <row r="100" spans="2:8">
      <c r="B100">
        <f t="shared" si="13"/>
        <v>98</v>
      </c>
      <c r="C100">
        <f t="shared" si="8"/>
        <v>98</v>
      </c>
      <c r="D100">
        <f t="shared" si="9"/>
        <v>196</v>
      </c>
      <c r="E100">
        <v>10</v>
      </c>
      <c r="F100" t="str">
        <f t="shared" si="10"/>
        <v>98:98</v>
      </c>
      <c r="G100" t="str">
        <f t="shared" si="11"/>
        <v>98:196</v>
      </c>
      <c r="H100" t="str">
        <f t="shared" si="12"/>
        <v>98:10</v>
      </c>
    </row>
    <row r="101" spans="2:8">
      <c r="B101">
        <f t="shared" si="13"/>
        <v>99</v>
      </c>
      <c r="C101">
        <f t="shared" si="8"/>
        <v>99</v>
      </c>
      <c r="D101">
        <f t="shared" si="9"/>
        <v>198</v>
      </c>
      <c r="E101">
        <v>10</v>
      </c>
      <c r="F101" t="str">
        <f t="shared" si="10"/>
        <v>99:99</v>
      </c>
      <c r="G101" t="str">
        <f t="shared" si="11"/>
        <v>99:198</v>
      </c>
      <c r="H101" t="str">
        <f t="shared" si="12"/>
        <v>99:10</v>
      </c>
    </row>
    <row r="102" spans="2:8">
      <c r="B102">
        <f t="shared" si="13"/>
        <v>100</v>
      </c>
      <c r="C102">
        <f t="shared" si="8"/>
        <v>100</v>
      </c>
      <c r="D102">
        <f t="shared" si="9"/>
        <v>200</v>
      </c>
      <c r="E102">
        <v>10</v>
      </c>
      <c r="F102" t="str">
        <f t="shared" si="10"/>
        <v>100:100</v>
      </c>
      <c r="G102" t="str">
        <f t="shared" si="11"/>
        <v>100:200</v>
      </c>
      <c r="H102" t="str">
        <f t="shared" si="12"/>
        <v>100:10</v>
      </c>
    </row>
    <row r="103" spans="2:8">
      <c r="B103">
        <f t="shared" si="13"/>
        <v>101</v>
      </c>
      <c r="C103">
        <f t="shared" si="8"/>
        <v>101</v>
      </c>
      <c r="D103">
        <f t="shared" si="9"/>
        <v>202</v>
      </c>
      <c r="E103">
        <v>10</v>
      </c>
      <c r="F103" t="str">
        <f t="shared" si="10"/>
        <v>101:101</v>
      </c>
      <c r="G103" t="str">
        <f t="shared" si="11"/>
        <v>101:202</v>
      </c>
      <c r="H103" t="str">
        <f t="shared" si="12"/>
        <v>101:10</v>
      </c>
    </row>
    <row r="104" spans="2:8">
      <c r="B104">
        <f t="shared" si="13"/>
        <v>102</v>
      </c>
      <c r="C104">
        <f t="shared" si="8"/>
        <v>102</v>
      </c>
      <c r="D104">
        <f t="shared" si="9"/>
        <v>204</v>
      </c>
      <c r="E104">
        <v>10</v>
      </c>
      <c r="F104" t="str">
        <f t="shared" si="10"/>
        <v>102:102</v>
      </c>
      <c r="G104" t="str">
        <f t="shared" si="11"/>
        <v>102:204</v>
      </c>
      <c r="H104" t="str">
        <f t="shared" si="12"/>
        <v>102:10</v>
      </c>
    </row>
    <row r="105" spans="2:8">
      <c r="B105">
        <f t="shared" si="13"/>
        <v>103</v>
      </c>
      <c r="C105">
        <f t="shared" si="8"/>
        <v>103</v>
      </c>
      <c r="D105">
        <f t="shared" si="9"/>
        <v>206</v>
      </c>
      <c r="E105">
        <v>10</v>
      </c>
      <c r="F105" t="str">
        <f t="shared" si="10"/>
        <v>103:103</v>
      </c>
      <c r="G105" t="str">
        <f t="shared" si="11"/>
        <v>103:206</v>
      </c>
      <c r="H105" t="str">
        <f t="shared" si="12"/>
        <v>103:10</v>
      </c>
    </row>
    <row r="106" spans="2:8">
      <c r="B106">
        <f t="shared" si="13"/>
        <v>104</v>
      </c>
      <c r="C106">
        <f t="shared" si="8"/>
        <v>104</v>
      </c>
      <c r="D106">
        <f t="shared" si="9"/>
        <v>208</v>
      </c>
      <c r="E106">
        <v>10</v>
      </c>
      <c r="F106" t="str">
        <f t="shared" si="10"/>
        <v>104:104</v>
      </c>
      <c r="G106" t="str">
        <f t="shared" si="11"/>
        <v>104:208</v>
      </c>
      <c r="H106" t="str">
        <f t="shared" si="12"/>
        <v>104:10</v>
      </c>
    </row>
    <row r="107" spans="2:8">
      <c r="B107">
        <f t="shared" si="13"/>
        <v>105</v>
      </c>
      <c r="C107">
        <f t="shared" si="8"/>
        <v>105</v>
      </c>
      <c r="D107">
        <f t="shared" si="9"/>
        <v>210</v>
      </c>
      <c r="E107">
        <v>10</v>
      </c>
      <c r="F107" t="str">
        <f t="shared" si="10"/>
        <v>105:105</v>
      </c>
      <c r="G107" t="str">
        <f t="shared" si="11"/>
        <v>105:210</v>
      </c>
      <c r="H107" t="str">
        <f t="shared" si="12"/>
        <v>105:10</v>
      </c>
    </row>
    <row r="108" spans="2:8">
      <c r="B108">
        <f t="shared" si="13"/>
        <v>106</v>
      </c>
      <c r="C108">
        <f t="shared" si="8"/>
        <v>106</v>
      </c>
      <c r="D108">
        <f t="shared" si="9"/>
        <v>212</v>
      </c>
      <c r="E108">
        <v>10</v>
      </c>
      <c r="F108" t="str">
        <f t="shared" si="10"/>
        <v>106:106</v>
      </c>
      <c r="G108" t="str">
        <f t="shared" si="11"/>
        <v>106:212</v>
      </c>
      <c r="H108" t="str">
        <f t="shared" si="12"/>
        <v>106:10</v>
      </c>
    </row>
    <row r="109" spans="2:8">
      <c r="B109">
        <f t="shared" si="13"/>
        <v>107</v>
      </c>
      <c r="C109">
        <f t="shared" si="8"/>
        <v>107</v>
      </c>
      <c r="D109">
        <f t="shared" si="9"/>
        <v>214</v>
      </c>
      <c r="E109">
        <v>10</v>
      </c>
      <c r="F109" t="str">
        <f t="shared" si="10"/>
        <v>107:107</v>
      </c>
      <c r="G109" t="str">
        <f t="shared" si="11"/>
        <v>107:214</v>
      </c>
      <c r="H109" t="str">
        <f t="shared" si="12"/>
        <v>107:10</v>
      </c>
    </row>
    <row r="110" spans="2:8">
      <c r="B110">
        <f t="shared" si="13"/>
        <v>108</v>
      </c>
      <c r="C110">
        <f t="shared" si="8"/>
        <v>108</v>
      </c>
      <c r="D110">
        <f t="shared" si="9"/>
        <v>216</v>
      </c>
      <c r="E110">
        <v>10</v>
      </c>
      <c r="F110" t="str">
        <f t="shared" si="10"/>
        <v>108:108</v>
      </c>
      <c r="G110" t="str">
        <f t="shared" si="11"/>
        <v>108:216</v>
      </c>
      <c r="H110" t="str">
        <f t="shared" si="12"/>
        <v>108:10</v>
      </c>
    </row>
    <row r="111" spans="2:8">
      <c r="B111">
        <f t="shared" si="13"/>
        <v>109</v>
      </c>
      <c r="C111">
        <f t="shared" si="8"/>
        <v>109</v>
      </c>
      <c r="D111">
        <f t="shared" si="9"/>
        <v>218</v>
      </c>
      <c r="E111">
        <v>10</v>
      </c>
      <c r="F111" t="str">
        <f t="shared" si="10"/>
        <v>109:109</v>
      </c>
      <c r="G111" t="str">
        <f t="shared" si="11"/>
        <v>109:218</v>
      </c>
      <c r="H111" t="str">
        <f t="shared" si="12"/>
        <v>109:10</v>
      </c>
    </row>
    <row r="112" spans="2:8">
      <c r="B112">
        <f t="shared" si="13"/>
        <v>110</v>
      </c>
      <c r="C112">
        <f t="shared" si="8"/>
        <v>110</v>
      </c>
      <c r="D112">
        <f t="shared" si="9"/>
        <v>220</v>
      </c>
      <c r="E112">
        <v>10</v>
      </c>
      <c r="F112" t="str">
        <f t="shared" si="10"/>
        <v>110:110</v>
      </c>
      <c r="G112" t="str">
        <f t="shared" si="11"/>
        <v>110:220</v>
      </c>
      <c r="H112" t="str">
        <f t="shared" si="12"/>
        <v>110:10</v>
      </c>
    </row>
    <row r="113" spans="2:8">
      <c r="B113">
        <f t="shared" si="13"/>
        <v>111</v>
      </c>
      <c r="C113">
        <f t="shared" si="8"/>
        <v>111</v>
      </c>
      <c r="D113">
        <f t="shared" si="9"/>
        <v>222</v>
      </c>
      <c r="E113">
        <v>10</v>
      </c>
      <c r="F113" t="str">
        <f t="shared" si="10"/>
        <v>111:111</v>
      </c>
      <c r="G113" t="str">
        <f t="shared" si="11"/>
        <v>111:222</v>
      </c>
      <c r="H113" t="str">
        <f t="shared" si="12"/>
        <v>111:10</v>
      </c>
    </row>
    <row r="114" spans="2:8">
      <c r="B114">
        <f t="shared" si="13"/>
        <v>112</v>
      </c>
      <c r="C114">
        <f t="shared" si="8"/>
        <v>112</v>
      </c>
      <c r="D114">
        <f t="shared" si="9"/>
        <v>224</v>
      </c>
      <c r="E114">
        <v>10</v>
      </c>
      <c r="F114" t="str">
        <f t="shared" si="10"/>
        <v>112:112</v>
      </c>
      <c r="G114" t="str">
        <f t="shared" si="11"/>
        <v>112:224</v>
      </c>
      <c r="H114" t="str">
        <f t="shared" si="12"/>
        <v>112:10</v>
      </c>
    </row>
    <row r="115" spans="2:8">
      <c r="B115">
        <f t="shared" si="13"/>
        <v>113</v>
      </c>
      <c r="C115">
        <f t="shared" si="8"/>
        <v>113</v>
      </c>
      <c r="D115">
        <f t="shared" si="9"/>
        <v>226</v>
      </c>
      <c r="E115">
        <v>10</v>
      </c>
      <c r="F115" t="str">
        <f t="shared" si="10"/>
        <v>113:113</v>
      </c>
      <c r="G115" t="str">
        <f t="shared" si="11"/>
        <v>113:226</v>
      </c>
      <c r="H115" t="str">
        <f t="shared" si="12"/>
        <v>113:10</v>
      </c>
    </row>
    <row r="116" spans="2:8">
      <c r="B116">
        <f t="shared" si="13"/>
        <v>114</v>
      </c>
      <c r="C116">
        <f t="shared" si="8"/>
        <v>114</v>
      </c>
      <c r="D116">
        <f t="shared" si="9"/>
        <v>228</v>
      </c>
      <c r="E116">
        <v>10</v>
      </c>
      <c r="F116" t="str">
        <f t="shared" si="10"/>
        <v>114:114</v>
      </c>
      <c r="G116" t="str">
        <f t="shared" si="11"/>
        <v>114:228</v>
      </c>
      <c r="H116" t="str">
        <f t="shared" si="12"/>
        <v>114:10</v>
      </c>
    </row>
    <row r="117" spans="2:8">
      <c r="B117">
        <f t="shared" si="13"/>
        <v>115</v>
      </c>
      <c r="C117">
        <f t="shared" si="8"/>
        <v>115</v>
      </c>
      <c r="D117">
        <f t="shared" si="9"/>
        <v>230</v>
      </c>
      <c r="E117">
        <v>10</v>
      </c>
      <c r="F117" t="str">
        <f t="shared" si="10"/>
        <v>115:115</v>
      </c>
      <c r="G117" t="str">
        <f t="shared" si="11"/>
        <v>115:230</v>
      </c>
      <c r="H117" t="str">
        <f t="shared" si="12"/>
        <v>115:10</v>
      </c>
    </row>
    <row r="118" spans="2:8">
      <c r="B118">
        <f t="shared" si="13"/>
        <v>116</v>
      </c>
      <c r="C118">
        <f t="shared" si="8"/>
        <v>116</v>
      </c>
      <c r="D118">
        <f t="shared" si="9"/>
        <v>232</v>
      </c>
      <c r="E118">
        <v>10</v>
      </c>
      <c r="F118" t="str">
        <f t="shared" si="10"/>
        <v>116:116</v>
      </c>
      <c r="G118" t="str">
        <f t="shared" si="11"/>
        <v>116:232</v>
      </c>
      <c r="H118" t="str">
        <f t="shared" si="12"/>
        <v>116:10</v>
      </c>
    </row>
    <row r="119" spans="2:8">
      <c r="B119">
        <f t="shared" si="13"/>
        <v>117</v>
      </c>
      <c r="C119">
        <f t="shared" si="8"/>
        <v>117</v>
      </c>
      <c r="D119">
        <f t="shared" si="9"/>
        <v>234</v>
      </c>
      <c r="E119">
        <v>10</v>
      </c>
      <c r="F119" t="str">
        <f t="shared" si="10"/>
        <v>117:117</v>
      </c>
      <c r="G119" t="str">
        <f t="shared" si="11"/>
        <v>117:234</v>
      </c>
      <c r="H119" t="str">
        <f t="shared" si="12"/>
        <v>117:10</v>
      </c>
    </row>
    <row r="120" spans="2:8">
      <c r="B120">
        <f t="shared" si="13"/>
        <v>118</v>
      </c>
      <c r="C120">
        <f t="shared" si="8"/>
        <v>118</v>
      </c>
      <c r="D120">
        <f t="shared" si="9"/>
        <v>236</v>
      </c>
      <c r="E120">
        <v>10</v>
      </c>
      <c r="F120" t="str">
        <f t="shared" si="10"/>
        <v>118:118</v>
      </c>
      <c r="G120" t="str">
        <f t="shared" si="11"/>
        <v>118:236</v>
      </c>
      <c r="H120" t="str">
        <f t="shared" si="12"/>
        <v>118:10</v>
      </c>
    </row>
    <row r="121" spans="2:8">
      <c r="B121">
        <f t="shared" si="13"/>
        <v>119</v>
      </c>
      <c r="C121">
        <f t="shared" si="8"/>
        <v>119</v>
      </c>
      <c r="D121">
        <f t="shared" si="9"/>
        <v>238</v>
      </c>
      <c r="E121">
        <v>10</v>
      </c>
      <c r="F121" t="str">
        <f t="shared" si="10"/>
        <v>119:119</v>
      </c>
      <c r="G121" t="str">
        <f t="shared" si="11"/>
        <v>119:238</v>
      </c>
      <c r="H121" t="str">
        <f t="shared" si="12"/>
        <v>119:10</v>
      </c>
    </row>
    <row r="122" spans="2:8">
      <c r="B122">
        <f t="shared" si="13"/>
        <v>120</v>
      </c>
      <c r="C122">
        <f t="shared" si="8"/>
        <v>120</v>
      </c>
      <c r="D122">
        <f t="shared" si="9"/>
        <v>240</v>
      </c>
      <c r="E122">
        <v>10</v>
      </c>
      <c r="F122" t="str">
        <f t="shared" si="10"/>
        <v>120:120</v>
      </c>
      <c r="G122" t="str">
        <f t="shared" si="11"/>
        <v>120:240</v>
      </c>
      <c r="H122" t="str">
        <f t="shared" si="12"/>
        <v>120:10</v>
      </c>
    </row>
    <row r="123" spans="2:8">
      <c r="B123">
        <f t="shared" si="13"/>
        <v>121</v>
      </c>
      <c r="C123">
        <f t="shared" si="8"/>
        <v>121</v>
      </c>
      <c r="D123">
        <f t="shared" si="9"/>
        <v>242</v>
      </c>
      <c r="E123">
        <v>10</v>
      </c>
      <c r="F123" t="str">
        <f t="shared" si="10"/>
        <v>121:121</v>
      </c>
      <c r="G123" t="str">
        <f t="shared" si="11"/>
        <v>121:242</v>
      </c>
      <c r="H123" t="str">
        <f t="shared" si="12"/>
        <v>121:10</v>
      </c>
    </row>
    <row r="124" spans="2:8">
      <c r="B124">
        <f t="shared" si="13"/>
        <v>122</v>
      </c>
      <c r="C124">
        <f t="shared" si="8"/>
        <v>122</v>
      </c>
      <c r="D124">
        <f t="shared" si="9"/>
        <v>244</v>
      </c>
      <c r="E124">
        <v>10</v>
      </c>
      <c r="F124" t="str">
        <f t="shared" si="10"/>
        <v>122:122</v>
      </c>
      <c r="G124" t="str">
        <f t="shared" si="11"/>
        <v>122:244</v>
      </c>
      <c r="H124" t="str">
        <f t="shared" si="12"/>
        <v>122:10</v>
      </c>
    </row>
    <row r="125" spans="2:8">
      <c r="B125">
        <f t="shared" si="13"/>
        <v>123</v>
      </c>
      <c r="C125">
        <f t="shared" si="8"/>
        <v>123</v>
      </c>
      <c r="D125">
        <f t="shared" si="9"/>
        <v>246</v>
      </c>
      <c r="E125">
        <v>10</v>
      </c>
      <c r="F125" t="str">
        <f t="shared" si="10"/>
        <v>123:123</v>
      </c>
      <c r="G125" t="str">
        <f t="shared" si="11"/>
        <v>123:246</v>
      </c>
      <c r="H125" t="str">
        <f t="shared" si="12"/>
        <v>123:10</v>
      </c>
    </row>
    <row r="126" spans="2:8">
      <c r="B126">
        <f t="shared" si="13"/>
        <v>124</v>
      </c>
      <c r="C126">
        <f t="shared" si="8"/>
        <v>124</v>
      </c>
      <c r="D126">
        <f t="shared" si="9"/>
        <v>248</v>
      </c>
      <c r="E126">
        <v>10</v>
      </c>
      <c r="F126" t="str">
        <f t="shared" si="10"/>
        <v>124:124</v>
      </c>
      <c r="G126" t="str">
        <f t="shared" si="11"/>
        <v>124:248</v>
      </c>
      <c r="H126" t="str">
        <f t="shared" si="12"/>
        <v>124:10</v>
      </c>
    </row>
    <row r="127" spans="2:8">
      <c r="B127">
        <f t="shared" si="13"/>
        <v>125</v>
      </c>
      <c r="C127">
        <f t="shared" si="8"/>
        <v>125</v>
      </c>
      <c r="D127">
        <f t="shared" si="9"/>
        <v>250</v>
      </c>
      <c r="E127">
        <v>10</v>
      </c>
      <c r="F127" t="str">
        <f t="shared" si="10"/>
        <v>125:125</v>
      </c>
      <c r="G127" t="str">
        <f t="shared" si="11"/>
        <v>125:250</v>
      </c>
      <c r="H127" t="str">
        <f t="shared" si="12"/>
        <v>125:10</v>
      </c>
    </row>
    <row r="128" spans="2:8">
      <c r="B128">
        <f t="shared" si="13"/>
        <v>126</v>
      </c>
      <c r="C128">
        <f t="shared" si="8"/>
        <v>126</v>
      </c>
      <c r="D128">
        <f t="shared" si="9"/>
        <v>252</v>
      </c>
      <c r="E128">
        <v>10</v>
      </c>
      <c r="F128" t="str">
        <f t="shared" si="10"/>
        <v>126:126</v>
      </c>
      <c r="G128" t="str">
        <f t="shared" si="11"/>
        <v>126:252</v>
      </c>
      <c r="H128" t="str">
        <f t="shared" si="12"/>
        <v>126:10</v>
      </c>
    </row>
    <row r="129" spans="2:8">
      <c r="B129">
        <f t="shared" si="13"/>
        <v>127</v>
      </c>
      <c r="C129">
        <f t="shared" si="8"/>
        <v>127</v>
      </c>
      <c r="D129">
        <f t="shared" si="9"/>
        <v>254</v>
      </c>
      <c r="E129">
        <v>10</v>
      </c>
      <c r="F129" t="str">
        <f t="shared" si="10"/>
        <v>127:127</v>
      </c>
      <c r="G129" t="str">
        <f t="shared" si="11"/>
        <v>127:254</v>
      </c>
      <c r="H129" t="str">
        <f t="shared" si="12"/>
        <v>127:10</v>
      </c>
    </row>
    <row r="130" spans="2:8">
      <c r="B130">
        <f t="shared" si="13"/>
        <v>128</v>
      </c>
      <c r="C130">
        <f t="shared" si="8"/>
        <v>128</v>
      </c>
      <c r="D130">
        <f t="shared" si="9"/>
        <v>256</v>
      </c>
      <c r="E130">
        <v>10</v>
      </c>
      <c r="F130" t="str">
        <f t="shared" si="10"/>
        <v>128:128</v>
      </c>
      <c r="G130" t="str">
        <f t="shared" si="11"/>
        <v>128:256</v>
      </c>
      <c r="H130" t="str">
        <f t="shared" si="12"/>
        <v>128:10</v>
      </c>
    </row>
    <row r="131" spans="2:8">
      <c r="B131">
        <f t="shared" si="13"/>
        <v>129</v>
      </c>
      <c r="C131">
        <f t="shared" si="8"/>
        <v>129</v>
      </c>
      <c r="D131">
        <f t="shared" si="9"/>
        <v>258</v>
      </c>
      <c r="E131">
        <v>10</v>
      </c>
      <c r="F131" t="str">
        <f t="shared" si="10"/>
        <v>129:129</v>
      </c>
      <c r="G131" t="str">
        <f t="shared" si="11"/>
        <v>129:258</v>
      </c>
      <c r="H131" t="str">
        <f t="shared" si="12"/>
        <v>129:10</v>
      </c>
    </row>
    <row r="132" spans="2:8">
      <c r="B132">
        <f t="shared" si="13"/>
        <v>130</v>
      </c>
      <c r="C132">
        <f t="shared" ref="C132:C162" si="14">B132</f>
        <v>130</v>
      </c>
      <c r="D132">
        <f t="shared" ref="D132:D162" si="15">C132*2</f>
        <v>260</v>
      </c>
      <c r="E132">
        <v>10</v>
      </c>
      <c r="F132" t="str">
        <f t="shared" ref="F132:F162" si="16">$B132&amp;":"&amp;C132</f>
        <v>130:130</v>
      </c>
      <c r="G132" t="str">
        <f t="shared" ref="G132:G162" si="17">$B132&amp;":"&amp;D132</f>
        <v>130:260</v>
      </c>
      <c r="H132" t="str">
        <f t="shared" ref="H132:H162" si="18">$B132&amp;":"&amp;E132</f>
        <v>130:10</v>
      </c>
    </row>
    <row r="133" spans="2:8">
      <c r="B133">
        <f t="shared" si="13"/>
        <v>131</v>
      </c>
      <c r="C133">
        <f t="shared" si="14"/>
        <v>131</v>
      </c>
      <c r="D133">
        <f t="shared" si="15"/>
        <v>262</v>
      </c>
      <c r="E133">
        <v>10</v>
      </c>
      <c r="F133" t="str">
        <f t="shared" si="16"/>
        <v>131:131</v>
      </c>
      <c r="G133" t="str">
        <f t="shared" si="17"/>
        <v>131:262</v>
      </c>
      <c r="H133" t="str">
        <f t="shared" si="18"/>
        <v>131:10</v>
      </c>
    </row>
    <row r="134" spans="2:8">
      <c r="B134">
        <f t="shared" si="13"/>
        <v>132</v>
      </c>
      <c r="C134">
        <f t="shared" si="14"/>
        <v>132</v>
      </c>
      <c r="D134">
        <f t="shared" si="15"/>
        <v>264</v>
      </c>
      <c r="E134">
        <v>10</v>
      </c>
      <c r="F134" t="str">
        <f t="shared" si="16"/>
        <v>132:132</v>
      </c>
      <c r="G134" t="str">
        <f t="shared" si="17"/>
        <v>132:264</v>
      </c>
      <c r="H134" t="str">
        <f t="shared" si="18"/>
        <v>132:10</v>
      </c>
    </row>
    <row r="135" spans="2:8">
      <c r="B135">
        <f t="shared" si="13"/>
        <v>133</v>
      </c>
      <c r="C135">
        <f t="shared" si="14"/>
        <v>133</v>
      </c>
      <c r="D135">
        <f t="shared" si="15"/>
        <v>266</v>
      </c>
      <c r="E135">
        <v>10</v>
      </c>
      <c r="F135" t="str">
        <f t="shared" si="16"/>
        <v>133:133</v>
      </c>
      <c r="G135" t="str">
        <f t="shared" si="17"/>
        <v>133:266</v>
      </c>
      <c r="H135" t="str">
        <f t="shared" si="18"/>
        <v>133:10</v>
      </c>
    </row>
    <row r="136" spans="2:8">
      <c r="B136">
        <f t="shared" si="13"/>
        <v>134</v>
      </c>
      <c r="C136">
        <f t="shared" si="14"/>
        <v>134</v>
      </c>
      <c r="D136">
        <f t="shared" si="15"/>
        <v>268</v>
      </c>
      <c r="E136">
        <v>10</v>
      </c>
      <c r="F136" t="str">
        <f t="shared" si="16"/>
        <v>134:134</v>
      </c>
      <c r="G136" t="str">
        <f t="shared" si="17"/>
        <v>134:268</v>
      </c>
      <c r="H136" t="str">
        <f t="shared" si="18"/>
        <v>134:10</v>
      </c>
    </row>
    <row r="137" spans="2:8">
      <c r="B137">
        <f t="shared" si="13"/>
        <v>135</v>
      </c>
      <c r="C137">
        <f t="shared" si="14"/>
        <v>135</v>
      </c>
      <c r="D137">
        <f t="shared" si="15"/>
        <v>270</v>
      </c>
      <c r="E137">
        <v>10</v>
      </c>
      <c r="F137" t="str">
        <f t="shared" si="16"/>
        <v>135:135</v>
      </c>
      <c r="G137" t="str">
        <f t="shared" si="17"/>
        <v>135:270</v>
      </c>
      <c r="H137" t="str">
        <f t="shared" si="18"/>
        <v>135:10</v>
      </c>
    </row>
    <row r="138" spans="2:8">
      <c r="B138">
        <f t="shared" si="13"/>
        <v>136</v>
      </c>
      <c r="C138">
        <f t="shared" si="14"/>
        <v>136</v>
      </c>
      <c r="D138">
        <f t="shared" si="15"/>
        <v>272</v>
      </c>
      <c r="E138">
        <v>10</v>
      </c>
      <c r="F138" t="str">
        <f t="shared" si="16"/>
        <v>136:136</v>
      </c>
      <c r="G138" t="str">
        <f t="shared" si="17"/>
        <v>136:272</v>
      </c>
      <c r="H138" t="str">
        <f t="shared" si="18"/>
        <v>136:10</v>
      </c>
    </row>
    <row r="139" spans="2:8">
      <c r="B139">
        <f t="shared" si="13"/>
        <v>137</v>
      </c>
      <c r="C139">
        <f t="shared" si="14"/>
        <v>137</v>
      </c>
      <c r="D139">
        <f t="shared" si="15"/>
        <v>274</v>
      </c>
      <c r="E139">
        <v>10</v>
      </c>
      <c r="F139" t="str">
        <f t="shared" si="16"/>
        <v>137:137</v>
      </c>
      <c r="G139" t="str">
        <f t="shared" si="17"/>
        <v>137:274</v>
      </c>
      <c r="H139" t="str">
        <f t="shared" si="18"/>
        <v>137:10</v>
      </c>
    </row>
    <row r="140" spans="2:8">
      <c r="B140">
        <f t="shared" si="13"/>
        <v>138</v>
      </c>
      <c r="C140">
        <f t="shared" si="14"/>
        <v>138</v>
      </c>
      <c r="D140">
        <f t="shared" si="15"/>
        <v>276</v>
      </c>
      <c r="E140">
        <v>10</v>
      </c>
      <c r="F140" t="str">
        <f t="shared" si="16"/>
        <v>138:138</v>
      </c>
      <c r="G140" t="str">
        <f t="shared" si="17"/>
        <v>138:276</v>
      </c>
      <c r="H140" t="str">
        <f t="shared" si="18"/>
        <v>138:10</v>
      </c>
    </row>
    <row r="141" spans="2:8">
      <c r="B141">
        <f t="shared" si="13"/>
        <v>139</v>
      </c>
      <c r="C141">
        <f t="shared" si="14"/>
        <v>139</v>
      </c>
      <c r="D141">
        <f t="shared" si="15"/>
        <v>278</v>
      </c>
      <c r="E141">
        <v>10</v>
      </c>
      <c r="F141" t="str">
        <f t="shared" si="16"/>
        <v>139:139</v>
      </c>
      <c r="G141" t="str">
        <f t="shared" si="17"/>
        <v>139:278</v>
      </c>
      <c r="H141" t="str">
        <f t="shared" si="18"/>
        <v>139:10</v>
      </c>
    </row>
    <row r="142" spans="2:8">
      <c r="B142">
        <f t="shared" si="13"/>
        <v>140</v>
      </c>
      <c r="C142">
        <f t="shared" si="14"/>
        <v>140</v>
      </c>
      <c r="D142">
        <f t="shared" si="15"/>
        <v>280</v>
      </c>
      <c r="E142">
        <v>10</v>
      </c>
      <c r="F142" t="str">
        <f t="shared" si="16"/>
        <v>140:140</v>
      </c>
      <c r="G142" t="str">
        <f t="shared" si="17"/>
        <v>140:280</v>
      </c>
      <c r="H142" t="str">
        <f t="shared" si="18"/>
        <v>140:10</v>
      </c>
    </row>
    <row r="143" spans="2:8">
      <c r="B143">
        <f t="shared" si="13"/>
        <v>141</v>
      </c>
      <c r="C143">
        <f t="shared" si="14"/>
        <v>141</v>
      </c>
      <c r="D143">
        <f t="shared" si="15"/>
        <v>282</v>
      </c>
      <c r="E143">
        <v>10</v>
      </c>
      <c r="F143" t="str">
        <f t="shared" si="16"/>
        <v>141:141</v>
      </c>
      <c r="G143" t="str">
        <f t="shared" si="17"/>
        <v>141:282</v>
      </c>
      <c r="H143" t="str">
        <f t="shared" si="18"/>
        <v>141:10</v>
      </c>
    </row>
    <row r="144" spans="2:8">
      <c r="B144">
        <f t="shared" si="13"/>
        <v>142</v>
      </c>
      <c r="C144">
        <f t="shared" si="14"/>
        <v>142</v>
      </c>
      <c r="D144">
        <f t="shared" si="15"/>
        <v>284</v>
      </c>
      <c r="E144">
        <v>10</v>
      </c>
      <c r="F144" t="str">
        <f t="shared" si="16"/>
        <v>142:142</v>
      </c>
      <c r="G144" t="str">
        <f t="shared" si="17"/>
        <v>142:284</v>
      </c>
      <c r="H144" t="str">
        <f t="shared" si="18"/>
        <v>142:10</v>
      </c>
    </row>
    <row r="145" spans="2:8">
      <c r="B145">
        <f t="shared" si="13"/>
        <v>143</v>
      </c>
      <c r="C145">
        <f t="shared" si="14"/>
        <v>143</v>
      </c>
      <c r="D145">
        <f t="shared" si="15"/>
        <v>286</v>
      </c>
      <c r="E145">
        <v>10</v>
      </c>
      <c r="F145" t="str">
        <f t="shared" si="16"/>
        <v>143:143</v>
      </c>
      <c r="G145" t="str">
        <f t="shared" si="17"/>
        <v>143:286</v>
      </c>
      <c r="H145" t="str">
        <f t="shared" si="18"/>
        <v>143:10</v>
      </c>
    </row>
    <row r="146" spans="2:8">
      <c r="B146">
        <f t="shared" si="13"/>
        <v>144</v>
      </c>
      <c r="C146">
        <f t="shared" si="14"/>
        <v>144</v>
      </c>
      <c r="D146">
        <f t="shared" si="15"/>
        <v>288</v>
      </c>
      <c r="E146">
        <v>10</v>
      </c>
      <c r="F146" t="str">
        <f t="shared" si="16"/>
        <v>144:144</v>
      </c>
      <c r="G146" t="str">
        <f t="shared" si="17"/>
        <v>144:288</v>
      </c>
      <c r="H146" t="str">
        <f t="shared" si="18"/>
        <v>144:10</v>
      </c>
    </row>
    <row r="147" spans="2:8">
      <c r="B147">
        <f t="shared" si="13"/>
        <v>145</v>
      </c>
      <c r="C147">
        <f t="shared" si="14"/>
        <v>145</v>
      </c>
      <c r="D147">
        <f t="shared" si="15"/>
        <v>290</v>
      </c>
      <c r="E147">
        <v>10</v>
      </c>
      <c r="F147" t="str">
        <f t="shared" si="16"/>
        <v>145:145</v>
      </c>
      <c r="G147" t="str">
        <f t="shared" si="17"/>
        <v>145:290</v>
      </c>
      <c r="H147" t="str">
        <f t="shared" si="18"/>
        <v>145:10</v>
      </c>
    </row>
    <row r="148" spans="2:8">
      <c r="B148">
        <f t="shared" si="13"/>
        <v>146</v>
      </c>
      <c r="C148">
        <f t="shared" si="14"/>
        <v>146</v>
      </c>
      <c r="D148">
        <f t="shared" si="15"/>
        <v>292</v>
      </c>
      <c r="E148">
        <v>10</v>
      </c>
      <c r="F148" t="str">
        <f t="shared" si="16"/>
        <v>146:146</v>
      </c>
      <c r="G148" t="str">
        <f t="shared" si="17"/>
        <v>146:292</v>
      </c>
      <c r="H148" t="str">
        <f t="shared" si="18"/>
        <v>146:10</v>
      </c>
    </row>
    <row r="149" spans="2:8">
      <c r="B149">
        <f t="shared" si="13"/>
        <v>147</v>
      </c>
      <c r="C149">
        <f t="shared" si="14"/>
        <v>147</v>
      </c>
      <c r="D149">
        <f t="shared" si="15"/>
        <v>294</v>
      </c>
      <c r="E149">
        <v>10</v>
      </c>
      <c r="F149" t="str">
        <f t="shared" si="16"/>
        <v>147:147</v>
      </c>
      <c r="G149" t="str">
        <f t="shared" si="17"/>
        <v>147:294</v>
      </c>
      <c r="H149" t="str">
        <f t="shared" si="18"/>
        <v>147:10</v>
      </c>
    </row>
    <row r="150" spans="2:8">
      <c r="B150">
        <f t="shared" si="13"/>
        <v>148</v>
      </c>
      <c r="C150">
        <f t="shared" si="14"/>
        <v>148</v>
      </c>
      <c r="D150">
        <f t="shared" si="15"/>
        <v>296</v>
      </c>
      <c r="E150">
        <v>10</v>
      </c>
      <c r="F150" t="str">
        <f t="shared" si="16"/>
        <v>148:148</v>
      </c>
      <c r="G150" t="str">
        <f t="shared" si="17"/>
        <v>148:296</v>
      </c>
      <c r="H150" t="str">
        <f t="shared" si="18"/>
        <v>148:10</v>
      </c>
    </row>
    <row r="151" spans="2:8">
      <c r="B151">
        <f t="shared" si="13"/>
        <v>149</v>
      </c>
      <c r="C151">
        <f t="shared" si="14"/>
        <v>149</v>
      </c>
      <c r="D151">
        <f t="shared" si="15"/>
        <v>298</v>
      </c>
      <c r="E151">
        <v>10</v>
      </c>
      <c r="F151" t="str">
        <f t="shared" si="16"/>
        <v>149:149</v>
      </c>
      <c r="G151" t="str">
        <f t="shared" si="17"/>
        <v>149:298</v>
      </c>
      <c r="H151" t="str">
        <f t="shared" si="18"/>
        <v>149:10</v>
      </c>
    </row>
    <row r="152" spans="2:8">
      <c r="B152">
        <f t="shared" si="13"/>
        <v>150</v>
      </c>
      <c r="C152">
        <f t="shared" si="14"/>
        <v>150</v>
      </c>
      <c r="D152">
        <f t="shared" si="15"/>
        <v>300</v>
      </c>
      <c r="E152">
        <v>10</v>
      </c>
      <c r="F152" t="str">
        <f t="shared" si="16"/>
        <v>150:150</v>
      </c>
      <c r="G152" t="str">
        <f t="shared" si="17"/>
        <v>150:300</v>
      </c>
      <c r="H152" t="str">
        <f t="shared" si="18"/>
        <v>150:10</v>
      </c>
    </row>
    <row r="153" spans="2:8">
      <c r="B153">
        <f t="shared" si="13"/>
        <v>151</v>
      </c>
      <c r="C153">
        <f t="shared" si="14"/>
        <v>151</v>
      </c>
      <c r="D153">
        <f t="shared" si="15"/>
        <v>302</v>
      </c>
      <c r="E153">
        <v>10</v>
      </c>
      <c r="F153" t="str">
        <f t="shared" si="16"/>
        <v>151:151</v>
      </c>
      <c r="G153" t="str">
        <f t="shared" si="17"/>
        <v>151:302</v>
      </c>
      <c r="H153" t="str">
        <f t="shared" si="18"/>
        <v>151:10</v>
      </c>
    </row>
    <row r="154" spans="2:8">
      <c r="B154">
        <f t="shared" si="13"/>
        <v>152</v>
      </c>
      <c r="C154">
        <f t="shared" si="14"/>
        <v>152</v>
      </c>
      <c r="D154">
        <f t="shared" si="15"/>
        <v>304</v>
      </c>
      <c r="E154">
        <v>10</v>
      </c>
      <c r="F154" t="str">
        <f t="shared" si="16"/>
        <v>152:152</v>
      </c>
      <c r="G154" t="str">
        <f t="shared" si="17"/>
        <v>152:304</v>
      </c>
      <c r="H154" t="str">
        <f t="shared" si="18"/>
        <v>152:10</v>
      </c>
    </row>
    <row r="155" spans="2:8">
      <c r="B155">
        <f t="shared" si="13"/>
        <v>153</v>
      </c>
      <c r="C155">
        <f t="shared" si="14"/>
        <v>153</v>
      </c>
      <c r="D155">
        <f t="shared" si="15"/>
        <v>306</v>
      </c>
      <c r="E155">
        <v>10</v>
      </c>
      <c r="F155" t="str">
        <f t="shared" si="16"/>
        <v>153:153</v>
      </c>
      <c r="G155" t="str">
        <f t="shared" si="17"/>
        <v>153:306</v>
      </c>
      <c r="H155" t="str">
        <f t="shared" si="18"/>
        <v>153:10</v>
      </c>
    </row>
    <row r="156" spans="2:8">
      <c r="B156">
        <f t="shared" si="13"/>
        <v>154</v>
      </c>
      <c r="C156">
        <f t="shared" si="14"/>
        <v>154</v>
      </c>
      <c r="D156">
        <f t="shared" si="15"/>
        <v>308</v>
      </c>
      <c r="E156">
        <v>10</v>
      </c>
      <c r="F156" t="str">
        <f t="shared" si="16"/>
        <v>154:154</v>
      </c>
      <c r="G156" t="str">
        <f t="shared" si="17"/>
        <v>154:308</v>
      </c>
      <c r="H156" t="str">
        <f t="shared" si="18"/>
        <v>154:10</v>
      </c>
    </row>
    <row r="157" spans="2:8">
      <c r="B157">
        <f t="shared" si="13"/>
        <v>155</v>
      </c>
      <c r="C157">
        <f t="shared" si="14"/>
        <v>155</v>
      </c>
      <c r="D157">
        <f t="shared" si="15"/>
        <v>310</v>
      </c>
      <c r="E157">
        <v>10</v>
      </c>
      <c r="F157" t="str">
        <f t="shared" si="16"/>
        <v>155:155</v>
      </c>
      <c r="G157" t="str">
        <f t="shared" si="17"/>
        <v>155:310</v>
      </c>
      <c r="H157" t="str">
        <f t="shared" si="18"/>
        <v>155:10</v>
      </c>
    </row>
    <row r="158" spans="2:8">
      <c r="B158">
        <f t="shared" si="13"/>
        <v>156</v>
      </c>
      <c r="C158">
        <f t="shared" si="14"/>
        <v>156</v>
      </c>
      <c r="D158">
        <f t="shared" si="15"/>
        <v>312</v>
      </c>
      <c r="E158">
        <v>10</v>
      </c>
      <c r="F158" t="str">
        <f t="shared" si="16"/>
        <v>156:156</v>
      </c>
      <c r="G158" t="str">
        <f t="shared" si="17"/>
        <v>156:312</v>
      </c>
      <c r="H158" t="str">
        <f t="shared" si="18"/>
        <v>156:10</v>
      </c>
    </row>
    <row r="159" spans="2:8">
      <c r="B159">
        <f t="shared" ref="B159:B162" si="19">B158+1</f>
        <v>157</v>
      </c>
      <c r="C159">
        <f t="shared" si="14"/>
        <v>157</v>
      </c>
      <c r="D159">
        <f t="shared" si="15"/>
        <v>314</v>
      </c>
      <c r="E159">
        <v>10</v>
      </c>
      <c r="F159" t="str">
        <f t="shared" si="16"/>
        <v>157:157</v>
      </c>
      <c r="G159" t="str">
        <f t="shared" si="17"/>
        <v>157:314</v>
      </c>
      <c r="H159" t="str">
        <f t="shared" si="18"/>
        <v>157:10</v>
      </c>
    </row>
    <row r="160" spans="2:8">
      <c r="B160">
        <f t="shared" si="19"/>
        <v>158</v>
      </c>
      <c r="C160">
        <f t="shared" si="14"/>
        <v>158</v>
      </c>
      <c r="D160">
        <f t="shared" si="15"/>
        <v>316</v>
      </c>
      <c r="E160">
        <v>10</v>
      </c>
      <c r="F160" t="str">
        <f t="shared" si="16"/>
        <v>158:158</v>
      </c>
      <c r="G160" t="str">
        <f t="shared" si="17"/>
        <v>158:316</v>
      </c>
      <c r="H160" t="str">
        <f t="shared" si="18"/>
        <v>158:10</v>
      </c>
    </row>
    <row r="161" spans="2:8">
      <c r="B161">
        <f t="shared" si="19"/>
        <v>159</v>
      </c>
      <c r="C161">
        <f t="shared" si="14"/>
        <v>159</v>
      </c>
      <c r="D161">
        <f t="shared" si="15"/>
        <v>318</v>
      </c>
      <c r="E161">
        <v>10</v>
      </c>
      <c r="F161" t="str">
        <f t="shared" si="16"/>
        <v>159:159</v>
      </c>
      <c r="G161" t="str">
        <f t="shared" si="17"/>
        <v>159:318</v>
      </c>
      <c r="H161" t="str">
        <f t="shared" si="18"/>
        <v>159:10</v>
      </c>
    </row>
    <row r="162" spans="2:8">
      <c r="B162">
        <f t="shared" si="19"/>
        <v>160</v>
      </c>
      <c r="C162">
        <f t="shared" si="14"/>
        <v>160</v>
      </c>
      <c r="D162">
        <f t="shared" si="15"/>
        <v>320</v>
      </c>
      <c r="E162">
        <v>10</v>
      </c>
      <c r="F162" t="str">
        <f t="shared" si="16"/>
        <v>160:160</v>
      </c>
      <c r="G162" t="str">
        <f t="shared" si="17"/>
        <v>160:320</v>
      </c>
      <c r="H162" t="str">
        <f t="shared" si="18"/>
        <v>160:10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maze_foe_v8</vt:lpstr>
      <vt:lpstr>怪物难度</vt:lpstr>
      <vt:lpstr>备注资源组与动作id</vt:lpstr>
      <vt:lpstr>掉落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神の尸姬＆</cp:lastModifiedBy>
  <dcterms:created xsi:type="dcterms:W3CDTF">2015-06-05T18:19:00Z</dcterms:created>
  <dcterms:modified xsi:type="dcterms:W3CDTF">2025-07-31T13:33:19Z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A4B279333AA34C19BA9AA3AB82511DEA_12</vt:lpwstr>
  </property>
  <property fmtid="{D5CDD505-2E9C-101B-9397-08002B2CF9AE}" pid="3" name="KSOProductBuildVer">
    <vt:lpwstr>2052-12.1.0.22215</vt:lpwstr>
  </property>
</Properties>
</file>