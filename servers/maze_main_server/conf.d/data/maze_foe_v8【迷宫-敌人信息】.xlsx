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DB7F066-DF0F-4B0C-A99D-407326EF3A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<sst xmlns="http://schemas.openxmlformats.org/spreadsheetml/2006/main" count="1203" uniqueCount="235">
  <si>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</si>
  <si>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</si>
  <si>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</si>
  <si>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</si>
  <si>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</si>
  <si>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</si>
  <si>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</si>
  <si>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</si>
  <si>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</si>
  <si>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</si>
  <si>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</si>
  <si>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</si>
  <si>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</si>
  <si>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</si>
  <si>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</si>
  <si>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</si>
  <si>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</si>
  <si>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</si>
  <si>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</si>
  <si>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</si>
  <si>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</si>
  <si>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</si>
  <si>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</si>
  <si>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</si>
  <si>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</si>
  <si>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</si>
  <si>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</si>
  <si>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</si>
  <si>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</si>
  <si>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</si>
  <si>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</si>
  <si>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</si>
  <si>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</si>
  <si>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</si>
  <si>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</si>
  <si>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</si>
  <si>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</si>
  <si>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</si>
  <si>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</si>
  <si>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</si>
  <si>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</si>
  <si>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</si>
  <si>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</si>
  <si>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</si>
  <si>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</si>
  <si>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</si>
  <si>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</si>
  <si>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</si>
  <si>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</si>
  <si>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</si>
  <si>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</si>
  <si>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</si>
  <si>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</si>
  <si>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</si>
  <si>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</si>
  <si>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</si>
  <si>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</si>
  <si>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</si>
  <si>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</si>
  <si>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</si>
  <si>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</si>
  <si>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</si>
  <si>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</si>
  <si>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</si>
  <si>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</si>
  <si>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</si>
  <si>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</si>
  <si>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</si>
  <si>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</si>
  <si>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</si>
  <si>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</si>
  <si>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</si>
  <si>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</si>
  <si>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</si>
  <si>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</si>
  <si>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</si>
  <si>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</si>
  <si>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</si>
  <si>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</si>
  <si>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</si>
  <si>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</si>
  <si>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</si>
  <si>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</si>
  <si>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</si>
  <si>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</si>
  <si>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</si>
  <si>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</si>
  <si>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</si>
  <si>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</si>
  <si>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</si>
  <si>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</si>
  <si>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</si>
  <si>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</si>
  <si>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</si>
  <si>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</si>
  <si>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</si>
  <si>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</si>
  <si>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</si>
  <si>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</si>
  <si>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</si>
  <si>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</si>
  <si>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</si>
  <si>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</si>
  <si>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</si>
  <si>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</si>
  <si>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</si>
  <si>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</si>
  <si>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</si>
  <si>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</si>
  <si>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</si>
  <si>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</si>
  <si>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</si>
  <si>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</si>
  <si>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</si>
  <si>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</si>
  <si>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</si>
  <si>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</si>
  <si>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</si>
  <si>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</si>
  <si>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</si>
  <si>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</si>
  <si>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</si>
  <si>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</si>
  <si>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</si>
  <si>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</si>
  <si>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</si>
  <si>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</si>
  <si>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</si>
  <si>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</si>
  <si>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</si>
  <si>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</si>
  <si>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</si>
  <si>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</si>
  <si>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</si>
  <si>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</si>
  <si>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</si>
  <si>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</si>
  <si>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</si>
  <si>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</si>
  <si>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</si>
  <si>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</si>
  <si>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</si>
  <si>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</si>
  <si>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</si>
  <si>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</si>
  <si>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</si>
  <si>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</si>
  <si>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</si>
  <si>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</si>
  <si>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</si>
  <si>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</si>
  <si>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</si>
  <si>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</si>
  <si>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</si>
  <si>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</si>
  <si>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</si>
  <si>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</si>
  <si>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</si>
  <si>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</si>
  <si>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</si>
  <si>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</si>
  <si>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</si>
  <si>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</si>
  <si>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</si>
  <si>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</si>
  <si>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</si>
  <si>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</si>
  <si>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</si>
  <si>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</si>
  <si>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</si>
  <si>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</si>
  <si>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</si>
  <si>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</si>
  <si>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</si>
  <si>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</si>
  <si>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</si>
  <si>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</si>
  <si>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</si>
  <si>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</si>
  <si>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</si>
  <si>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</si>
  <si>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</si>
  <si>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</si>
  <si>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</si>
  <si>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</si>
  <si>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</si>
  <si>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</si>
  <si>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</si>
  <si>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</si>
  <si>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</si>
  <si>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</si>
  <si>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</si>
  <si>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</si>
  <si>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</si>
  <si>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</si>
  <si>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</si>
  <si>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</si>
  <si>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</si>
  <si>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</si>
  <si>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</si>
  <si>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</si>
  <si>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</si>
  <si>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</si>
  <si>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</si>
  <si>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</si>
  <si>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</si>
  <si>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</si>
  <si>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</si>
  <si>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</si>
  <si>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</si>
  <si>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</si>
  <si>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</si>
  <si>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</si>
  <si>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</si>
  <si>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</si>
  <si>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</si>
  <si>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7-守卫1</t>
    <phoneticPr fontId="14" type="noConversion"/>
  </si>
  <si>
    <t>7-守卫2</t>
    <phoneticPr fontId="14" type="noConversion"/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</si>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</sst>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920651875362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37540818506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0" fillId="0" borderId="0"/>
    <xf numFmtId="0" fontId="13" fillId="7" borderId="1" applyNumberFormat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0" fillId="0" borderId="0" xfId="4"/>
    <xf numFmtId="0" fontId="6" fillId="0" borderId="0" xfId="4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1" xfId="5" applyFont="1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51"/>
  <sheetViews>
    <sheetView tabSelected="1" zoomScale="85" zoomScaleNormal="85" workbookViewId="0">
      <pane ySplit="4" topLeftCell="A69" activePane="bottomLeft" state="frozen"/>
      <selection pane="bottomLeft" activeCell="P76" sqref="P76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16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93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 x14ac:dyDescent="0.2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16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16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x14ac:dyDescent="0.2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x14ac:dyDescent="0.2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x14ac:dyDescent="0.2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x14ac:dyDescent="0.2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x14ac:dyDescent="0.2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552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 x14ac:dyDescent="0.2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 x14ac:dyDescent="0.2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 x14ac:dyDescent="0.2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 x14ac:dyDescent="0.2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 ht="14.25" x14ac:dyDescent="0.2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22">
        <v>201001011</v>
      </c>
      <c r="Z66" s="22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 ht="14.25" x14ac:dyDescent="0.2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22">
        <v>201002011</v>
      </c>
      <c r="Z67" s="22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 ht="14.25" x14ac:dyDescent="0.2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22">
        <v>201004011</v>
      </c>
      <c r="Z68" s="22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 ht="14.25" x14ac:dyDescent="0.2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22">
        <v>214001011</v>
      </c>
      <c r="Z69" s="22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 ht="14.25" x14ac:dyDescent="0.2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22">
        <v>203002011</v>
      </c>
      <c r="Z70" s="22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 x14ac:dyDescent="0.2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15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214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 x14ac:dyDescent="0.2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30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214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 x14ac:dyDescent="0.2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214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x14ac:dyDescent="0.2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24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214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 x14ac:dyDescent="0.2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19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214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 x14ac:dyDescent="0.2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 ht="14.25" x14ac:dyDescent="0.2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 ht="14.25" x14ac:dyDescent="0.2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ht="14.25" x14ac:dyDescent="0.2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 ht="14.25" x14ac:dyDescent="0.2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 ht="14.25" x14ac:dyDescent="0.2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ht="14.25" x14ac:dyDescent="0.2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spans="1:36" ht="14.25" x14ac:dyDescent="0.2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x14ac:dyDescent="0.2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x14ac:dyDescent="0.2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16</v>
      </c>
      <c r="Q86" s="3">
        <v>0</v>
      </c>
      <c r="R86" s="3">
        <v>86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215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 x14ac:dyDescent="0.2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32</v>
      </c>
      <c r="Q87" s="3">
        <v>3</v>
      </c>
      <c r="R87" s="3">
        <v>292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215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 x14ac:dyDescent="0.2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215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x14ac:dyDescent="0.2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24</v>
      </c>
      <c r="Q89" s="3">
        <v>0</v>
      </c>
      <c r="R89" s="3">
        <v>69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215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 x14ac:dyDescent="0.2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21</v>
      </c>
      <c r="Q90" s="3">
        <v>2</v>
      </c>
      <c r="R90" s="3">
        <v>131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215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 x14ac:dyDescent="0.2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 x14ac:dyDescent="0.2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 x14ac:dyDescent="0.2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 x14ac:dyDescent="0.2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 x14ac:dyDescent="0.2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ht="14.25" x14ac:dyDescent="0.2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 x14ac:dyDescent="0.2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x14ac:dyDescent="0.2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x14ac:dyDescent="0.2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18</v>
      </c>
      <c r="Q101" s="3">
        <v>0</v>
      </c>
      <c r="R101" s="3">
        <v>211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 x14ac:dyDescent="0.2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35</v>
      </c>
      <c r="Q102" s="3">
        <v>4</v>
      </c>
      <c r="R102" s="3">
        <v>570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 x14ac:dyDescent="0.2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x14ac:dyDescent="0.2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27</v>
      </c>
      <c r="Q104" s="3">
        <v>0</v>
      </c>
      <c r="R104" s="3">
        <v>169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 x14ac:dyDescent="0.2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24</v>
      </c>
      <c r="Q105" s="3">
        <v>2</v>
      </c>
      <c r="R105" s="3">
        <v>301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 x14ac:dyDescent="0.2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 x14ac:dyDescent="0.2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 x14ac:dyDescent="0.2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 x14ac:dyDescent="0.2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 x14ac:dyDescent="0.2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ht="14.25" x14ac:dyDescent="0.2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38</v>
      </c>
      <c r="Q113" s="3">
        <v>4</v>
      </c>
      <c r="R113" s="15">
        <v>570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 x14ac:dyDescent="0.2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50</v>
      </c>
      <c r="Q115" s="3">
        <v>6</v>
      </c>
      <c r="R115" s="15">
        <v>3740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spans="1:36" ht="14.25" x14ac:dyDescent="0.2">
      <c r="A116" s="19">
        <v>90000201</v>
      </c>
      <c r="B116" s="19">
        <v>2</v>
      </c>
      <c r="C116" s="19" t="s">
        <v>160</v>
      </c>
      <c r="D116" s="19"/>
      <c r="E116" s="20"/>
      <c r="F116" s="19"/>
      <c r="G116" s="19">
        <v>1</v>
      </c>
      <c r="H116" s="19">
        <v>2</v>
      </c>
      <c r="I116" s="26" t="s">
        <v>81</v>
      </c>
      <c r="J116" s="19">
        <v>0</v>
      </c>
      <c r="K116" s="19" t="s">
        <v>109</v>
      </c>
      <c r="L116" s="19">
        <v>800001011</v>
      </c>
      <c r="M116" s="19">
        <v>1</v>
      </c>
      <c r="N116" s="21">
        <v>1</v>
      </c>
      <c r="O116" s="19">
        <v>1</v>
      </c>
      <c r="P116" s="19">
        <v>8</v>
      </c>
      <c r="Q116" s="19">
        <v>0</v>
      </c>
      <c r="R116" s="19">
        <v>25</v>
      </c>
      <c r="S116" s="19">
        <v>-5000</v>
      </c>
      <c r="T116" s="19">
        <v>1</v>
      </c>
      <c r="U116" s="19">
        <v>0</v>
      </c>
      <c r="V116" s="19" t="s">
        <v>82</v>
      </c>
      <c r="W116" s="19" t="s">
        <v>82</v>
      </c>
      <c r="X116" s="19" t="s">
        <v>82</v>
      </c>
      <c r="Y116" s="23">
        <v>20010001</v>
      </c>
      <c r="Z116" s="23">
        <v>0</v>
      </c>
      <c r="AA116" s="19">
        <v>1</v>
      </c>
      <c r="AB116" s="24" t="s">
        <v>83</v>
      </c>
      <c r="AC116" s="19">
        <v>10000</v>
      </c>
      <c r="AD116" s="19">
        <v>10000</v>
      </c>
      <c r="AE116" s="19">
        <v>0</v>
      </c>
      <c r="AF116" s="24">
        <v>40</v>
      </c>
      <c r="AG116" s="24">
        <v>0</v>
      </c>
      <c r="AH116" s="24">
        <v>0</v>
      </c>
      <c r="AI116" s="24">
        <v>0</v>
      </c>
      <c r="AJ116" s="24">
        <v>0</v>
      </c>
    </row>
    <row r="117" spans="1:36" ht="14.25" x14ac:dyDescent="0.2">
      <c r="A117" s="19">
        <v>90000301</v>
      </c>
      <c r="B117" s="19">
        <v>3</v>
      </c>
      <c r="C117" s="19" t="s">
        <v>161</v>
      </c>
      <c r="D117" s="19"/>
      <c r="E117" s="20"/>
      <c r="F117" s="19"/>
      <c r="G117" s="19">
        <v>1</v>
      </c>
      <c r="H117" s="19">
        <v>2</v>
      </c>
      <c r="I117" s="26" t="s">
        <v>81</v>
      </c>
      <c r="J117" s="19">
        <v>0</v>
      </c>
      <c r="K117" s="19" t="s">
        <v>109</v>
      </c>
      <c r="L117" s="19">
        <v>800001011</v>
      </c>
      <c r="M117" s="19">
        <v>1</v>
      </c>
      <c r="N117" s="21">
        <v>1</v>
      </c>
      <c r="O117" s="19">
        <v>1</v>
      </c>
      <c r="P117" s="19">
        <v>8</v>
      </c>
      <c r="Q117" s="19">
        <v>0</v>
      </c>
      <c r="R117" s="19">
        <v>25</v>
      </c>
      <c r="S117" s="19">
        <v>-5000</v>
      </c>
      <c r="T117" s="19">
        <v>1</v>
      </c>
      <c r="U117" s="19">
        <v>0</v>
      </c>
      <c r="V117" s="19" t="s">
        <v>82</v>
      </c>
      <c r="W117" s="19" t="s">
        <v>82</v>
      </c>
      <c r="X117" s="19" t="s">
        <v>82</v>
      </c>
      <c r="Y117" s="23">
        <v>20010001</v>
      </c>
      <c r="Z117" s="23">
        <v>0</v>
      </c>
      <c r="AA117" s="19">
        <v>1</v>
      </c>
      <c r="AB117" s="24" t="s">
        <v>83</v>
      </c>
      <c r="AC117" s="19">
        <v>10000</v>
      </c>
      <c r="AD117" s="19">
        <v>10000</v>
      </c>
      <c r="AE117" s="19">
        <v>0</v>
      </c>
      <c r="AF117" s="24">
        <v>40</v>
      </c>
      <c r="AG117" s="24">
        <v>0</v>
      </c>
      <c r="AH117" s="24">
        <v>0</v>
      </c>
      <c r="AI117" s="24">
        <v>0</v>
      </c>
      <c r="AJ117" s="24">
        <v>0</v>
      </c>
    </row>
    <row r="118" spans="1:36" ht="14.25" x14ac:dyDescent="0.2">
      <c r="A118" s="19">
        <v>90000302</v>
      </c>
      <c r="B118" s="19">
        <v>3</v>
      </c>
      <c r="C118" s="19" t="s">
        <v>162</v>
      </c>
      <c r="D118" s="19"/>
      <c r="E118" s="20"/>
      <c r="F118" s="19"/>
      <c r="G118" s="19">
        <v>1</v>
      </c>
      <c r="H118" s="19">
        <v>2</v>
      </c>
      <c r="I118" s="26" t="s">
        <v>81</v>
      </c>
      <c r="J118" s="19">
        <v>0</v>
      </c>
      <c r="K118" s="19" t="s">
        <v>109</v>
      </c>
      <c r="L118" s="19">
        <v>800001011</v>
      </c>
      <c r="M118" s="19">
        <v>1</v>
      </c>
      <c r="N118" s="21">
        <v>2</v>
      </c>
      <c r="O118" s="19">
        <v>1</v>
      </c>
      <c r="P118" s="19">
        <v>8</v>
      </c>
      <c r="Q118" s="19">
        <v>0</v>
      </c>
      <c r="R118" s="19">
        <v>25</v>
      </c>
      <c r="S118" s="19">
        <v>-5000</v>
      </c>
      <c r="T118" s="19">
        <v>1</v>
      </c>
      <c r="U118" s="19">
        <v>0</v>
      </c>
      <c r="V118" s="19" t="s">
        <v>82</v>
      </c>
      <c r="W118" s="19" t="s">
        <v>82</v>
      </c>
      <c r="X118" s="19" t="s">
        <v>82</v>
      </c>
      <c r="Y118" s="23">
        <v>20010001</v>
      </c>
      <c r="Z118" s="23">
        <v>0</v>
      </c>
      <c r="AA118" s="19">
        <v>1</v>
      </c>
      <c r="AB118" s="24" t="s">
        <v>83</v>
      </c>
      <c r="AC118" s="19">
        <v>10000</v>
      </c>
      <c r="AD118" s="19">
        <v>10000</v>
      </c>
      <c r="AE118" s="19">
        <v>0</v>
      </c>
      <c r="AF118" s="24">
        <v>40</v>
      </c>
      <c r="AG118" s="24">
        <v>0</v>
      </c>
      <c r="AH118" s="24">
        <v>0</v>
      </c>
      <c r="AI118" s="24">
        <v>0</v>
      </c>
      <c r="AJ118" s="24">
        <v>0</v>
      </c>
    </row>
    <row r="119" spans="1:36" ht="14.25" x14ac:dyDescent="0.2">
      <c r="A119" s="19">
        <v>90000401</v>
      </c>
      <c r="B119" s="19">
        <v>3</v>
      </c>
      <c r="C119" s="19" t="s">
        <v>163</v>
      </c>
      <c r="D119" s="19"/>
      <c r="E119" s="20"/>
      <c r="F119" s="19"/>
      <c r="G119" s="19">
        <v>1</v>
      </c>
      <c r="H119" s="19">
        <v>2</v>
      </c>
      <c r="I119" s="26" t="s">
        <v>81</v>
      </c>
      <c r="J119" s="19">
        <v>0</v>
      </c>
      <c r="K119" s="19" t="s">
        <v>109</v>
      </c>
      <c r="L119" s="19">
        <v>800001011</v>
      </c>
      <c r="M119" s="19">
        <v>1</v>
      </c>
      <c r="N119" s="21">
        <v>1</v>
      </c>
      <c r="O119" s="19">
        <v>1</v>
      </c>
      <c r="P119" s="19">
        <v>8</v>
      </c>
      <c r="Q119" s="19">
        <v>0</v>
      </c>
      <c r="R119" s="19">
        <v>25</v>
      </c>
      <c r="S119" s="19">
        <v>-5000</v>
      </c>
      <c r="T119" s="19">
        <v>1</v>
      </c>
      <c r="U119" s="19">
        <v>0</v>
      </c>
      <c r="V119" s="19" t="s">
        <v>82</v>
      </c>
      <c r="W119" s="19" t="s">
        <v>82</v>
      </c>
      <c r="X119" s="19" t="s">
        <v>82</v>
      </c>
      <c r="Y119" s="23">
        <v>20010001</v>
      </c>
      <c r="Z119" s="23">
        <v>0</v>
      </c>
      <c r="AA119" s="19">
        <v>1</v>
      </c>
      <c r="AB119" s="24" t="s">
        <v>83</v>
      </c>
      <c r="AC119" s="19">
        <v>10000</v>
      </c>
      <c r="AD119" s="19">
        <v>10000</v>
      </c>
      <c r="AE119" s="19">
        <v>0</v>
      </c>
      <c r="AF119" s="24">
        <v>40</v>
      </c>
      <c r="AG119" s="24">
        <v>0</v>
      </c>
      <c r="AH119" s="24">
        <v>0</v>
      </c>
      <c r="AI119" s="24">
        <v>0</v>
      </c>
      <c r="AJ119" s="24">
        <v>0</v>
      </c>
    </row>
    <row r="120" spans="1:36" ht="14.25" x14ac:dyDescent="0.2">
      <c r="A120" s="19">
        <v>90000402</v>
      </c>
      <c r="B120" s="19">
        <v>3</v>
      </c>
      <c r="C120" s="19" t="s">
        <v>164</v>
      </c>
      <c r="D120" s="19"/>
      <c r="E120" s="20"/>
      <c r="F120" s="19"/>
      <c r="G120" s="19">
        <v>1</v>
      </c>
      <c r="H120" s="19">
        <v>2</v>
      </c>
      <c r="I120" s="26" t="s">
        <v>81</v>
      </c>
      <c r="J120" s="19">
        <v>0</v>
      </c>
      <c r="K120" s="19" t="s">
        <v>109</v>
      </c>
      <c r="L120" s="19">
        <v>800001011</v>
      </c>
      <c r="M120" s="19">
        <v>1</v>
      </c>
      <c r="N120" s="21">
        <v>2</v>
      </c>
      <c r="O120" s="19">
        <v>1</v>
      </c>
      <c r="P120" s="19">
        <v>8</v>
      </c>
      <c r="Q120" s="19">
        <v>0</v>
      </c>
      <c r="R120" s="19">
        <v>25</v>
      </c>
      <c r="S120" s="19">
        <v>-5000</v>
      </c>
      <c r="T120" s="19">
        <v>1</v>
      </c>
      <c r="U120" s="19">
        <v>0</v>
      </c>
      <c r="V120" s="19" t="s">
        <v>82</v>
      </c>
      <c r="W120" s="19" t="s">
        <v>82</v>
      </c>
      <c r="X120" s="19" t="s">
        <v>82</v>
      </c>
      <c r="Y120" s="23">
        <v>20010001</v>
      </c>
      <c r="Z120" s="23">
        <v>0</v>
      </c>
      <c r="AA120" s="19">
        <v>1</v>
      </c>
      <c r="AB120" s="24" t="s">
        <v>83</v>
      </c>
      <c r="AC120" s="19">
        <v>10000</v>
      </c>
      <c r="AD120" s="19">
        <v>10000</v>
      </c>
      <c r="AE120" s="19">
        <v>0</v>
      </c>
      <c r="AF120" s="24">
        <v>40</v>
      </c>
      <c r="AG120" s="24">
        <v>0</v>
      </c>
      <c r="AH120" s="24">
        <v>0</v>
      </c>
      <c r="AI120" s="24">
        <v>0</v>
      </c>
      <c r="AJ120" s="24">
        <v>0</v>
      </c>
    </row>
    <row r="121" spans="1:36" ht="14.25" x14ac:dyDescent="0.2">
      <c r="A121" s="19">
        <v>90000501</v>
      </c>
      <c r="B121" s="19">
        <v>3</v>
      </c>
      <c r="C121" s="19" t="s">
        <v>165</v>
      </c>
      <c r="D121" s="19"/>
      <c r="E121" s="20"/>
      <c r="F121" s="19"/>
      <c r="G121" s="19">
        <v>1</v>
      </c>
      <c r="H121" s="19">
        <v>2</v>
      </c>
      <c r="I121" s="26" t="s">
        <v>81</v>
      </c>
      <c r="J121" s="19">
        <v>0</v>
      </c>
      <c r="K121" s="19" t="s">
        <v>109</v>
      </c>
      <c r="L121" s="19">
        <v>800001011</v>
      </c>
      <c r="M121" s="19">
        <v>1</v>
      </c>
      <c r="N121" s="21">
        <v>1</v>
      </c>
      <c r="O121" s="19">
        <v>1</v>
      </c>
      <c r="P121" s="19">
        <v>8</v>
      </c>
      <c r="Q121" s="19">
        <v>0</v>
      </c>
      <c r="R121" s="19">
        <v>25</v>
      </c>
      <c r="S121" s="19">
        <v>-5000</v>
      </c>
      <c r="T121" s="19">
        <v>1</v>
      </c>
      <c r="U121" s="19">
        <v>0</v>
      </c>
      <c r="V121" s="19" t="s">
        <v>82</v>
      </c>
      <c r="W121" s="19" t="s">
        <v>82</v>
      </c>
      <c r="X121" s="19" t="s">
        <v>82</v>
      </c>
      <c r="Y121" s="23">
        <v>20010001</v>
      </c>
      <c r="Z121" s="23">
        <v>0</v>
      </c>
      <c r="AA121" s="19">
        <v>1</v>
      </c>
      <c r="AB121" s="24" t="s">
        <v>83</v>
      </c>
      <c r="AC121" s="19">
        <v>10000</v>
      </c>
      <c r="AD121" s="19">
        <v>10000</v>
      </c>
      <c r="AE121" s="19">
        <v>0</v>
      </c>
      <c r="AF121" s="24">
        <v>40</v>
      </c>
      <c r="AG121" s="24">
        <v>0</v>
      </c>
      <c r="AH121" s="24">
        <v>0</v>
      </c>
      <c r="AI121" s="24">
        <v>0</v>
      </c>
      <c r="AJ121" s="24">
        <v>0</v>
      </c>
    </row>
    <row r="122" spans="1:36" ht="14.25" x14ac:dyDescent="0.2">
      <c r="A122" s="19">
        <v>90000502</v>
      </c>
      <c r="B122" s="19">
        <v>3</v>
      </c>
      <c r="C122" s="19" t="s">
        <v>166</v>
      </c>
      <c r="D122" s="19"/>
      <c r="E122" s="20"/>
      <c r="F122" s="19"/>
      <c r="G122" s="19">
        <v>1</v>
      </c>
      <c r="H122" s="19">
        <v>2</v>
      </c>
      <c r="I122" s="26" t="s">
        <v>81</v>
      </c>
      <c r="J122" s="19">
        <v>0</v>
      </c>
      <c r="K122" s="19" t="s">
        <v>109</v>
      </c>
      <c r="L122" s="19">
        <v>800001011</v>
      </c>
      <c r="M122" s="19">
        <v>1</v>
      </c>
      <c r="N122" s="21">
        <v>2</v>
      </c>
      <c r="O122" s="19">
        <v>1</v>
      </c>
      <c r="P122" s="19">
        <v>8</v>
      </c>
      <c r="Q122" s="19">
        <v>0</v>
      </c>
      <c r="R122" s="19">
        <v>25</v>
      </c>
      <c r="S122" s="19">
        <v>-5000</v>
      </c>
      <c r="T122" s="19">
        <v>1</v>
      </c>
      <c r="U122" s="19">
        <v>0</v>
      </c>
      <c r="V122" s="19" t="s">
        <v>82</v>
      </c>
      <c r="W122" s="19" t="s">
        <v>82</v>
      </c>
      <c r="X122" s="19" t="s">
        <v>82</v>
      </c>
      <c r="Y122" s="23">
        <v>20010001</v>
      </c>
      <c r="Z122" s="23">
        <v>0</v>
      </c>
      <c r="AA122" s="19">
        <v>1</v>
      </c>
      <c r="AB122" s="24" t="s">
        <v>83</v>
      </c>
      <c r="AC122" s="19">
        <v>10000</v>
      </c>
      <c r="AD122" s="19">
        <v>10000</v>
      </c>
      <c r="AE122" s="19">
        <v>0</v>
      </c>
      <c r="AF122" s="24">
        <v>40</v>
      </c>
      <c r="AG122" s="24">
        <v>0</v>
      </c>
      <c r="AH122" s="24">
        <v>0</v>
      </c>
      <c r="AI122" s="24">
        <v>0</v>
      </c>
      <c r="AJ122" s="24">
        <v>0</v>
      </c>
    </row>
    <row r="123" spans="1:36" ht="14.25" x14ac:dyDescent="0.2">
      <c r="A123" s="19">
        <v>90000503</v>
      </c>
      <c r="B123" s="19">
        <v>3</v>
      </c>
      <c r="C123" s="19" t="s">
        <v>167</v>
      </c>
      <c r="D123" s="19"/>
      <c r="E123" s="20"/>
      <c r="F123" s="19"/>
      <c r="G123" s="19">
        <v>1</v>
      </c>
      <c r="H123" s="19">
        <v>2</v>
      </c>
      <c r="I123" s="26" t="s">
        <v>81</v>
      </c>
      <c r="J123" s="19">
        <v>0</v>
      </c>
      <c r="K123" s="19" t="s">
        <v>115</v>
      </c>
      <c r="L123" s="19">
        <v>800001021</v>
      </c>
      <c r="M123" s="19">
        <v>1</v>
      </c>
      <c r="N123" s="21">
        <v>3</v>
      </c>
      <c r="O123" s="19">
        <v>1</v>
      </c>
      <c r="P123" s="19">
        <v>8</v>
      </c>
      <c r="Q123" s="19">
        <v>0</v>
      </c>
      <c r="R123" s="19">
        <v>25</v>
      </c>
      <c r="S123" s="19">
        <v>-5000</v>
      </c>
      <c r="T123" s="19">
        <v>1</v>
      </c>
      <c r="U123" s="19">
        <v>0</v>
      </c>
      <c r="V123" s="19" t="s">
        <v>82</v>
      </c>
      <c r="W123" s="19" t="s">
        <v>82</v>
      </c>
      <c r="X123" s="19" t="s">
        <v>82</v>
      </c>
      <c r="Y123" s="23">
        <v>20010001</v>
      </c>
      <c r="Z123" s="23">
        <v>0</v>
      </c>
      <c r="AA123" s="19">
        <v>1</v>
      </c>
      <c r="AB123" s="24" t="s">
        <v>83</v>
      </c>
      <c r="AC123" s="19">
        <v>10000</v>
      </c>
      <c r="AD123" s="19">
        <v>10000</v>
      </c>
      <c r="AE123" s="19">
        <v>0</v>
      </c>
      <c r="AF123" s="24">
        <v>40</v>
      </c>
      <c r="AG123" s="24">
        <v>0</v>
      </c>
      <c r="AH123" s="24">
        <v>0</v>
      </c>
      <c r="AI123" s="24">
        <v>0</v>
      </c>
      <c r="AJ123" s="24">
        <v>0</v>
      </c>
    </row>
    <row r="124" spans="1:36" ht="14.25" x14ac:dyDescent="0.2">
      <c r="A124" s="19">
        <v>90000504</v>
      </c>
      <c r="B124" s="19">
        <v>3</v>
      </c>
      <c r="C124" s="19" t="s">
        <v>168</v>
      </c>
      <c r="D124" s="19"/>
      <c r="E124" s="20"/>
      <c r="F124" s="19"/>
      <c r="G124" s="19">
        <v>1</v>
      </c>
      <c r="H124" s="19">
        <v>2</v>
      </c>
      <c r="I124" s="26" t="s">
        <v>81</v>
      </c>
      <c r="J124" s="19">
        <v>0</v>
      </c>
      <c r="K124" s="19" t="s">
        <v>155</v>
      </c>
      <c r="L124" s="19">
        <v>800011011</v>
      </c>
      <c r="M124" s="19">
        <v>1</v>
      </c>
      <c r="N124" s="21">
        <v>6</v>
      </c>
      <c r="O124" s="19">
        <v>1</v>
      </c>
      <c r="P124" s="19">
        <v>8</v>
      </c>
      <c r="Q124" s="19">
        <v>0</v>
      </c>
      <c r="R124" s="19">
        <v>25</v>
      </c>
      <c r="S124" s="19">
        <v>-5000</v>
      </c>
      <c r="T124" s="19">
        <v>1</v>
      </c>
      <c r="U124" s="19">
        <v>0</v>
      </c>
      <c r="V124" s="19" t="s">
        <v>82</v>
      </c>
      <c r="W124" s="19" t="s">
        <v>82</v>
      </c>
      <c r="X124" s="19" t="s">
        <v>82</v>
      </c>
      <c r="Y124" s="23">
        <v>20010001</v>
      </c>
      <c r="Z124" s="23">
        <v>0</v>
      </c>
      <c r="AA124" s="19">
        <v>1</v>
      </c>
      <c r="AB124" s="24" t="s">
        <v>83</v>
      </c>
      <c r="AC124" s="19">
        <v>10000</v>
      </c>
      <c r="AD124" s="19">
        <v>10000</v>
      </c>
      <c r="AE124" s="19">
        <v>0</v>
      </c>
      <c r="AF124" s="24">
        <v>40</v>
      </c>
      <c r="AG124" s="24">
        <v>0</v>
      </c>
      <c r="AH124" s="24">
        <v>0</v>
      </c>
      <c r="AI124" s="24">
        <v>0</v>
      </c>
      <c r="AJ124" s="24">
        <v>0</v>
      </c>
    </row>
    <row r="125" spans="1:36" ht="14.25" x14ac:dyDescent="0.2">
      <c r="A125" s="19">
        <v>90000601</v>
      </c>
      <c r="B125" s="19">
        <v>3</v>
      </c>
      <c r="C125" s="19" t="s">
        <v>169</v>
      </c>
      <c r="D125" s="19"/>
      <c r="E125" s="20"/>
      <c r="F125" s="19"/>
      <c r="G125" s="19">
        <v>1</v>
      </c>
      <c r="H125" s="19">
        <v>2</v>
      </c>
      <c r="I125" s="26" t="s">
        <v>81</v>
      </c>
      <c r="J125" s="19">
        <v>0</v>
      </c>
      <c r="K125" s="19" t="s">
        <v>109</v>
      </c>
      <c r="L125" s="19">
        <v>800001011</v>
      </c>
      <c r="M125" s="19">
        <v>1</v>
      </c>
      <c r="N125" s="21">
        <v>1</v>
      </c>
      <c r="O125" s="19">
        <v>1</v>
      </c>
      <c r="P125" s="19">
        <v>8</v>
      </c>
      <c r="Q125" s="19">
        <v>0</v>
      </c>
      <c r="R125" s="19">
        <v>25</v>
      </c>
      <c r="S125" s="19">
        <v>-5000</v>
      </c>
      <c r="T125" s="19">
        <v>1</v>
      </c>
      <c r="U125" s="19">
        <v>0</v>
      </c>
      <c r="V125" s="19" t="s">
        <v>82</v>
      </c>
      <c r="W125" s="19" t="s">
        <v>82</v>
      </c>
      <c r="X125" s="19" t="s">
        <v>82</v>
      </c>
      <c r="Y125" s="23">
        <v>20010001</v>
      </c>
      <c r="Z125" s="23">
        <v>0</v>
      </c>
      <c r="AA125" s="19">
        <v>1</v>
      </c>
      <c r="AB125" s="24" t="s">
        <v>83</v>
      </c>
      <c r="AC125" s="19">
        <v>10000</v>
      </c>
      <c r="AD125" s="19">
        <v>10000</v>
      </c>
      <c r="AE125" s="19">
        <v>0</v>
      </c>
      <c r="AF125" s="24">
        <v>40</v>
      </c>
      <c r="AG125" s="24">
        <v>0</v>
      </c>
      <c r="AH125" s="24">
        <v>0</v>
      </c>
      <c r="AI125" s="24">
        <v>0</v>
      </c>
      <c r="AJ125" s="24">
        <v>0</v>
      </c>
    </row>
    <row r="126" spans="1:36" ht="14.25" x14ac:dyDescent="0.2">
      <c r="A126" s="19">
        <v>90000602</v>
      </c>
      <c r="B126" s="19">
        <v>3</v>
      </c>
      <c r="C126" s="19" t="s">
        <v>170</v>
      </c>
      <c r="D126" s="19"/>
      <c r="E126" s="20"/>
      <c r="F126" s="19"/>
      <c r="G126" s="19">
        <v>1</v>
      </c>
      <c r="H126" s="19">
        <v>2</v>
      </c>
      <c r="I126" s="26" t="s">
        <v>81</v>
      </c>
      <c r="J126" s="19">
        <v>0</v>
      </c>
      <c r="K126" s="19" t="s">
        <v>109</v>
      </c>
      <c r="L126" s="19">
        <v>800001011</v>
      </c>
      <c r="M126" s="19">
        <v>1</v>
      </c>
      <c r="N126" s="21">
        <v>2</v>
      </c>
      <c r="O126" s="19">
        <v>1</v>
      </c>
      <c r="P126" s="19">
        <v>8</v>
      </c>
      <c r="Q126" s="19">
        <v>0</v>
      </c>
      <c r="R126" s="19">
        <v>25</v>
      </c>
      <c r="S126" s="19">
        <v>-5000</v>
      </c>
      <c r="T126" s="19">
        <v>1</v>
      </c>
      <c r="U126" s="19">
        <v>0</v>
      </c>
      <c r="V126" s="19" t="s">
        <v>82</v>
      </c>
      <c r="W126" s="19" t="s">
        <v>82</v>
      </c>
      <c r="X126" s="19" t="s">
        <v>82</v>
      </c>
      <c r="Y126" s="23">
        <v>20010001</v>
      </c>
      <c r="Z126" s="23">
        <v>0</v>
      </c>
      <c r="AA126" s="19">
        <v>1</v>
      </c>
      <c r="AB126" s="24" t="s">
        <v>83</v>
      </c>
      <c r="AC126" s="19">
        <v>10000</v>
      </c>
      <c r="AD126" s="19">
        <v>10000</v>
      </c>
      <c r="AE126" s="19">
        <v>0</v>
      </c>
      <c r="AF126" s="24">
        <v>40</v>
      </c>
      <c r="AG126" s="24">
        <v>0</v>
      </c>
      <c r="AH126" s="24">
        <v>0</v>
      </c>
      <c r="AI126" s="24">
        <v>0</v>
      </c>
      <c r="AJ126" s="24">
        <v>0</v>
      </c>
    </row>
    <row r="127" spans="1:36" ht="14.25" x14ac:dyDescent="0.2">
      <c r="A127" s="19">
        <v>90000603</v>
      </c>
      <c r="B127" s="19">
        <v>3</v>
      </c>
      <c r="C127" s="19" t="s">
        <v>171</v>
      </c>
      <c r="D127" s="19"/>
      <c r="E127" s="20"/>
      <c r="F127" s="19"/>
      <c r="G127" s="19">
        <v>1</v>
      </c>
      <c r="H127" s="19">
        <v>2</v>
      </c>
      <c r="I127" s="26" t="s">
        <v>81</v>
      </c>
      <c r="J127" s="19">
        <v>0</v>
      </c>
      <c r="K127" s="19" t="s">
        <v>115</v>
      </c>
      <c r="L127" s="19">
        <v>800001021</v>
      </c>
      <c r="M127" s="19">
        <v>1</v>
      </c>
      <c r="N127" s="21">
        <v>3</v>
      </c>
      <c r="O127" s="19">
        <v>1</v>
      </c>
      <c r="P127" s="19">
        <v>8</v>
      </c>
      <c r="Q127" s="19">
        <v>0</v>
      </c>
      <c r="R127" s="19">
        <v>25</v>
      </c>
      <c r="S127" s="19">
        <v>-5000</v>
      </c>
      <c r="T127" s="19">
        <v>1</v>
      </c>
      <c r="U127" s="19">
        <v>0</v>
      </c>
      <c r="V127" s="19" t="s">
        <v>82</v>
      </c>
      <c r="W127" s="19" t="s">
        <v>82</v>
      </c>
      <c r="X127" s="19" t="s">
        <v>82</v>
      </c>
      <c r="Y127" s="23">
        <v>20010001</v>
      </c>
      <c r="Z127" s="23">
        <v>0</v>
      </c>
      <c r="AA127" s="19">
        <v>1</v>
      </c>
      <c r="AB127" s="24" t="s">
        <v>83</v>
      </c>
      <c r="AC127" s="19">
        <v>10000</v>
      </c>
      <c r="AD127" s="19">
        <v>10000</v>
      </c>
      <c r="AE127" s="19">
        <v>0</v>
      </c>
      <c r="AF127" s="24">
        <v>40</v>
      </c>
      <c r="AG127" s="24">
        <v>0</v>
      </c>
      <c r="AH127" s="24">
        <v>0</v>
      </c>
      <c r="AI127" s="24">
        <v>0</v>
      </c>
      <c r="AJ127" s="24">
        <v>0</v>
      </c>
    </row>
    <row r="128" spans="1:36" ht="14.25" x14ac:dyDescent="0.2">
      <c r="A128" s="19">
        <v>90000604</v>
      </c>
      <c r="B128" s="19">
        <v>3</v>
      </c>
      <c r="C128" s="19" t="s">
        <v>172</v>
      </c>
      <c r="D128" s="19"/>
      <c r="E128" s="20"/>
      <c r="F128" s="19"/>
      <c r="G128" s="19">
        <v>1</v>
      </c>
      <c r="H128" s="19">
        <v>2</v>
      </c>
      <c r="I128" s="26" t="s">
        <v>81</v>
      </c>
      <c r="J128" s="19">
        <v>0</v>
      </c>
      <c r="K128" s="19" t="s">
        <v>115</v>
      </c>
      <c r="L128" s="19">
        <v>800001021</v>
      </c>
      <c r="M128" s="19">
        <v>1</v>
      </c>
      <c r="N128" s="21">
        <v>5</v>
      </c>
      <c r="O128" s="19">
        <v>1</v>
      </c>
      <c r="P128" s="19">
        <v>8</v>
      </c>
      <c r="Q128" s="19">
        <v>0</v>
      </c>
      <c r="R128" s="19">
        <v>25</v>
      </c>
      <c r="S128" s="19">
        <v>-5000</v>
      </c>
      <c r="T128" s="19">
        <v>1</v>
      </c>
      <c r="U128" s="19">
        <v>0</v>
      </c>
      <c r="V128" s="19" t="s">
        <v>82</v>
      </c>
      <c r="W128" s="19" t="s">
        <v>82</v>
      </c>
      <c r="X128" s="19" t="s">
        <v>82</v>
      </c>
      <c r="Y128" s="23">
        <v>20010001</v>
      </c>
      <c r="Z128" s="23">
        <v>0</v>
      </c>
      <c r="AA128" s="19">
        <v>1</v>
      </c>
      <c r="AB128" s="24" t="s">
        <v>83</v>
      </c>
      <c r="AC128" s="19">
        <v>10000</v>
      </c>
      <c r="AD128" s="19">
        <v>10000</v>
      </c>
      <c r="AE128" s="19">
        <v>0</v>
      </c>
      <c r="AF128" s="24">
        <v>40</v>
      </c>
      <c r="AG128" s="24">
        <v>0</v>
      </c>
      <c r="AH128" s="24">
        <v>0</v>
      </c>
      <c r="AI128" s="24">
        <v>0</v>
      </c>
      <c r="AJ128" s="24">
        <v>0</v>
      </c>
    </row>
    <row r="129" spans="1:36" ht="14.25" x14ac:dyDescent="0.2">
      <c r="A129" s="19">
        <v>90000605</v>
      </c>
      <c r="B129" s="19">
        <v>3</v>
      </c>
      <c r="C129" s="19" t="s">
        <v>173</v>
      </c>
      <c r="D129" s="19"/>
      <c r="E129" s="20"/>
      <c r="F129" s="19"/>
      <c r="G129" s="19">
        <v>1</v>
      </c>
      <c r="H129" s="19">
        <v>2</v>
      </c>
      <c r="I129" s="26" t="s">
        <v>81</v>
      </c>
      <c r="J129" s="19">
        <v>0</v>
      </c>
      <c r="K129" s="19" t="s">
        <v>155</v>
      </c>
      <c r="L129" s="19">
        <v>800011011</v>
      </c>
      <c r="M129" s="19">
        <v>1</v>
      </c>
      <c r="N129" s="21">
        <v>10</v>
      </c>
      <c r="O129" s="19">
        <v>1</v>
      </c>
      <c r="P129" s="19">
        <v>8</v>
      </c>
      <c r="Q129" s="19">
        <v>0</v>
      </c>
      <c r="R129" s="19">
        <v>25</v>
      </c>
      <c r="S129" s="19">
        <v>-5000</v>
      </c>
      <c r="T129" s="19">
        <v>1</v>
      </c>
      <c r="U129" s="19">
        <v>0</v>
      </c>
      <c r="V129" s="19" t="s">
        <v>82</v>
      </c>
      <c r="W129" s="19" t="s">
        <v>82</v>
      </c>
      <c r="X129" s="19" t="s">
        <v>82</v>
      </c>
      <c r="Y129" s="23">
        <v>20010001</v>
      </c>
      <c r="Z129" s="23">
        <v>0</v>
      </c>
      <c r="AA129" s="19">
        <v>1</v>
      </c>
      <c r="AB129" s="24" t="s">
        <v>83</v>
      </c>
      <c r="AC129" s="19">
        <v>10000</v>
      </c>
      <c r="AD129" s="19">
        <v>10000</v>
      </c>
      <c r="AE129" s="19">
        <v>0</v>
      </c>
      <c r="AF129" s="24">
        <v>40</v>
      </c>
      <c r="AG129" s="24">
        <v>0</v>
      </c>
      <c r="AH129" s="24">
        <v>0</v>
      </c>
      <c r="AI129" s="24">
        <v>0</v>
      </c>
      <c r="AJ129" s="24">
        <v>0</v>
      </c>
    </row>
    <row r="130" spans="1:36" ht="14.25" x14ac:dyDescent="0.2">
      <c r="A130" s="19">
        <v>90000606</v>
      </c>
      <c r="B130" s="19">
        <v>3</v>
      </c>
      <c r="C130" s="19" t="s">
        <v>174</v>
      </c>
      <c r="D130" s="19"/>
      <c r="E130" s="20"/>
      <c r="F130" s="19"/>
      <c r="G130" s="19">
        <v>1</v>
      </c>
      <c r="H130" s="19">
        <v>2</v>
      </c>
      <c r="I130" s="26" t="s">
        <v>81</v>
      </c>
      <c r="J130" s="19">
        <v>0</v>
      </c>
      <c r="K130" s="19" t="s">
        <v>155</v>
      </c>
      <c r="L130" s="19">
        <v>800011011</v>
      </c>
      <c r="M130" s="19">
        <v>1</v>
      </c>
      <c r="N130" s="21">
        <v>14</v>
      </c>
      <c r="O130" s="19">
        <v>1</v>
      </c>
      <c r="P130" s="19">
        <v>8</v>
      </c>
      <c r="Q130" s="19">
        <v>0</v>
      </c>
      <c r="R130" s="19">
        <v>25</v>
      </c>
      <c r="S130" s="19">
        <v>-5000</v>
      </c>
      <c r="T130" s="19">
        <v>1</v>
      </c>
      <c r="U130" s="19">
        <v>0</v>
      </c>
      <c r="V130" s="19" t="s">
        <v>82</v>
      </c>
      <c r="W130" s="19" t="s">
        <v>82</v>
      </c>
      <c r="X130" s="19" t="s">
        <v>82</v>
      </c>
      <c r="Y130" s="23">
        <v>20010001</v>
      </c>
      <c r="Z130" s="23">
        <v>0</v>
      </c>
      <c r="AA130" s="19">
        <v>1</v>
      </c>
      <c r="AB130" s="24" t="s">
        <v>83</v>
      </c>
      <c r="AC130" s="19">
        <v>10000</v>
      </c>
      <c r="AD130" s="19">
        <v>10000</v>
      </c>
      <c r="AE130" s="19">
        <v>0</v>
      </c>
      <c r="AF130" s="24">
        <v>40</v>
      </c>
      <c r="AG130" s="24">
        <v>0</v>
      </c>
      <c r="AH130" s="24">
        <v>0</v>
      </c>
      <c r="AI130" s="24">
        <v>0</v>
      </c>
      <c r="AJ130" s="24">
        <v>0</v>
      </c>
    </row>
    <row r="131" spans="1:36" ht="14.25" x14ac:dyDescent="0.2">
      <c r="A131" s="19">
        <v>90000607</v>
      </c>
      <c r="B131" s="19">
        <v>3</v>
      </c>
      <c r="C131" s="19" t="s">
        <v>175</v>
      </c>
      <c r="D131" s="19"/>
      <c r="E131" s="20"/>
      <c r="F131" s="19"/>
      <c r="G131" s="19">
        <v>1</v>
      </c>
      <c r="H131" s="19">
        <v>2</v>
      </c>
      <c r="I131" s="26" t="s">
        <v>81</v>
      </c>
      <c r="J131" s="19">
        <v>0</v>
      </c>
      <c r="K131" s="19" t="s">
        <v>156</v>
      </c>
      <c r="L131" s="19">
        <v>800011021</v>
      </c>
      <c r="M131" s="19">
        <v>1</v>
      </c>
      <c r="N131" s="21">
        <v>18</v>
      </c>
      <c r="O131" s="19">
        <v>1</v>
      </c>
      <c r="P131" s="19">
        <v>8</v>
      </c>
      <c r="Q131" s="19">
        <v>0</v>
      </c>
      <c r="R131" s="19">
        <v>25</v>
      </c>
      <c r="S131" s="19">
        <v>-5000</v>
      </c>
      <c r="T131" s="19">
        <v>1</v>
      </c>
      <c r="U131" s="19">
        <v>0</v>
      </c>
      <c r="V131" s="19" t="s">
        <v>82</v>
      </c>
      <c r="W131" s="19" t="s">
        <v>82</v>
      </c>
      <c r="X131" s="19" t="s">
        <v>82</v>
      </c>
      <c r="Y131" s="23">
        <v>20010001</v>
      </c>
      <c r="Z131" s="23">
        <v>0</v>
      </c>
      <c r="AA131" s="19">
        <v>1</v>
      </c>
      <c r="AB131" s="24" t="s">
        <v>83</v>
      </c>
      <c r="AC131" s="19">
        <v>10000</v>
      </c>
      <c r="AD131" s="19">
        <v>10000</v>
      </c>
      <c r="AE131" s="19">
        <v>0</v>
      </c>
      <c r="AF131" s="24">
        <v>40</v>
      </c>
      <c r="AG131" s="24">
        <v>0</v>
      </c>
      <c r="AH131" s="24">
        <v>0</v>
      </c>
      <c r="AI131" s="24">
        <v>0</v>
      </c>
      <c r="AJ131" s="24">
        <v>0</v>
      </c>
    </row>
    <row r="132" spans="1:36" ht="14.25" x14ac:dyDescent="0.2">
      <c r="A132" s="19">
        <v>90000608</v>
      </c>
      <c r="B132" s="19">
        <v>3</v>
      </c>
      <c r="C132" s="19" t="s">
        <v>176</v>
      </c>
      <c r="D132" s="19"/>
      <c r="E132" s="20"/>
      <c r="F132" s="19"/>
      <c r="G132" s="19">
        <v>1</v>
      </c>
      <c r="H132" s="19">
        <v>2</v>
      </c>
      <c r="I132" s="26" t="s">
        <v>81</v>
      </c>
      <c r="J132" s="19">
        <v>0</v>
      </c>
      <c r="K132" s="19" t="s">
        <v>156</v>
      </c>
      <c r="L132" s="19">
        <v>800011021</v>
      </c>
      <c r="M132" s="19">
        <v>1</v>
      </c>
      <c r="N132" s="21">
        <v>45</v>
      </c>
      <c r="O132" s="19">
        <v>1</v>
      </c>
      <c r="P132" s="19">
        <v>8</v>
      </c>
      <c r="Q132" s="19">
        <v>0</v>
      </c>
      <c r="R132" s="19">
        <v>25</v>
      </c>
      <c r="S132" s="19">
        <v>-5000</v>
      </c>
      <c r="T132" s="19">
        <v>1</v>
      </c>
      <c r="U132" s="19">
        <v>0</v>
      </c>
      <c r="V132" s="19" t="s">
        <v>82</v>
      </c>
      <c r="W132" s="19" t="s">
        <v>82</v>
      </c>
      <c r="X132" s="19" t="s">
        <v>82</v>
      </c>
      <c r="Y132" s="23">
        <v>20010001</v>
      </c>
      <c r="Z132" s="23">
        <v>0</v>
      </c>
      <c r="AA132" s="19">
        <v>1</v>
      </c>
      <c r="AB132" s="24" t="s">
        <v>83</v>
      </c>
      <c r="AC132" s="19">
        <v>10000</v>
      </c>
      <c r="AD132" s="19">
        <v>10000</v>
      </c>
      <c r="AE132" s="19">
        <v>0</v>
      </c>
      <c r="AF132" s="24">
        <v>40</v>
      </c>
      <c r="AG132" s="24">
        <v>0</v>
      </c>
      <c r="AH132" s="24">
        <v>0</v>
      </c>
      <c r="AI132" s="24">
        <v>0</v>
      </c>
      <c r="AJ132" s="24">
        <v>0</v>
      </c>
    </row>
    <row r="133" spans="1:36" ht="14.25" x14ac:dyDescent="0.2">
      <c r="A133" s="19">
        <v>90000701</v>
      </c>
      <c r="B133" s="19">
        <v>3</v>
      </c>
      <c r="C133" s="19" t="s">
        <v>216</v>
      </c>
      <c r="D133" s="19"/>
      <c r="E133" s="20"/>
      <c r="F133" s="19"/>
      <c r="G133" s="19">
        <v>1</v>
      </c>
      <c r="H133" s="19">
        <v>2</v>
      </c>
      <c r="I133" s="26" t="s">
        <v>81</v>
      </c>
      <c r="J133" s="19">
        <v>0</v>
      </c>
      <c r="K133" s="19" t="s">
        <v>109</v>
      </c>
      <c r="L133" s="19">
        <v>800001011</v>
      </c>
      <c r="M133" s="19">
        <v>1</v>
      </c>
      <c r="N133" s="21">
        <v>1</v>
      </c>
      <c r="O133" s="19">
        <v>1</v>
      </c>
      <c r="P133" s="19">
        <v>8</v>
      </c>
      <c r="Q133" s="19">
        <v>0</v>
      </c>
      <c r="R133" s="19">
        <v>25</v>
      </c>
      <c r="S133" s="19">
        <v>-5000</v>
      </c>
      <c r="T133" s="19">
        <v>1</v>
      </c>
      <c r="U133" s="19">
        <v>0</v>
      </c>
      <c r="V133" s="19" t="s">
        <v>82</v>
      </c>
      <c r="W133" s="19" t="s">
        <v>82</v>
      </c>
      <c r="X133" s="19" t="s">
        <v>82</v>
      </c>
      <c r="Y133" s="23">
        <v>20010001</v>
      </c>
      <c r="Z133" s="23">
        <v>0</v>
      </c>
      <c r="AA133" s="19">
        <v>1</v>
      </c>
      <c r="AB133" s="24" t="s">
        <v>83</v>
      </c>
      <c r="AC133" s="19">
        <v>10000</v>
      </c>
      <c r="AD133" s="19">
        <v>10000</v>
      </c>
      <c r="AE133" s="19">
        <v>0</v>
      </c>
      <c r="AF133" s="24">
        <v>40</v>
      </c>
      <c r="AG133" s="24">
        <v>0</v>
      </c>
      <c r="AH133" s="24">
        <v>0</v>
      </c>
      <c r="AI133" s="24">
        <v>0</v>
      </c>
      <c r="AJ133" s="24">
        <v>0</v>
      </c>
    </row>
    <row r="134" spans="1:36" ht="14.25" x14ac:dyDescent="0.2">
      <c r="A134" s="19">
        <v>90000702</v>
      </c>
      <c r="B134" s="19">
        <v>3</v>
      </c>
      <c r="C134" s="19" t="s">
        <v>217</v>
      </c>
      <c r="D134" s="19"/>
      <c r="E134" s="20"/>
      <c r="F134" s="19"/>
      <c r="G134" s="19">
        <v>1</v>
      </c>
      <c r="H134" s="19">
        <v>2</v>
      </c>
      <c r="I134" s="26" t="s">
        <v>81</v>
      </c>
      <c r="J134" s="19">
        <v>0</v>
      </c>
      <c r="K134" s="19" t="s">
        <v>109</v>
      </c>
      <c r="L134" s="19">
        <v>800001011</v>
      </c>
      <c r="M134" s="19">
        <v>1</v>
      </c>
      <c r="N134" s="21">
        <v>2</v>
      </c>
      <c r="O134" s="19">
        <v>1</v>
      </c>
      <c r="P134" s="19">
        <v>8</v>
      </c>
      <c r="Q134" s="19">
        <v>0</v>
      </c>
      <c r="R134" s="19">
        <v>25</v>
      </c>
      <c r="S134" s="19">
        <v>-5000</v>
      </c>
      <c r="T134" s="19">
        <v>1</v>
      </c>
      <c r="U134" s="19">
        <v>0</v>
      </c>
      <c r="V134" s="19" t="s">
        <v>82</v>
      </c>
      <c r="W134" s="19" t="s">
        <v>82</v>
      </c>
      <c r="X134" s="19" t="s">
        <v>82</v>
      </c>
      <c r="Y134" s="23">
        <v>20010001</v>
      </c>
      <c r="Z134" s="23">
        <v>0</v>
      </c>
      <c r="AA134" s="19">
        <v>1</v>
      </c>
      <c r="AB134" s="24" t="s">
        <v>83</v>
      </c>
      <c r="AC134" s="19">
        <v>10000</v>
      </c>
      <c r="AD134" s="19">
        <v>10000</v>
      </c>
      <c r="AE134" s="19">
        <v>0</v>
      </c>
      <c r="AF134" s="24">
        <v>40</v>
      </c>
      <c r="AG134" s="24">
        <v>0</v>
      </c>
      <c r="AH134" s="24">
        <v>0</v>
      </c>
      <c r="AI134" s="24">
        <v>0</v>
      </c>
      <c r="AJ134" s="24">
        <v>0</v>
      </c>
    </row>
    <row r="135" spans="1:36" ht="14.25" x14ac:dyDescent="0.2">
      <c r="A135" s="19">
        <v>90000703</v>
      </c>
      <c r="B135" s="19">
        <v>3</v>
      </c>
      <c r="C135" s="19" t="s">
        <v>218</v>
      </c>
      <c r="D135" s="19"/>
      <c r="E135" s="20"/>
      <c r="F135" s="19"/>
      <c r="G135" s="19">
        <v>1</v>
      </c>
      <c r="H135" s="19">
        <v>2</v>
      </c>
      <c r="I135" s="26" t="s">
        <v>81</v>
      </c>
      <c r="J135" s="19">
        <v>0</v>
      </c>
      <c r="K135" s="19" t="s">
        <v>109</v>
      </c>
      <c r="L135" s="19">
        <v>800001011</v>
      </c>
      <c r="M135" s="19">
        <v>1</v>
      </c>
      <c r="N135" s="21">
        <v>3</v>
      </c>
      <c r="O135" s="19">
        <v>1</v>
      </c>
      <c r="P135" s="19">
        <v>8</v>
      </c>
      <c r="Q135" s="19">
        <v>0</v>
      </c>
      <c r="R135" s="19">
        <v>25</v>
      </c>
      <c r="S135" s="19">
        <v>-5000</v>
      </c>
      <c r="T135" s="19">
        <v>1</v>
      </c>
      <c r="U135" s="19">
        <v>0</v>
      </c>
      <c r="V135" s="19" t="s">
        <v>82</v>
      </c>
      <c r="W135" s="19" t="s">
        <v>82</v>
      </c>
      <c r="X135" s="19" t="s">
        <v>82</v>
      </c>
      <c r="Y135" s="23">
        <v>20010001</v>
      </c>
      <c r="Z135" s="23">
        <v>0</v>
      </c>
      <c r="AA135" s="19">
        <v>1</v>
      </c>
      <c r="AB135" s="24" t="s">
        <v>83</v>
      </c>
      <c r="AC135" s="19">
        <v>10000</v>
      </c>
      <c r="AD135" s="19">
        <v>10000</v>
      </c>
      <c r="AE135" s="19">
        <v>0</v>
      </c>
      <c r="AF135" s="24">
        <v>40</v>
      </c>
      <c r="AG135" s="24">
        <v>0</v>
      </c>
      <c r="AH135" s="24">
        <v>0</v>
      </c>
      <c r="AI135" s="24">
        <v>0</v>
      </c>
      <c r="AJ135" s="24">
        <v>0</v>
      </c>
    </row>
    <row r="136" spans="1:36" ht="14.25" x14ac:dyDescent="0.2">
      <c r="A136" s="19">
        <v>90000704</v>
      </c>
      <c r="B136" s="19">
        <v>3</v>
      </c>
      <c r="C136" s="19" t="s">
        <v>219</v>
      </c>
      <c r="D136" s="19"/>
      <c r="E136" s="20"/>
      <c r="F136" s="19"/>
      <c r="G136" s="19">
        <v>1</v>
      </c>
      <c r="H136" s="19">
        <v>2</v>
      </c>
      <c r="I136" s="26" t="s">
        <v>81</v>
      </c>
      <c r="J136" s="19">
        <v>0</v>
      </c>
      <c r="K136" s="19" t="s">
        <v>115</v>
      </c>
      <c r="L136" s="19">
        <v>800001021</v>
      </c>
      <c r="M136" s="19">
        <v>1</v>
      </c>
      <c r="N136" s="21">
        <v>4</v>
      </c>
      <c r="O136" s="19">
        <v>1</v>
      </c>
      <c r="P136" s="19">
        <v>8</v>
      </c>
      <c r="Q136" s="19">
        <v>0</v>
      </c>
      <c r="R136" s="19">
        <v>25</v>
      </c>
      <c r="S136" s="19">
        <v>-5000</v>
      </c>
      <c r="T136" s="19">
        <v>1</v>
      </c>
      <c r="U136" s="19">
        <v>0</v>
      </c>
      <c r="V136" s="19" t="s">
        <v>82</v>
      </c>
      <c r="W136" s="19" t="s">
        <v>82</v>
      </c>
      <c r="X136" s="19" t="s">
        <v>82</v>
      </c>
      <c r="Y136" s="23">
        <v>20010001</v>
      </c>
      <c r="Z136" s="23">
        <v>0</v>
      </c>
      <c r="AA136" s="19">
        <v>1</v>
      </c>
      <c r="AB136" s="24" t="s">
        <v>83</v>
      </c>
      <c r="AC136" s="19">
        <v>10000</v>
      </c>
      <c r="AD136" s="19">
        <v>10000</v>
      </c>
      <c r="AE136" s="19">
        <v>0</v>
      </c>
      <c r="AF136" s="24">
        <v>40</v>
      </c>
      <c r="AG136" s="24">
        <v>0</v>
      </c>
      <c r="AH136" s="24">
        <v>0</v>
      </c>
      <c r="AI136" s="24">
        <v>0</v>
      </c>
      <c r="AJ136" s="24">
        <v>0</v>
      </c>
    </row>
    <row r="137" spans="1:36" ht="14.25" x14ac:dyDescent="0.2">
      <c r="A137" s="19">
        <v>90000705</v>
      </c>
      <c r="B137" s="19">
        <v>3</v>
      </c>
      <c r="C137" s="19" t="s">
        <v>220</v>
      </c>
      <c r="D137" s="19"/>
      <c r="E137" s="20"/>
      <c r="F137" s="19"/>
      <c r="G137" s="19">
        <v>1</v>
      </c>
      <c r="H137" s="19">
        <v>2</v>
      </c>
      <c r="I137" s="26" t="s">
        <v>81</v>
      </c>
      <c r="J137" s="19">
        <v>0</v>
      </c>
      <c r="K137" s="19" t="s">
        <v>115</v>
      </c>
      <c r="L137" s="19">
        <v>800001021</v>
      </c>
      <c r="M137" s="19">
        <v>1</v>
      </c>
      <c r="N137" s="21">
        <v>5</v>
      </c>
      <c r="O137" s="19">
        <v>1</v>
      </c>
      <c r="P137" s="19">
        <v>8</v>
      </c>
      <c r="Q137" s="19">
        <v>0</v>
      </c>
      <c r="R137" s="19">
        <v>25</v>
      </c>
      <c r="S137" s="19">
        <v>-5000</v>
      </c>
      <c r="T137" s="19">
        <v>1</v>
      </c>
      <c r="U137" s="19">
        <v>0</v>
      </c>
      <c r="V137" s="19" t="s">
        <v>82</v>
      </c>
      <c r="W137" s="19" t="s">
        <v>82</v>
      </c>
      <c r="X137" s="19" t="s">
        <v>82</v>
      </c>
      <c r="Y137" s="23">
        <v>20010001</v>
      </c>
      <c r="Z137" s="23">
        <v>0</v>
      </c>
      <c r="AA137" s="19">
        <v>1</v>
      </c>
      <c r="AB137" s="24" t="s">
        <v>83</v>
      </c>
      <c r="AC137" s="19">
        <v>10000</v>
      </c>
      <c r="AD137" s="19">
        <v>10000</v>
      </c>
      <c r="AE137" s="19">
        <v>0</v>
      </c>
      <c r="AF137" s="24">
        <v>40</v>
      </c>
      <c r="AG137" s="24">
        <v>0</v>
      </c>
      <c r="AH137" s="24">
        <v>0</v>
      </c>
      <c r="AI137" s="24">
        <v>0</v>
      </c>
      <c r="AJ137" s="24">
        <v>0</v>
      </c>
    </row>
    <row r="138" spans="1:36" ht="14.25" x14ac:dyDescent="0.2">
      <c r="A138" s="19">
        <v>90000706</v>
      </c>
      <c r="B138" s="19">
        <v>3</v>
      </c>
      <c r="C138" s="19" t="s">
        <v>221</v>
      </c>
      <c r="D138" s="19"/>
      <c r="E138" s="20"/>
      <c r="F138" s="19"/>
      <c r="G138" s="19">
        <v>1</v>
      </c>
      <c r="H138" s="19">
        <v>2</v>
      </c>
      <c r="I138" s="26" t="s">
        <v>81</v>
      </c>
      <c r="J138" s="19">
        <v>0</v>
      </c>
      <c r="K138" s="19" t="s">
        <v>115</v>
      </c>
      <c r="L138" s="19">
        <v>800001021</v>
      </c>
      <c r="M138" s="19">
        <v>1</v>
      </c>
      <c r="N138" s="21">
        <v>13</v>
      </c>
      <c r="O138" s="19">
        <v>1</v>
      </c>
      <c r="P138" s="19">
        <v>8</v>
      </c>
      <c r="Q138" s="19">
        <v>0</v>
      </c>
      <c r="R138" s="19">
        <v>25</v>
      </c>
      <c r="S138" s="19">
        <v>-5000</v>
      </c>
      <c r="T138" s="19">
        <v>1</v>
      </c>
      <c r="U138" s="19">
        <v>0</v>
      </c>
      <c r="V138" s="19" t="s">
        <v>82</v>
      </c>
      <c r="W138" s="19" t="s">
        <v>82</v>
      </c>
      <c r="X138" s="19" t="s">
        <v>82</v>
      </c>
      <c r="Y138" s="23">
        <v>20010001</v>
      </c>
      <c r="Z138" s="23">
        <v>0</v>
      </c>
      <c r="AA138" s="19">
        <v>1</v>
      </c>
      <c r="AB138" s="24" t="s">
        <v>83</v>
      </c>
      <c r="AC138" s="19">
        <v>10000</v>
      </c>
      <c r="AD138" s="19">
        <v>10000</v>
      </c>
      <c r="AE138" s="19">
        <v>0</v>
      </c>
      <c r="AF138" s="24">
        <v>40</v>
      </c>
      <c r="AG138" s="24">
        <v>0</v>
      </c>
      <c r="AH138" s="24">
        <v>0</v>
      </c>
      <c r="AI138" s="24">
        <v>0</v>
      </c>
      <c r="AJ138" s="24">
        <v>0</v>
      </c>
    </row>
    <row r="139" spans="1:36" ht="14.25" x14ac:dyDescent="0.2">
      <c r="A139" s="19">
        <v>90000707</v>
      </c>
      <c r="B139" s="19">
        <v>3</v>
      </c>
      <c r="C139" s="19" t="s">
        <v>222</v>
      </c>
      <c r="D139" s="19"/>
      <c r="E139" s="20"/>
      <c r="F139" s="19"/>
      <c r="G139" s="19">
        <v>1</v>
      </c>
      <c r="H139" s="19">
        <v>2</v>
      </c>
      <c r="I139" s="26" t="s">
        <v>81</v>
      </c>
      <c r="J139" s="19">
        <v>0</v>
      </c>
      <c r="K139" s="19" t="s">
        <v>115</v>
      </c>
      <c r="L139" s="19">
        <v>800001021</v>
      </c>
      <c r="M139" s="19">
        <v>1</v>
      </c>
      <c r="N139" s="21">
        <v>15</v>
      </c>
      <c r="O139" s="19">
        <v>1</v>
      </c>
      <c r="P139" s="19">
        <v>8</v>
      </c>
      <c r="Q139" s="19">
        <v>0</v>
      </c>
      <c r="R139" s="19">
        <v>25</v>
      </c>
      <c r="S139" s="19">
        <v>-5000</v>
      </c>
      <c r="T139" s="19">
        <v>1</v>
      </c>
      <c r="U139" s="19">
        <v>0</v>
      </c>
      <c r="V139" s="19" t="s">
        <v>82</v>
      </c>
      <c r="W139" s="19" t="s">
        <v>82</v>
      </c>
      <c r="X139" s="19" t="s">
        <v>82</v>
      </c>
      <c r="Y139" s="23">
        <v>20010001</v>
      </c>
      <c r="Z139" s="23">
        <v>0</v>
      </c>
      <c r="AA139" s="19">
        <v>1</v>
      </c>
      <c r="AB139" s="24" t="s">
        <v>83</v>
      </c>
      <c r="AC139" s="19">
        <v>10000</v>
      </c>
      <c r="AD139" s="19">
        <v>10000</v>
      </c>
      <c r="AE139" s="19">
        <v>0</v>
      </c>
      <c r="AF139" s="24">
        <v>40</v>
      </c>
      <c r="AG139" s="24">
        <v>0</v>
      </c>
      <c r="AH139" s="24">
        <v>0</v>
      </c>
      <c r="AI139" s="24">
        <v>0</v>
      </c>
      <c r="AJ139" s="24">
        <v>0</v>
      </c>
    </row>
    <row r="140" spans="1:36" ht="14.25" x14ac:dyDescent="0.2">
      <c r="A140" s="19">
        <v>90000708</v>
      </c>
      <c r="B140" s="19">
        <v>3</v>
      </c>
      <c r="C140" s="19" t="s">
        <v>223</v>
      </c>
      <c r="D140" s="19"/>
      <c r="E140" s="20"/>
      <c r="F140" s="19"/>
      <c r="G140" s="19">
        <v>1</v>
      </c>
      <c r="H140" s="19">
        <v>2</v>
      </c>
      <c r="I140" s="26" t="s">
        <v>81</v>
      </c>
      <c r="J140" s="19">
        <v>0</v>
      </c>
      <c r="K140" s="19" t="s">
        <v>155</v>
      </c>
      <c r="L140" s="19">
        <v>800011011</v>
      </c>
      <c r="M140" s="19">
        <v>1</v>
      </c>
      <c r="N140" s="21">
        <v>35</v>
      </c>
      <c r="O140" s="19">
        <v>1</v>
      </c>
      <c r="P140" s="19">
        <v>8</v>
      </c>
      <c r="Q140" s="19">
        <v>0</v>
      </c>
      <c r="R140" s="19">
        <v>25</v>
      </c>
      <c r="S140" s="19">
        <v>-5000</v>
      </c>
      <c r="T140" s="19">
        <v>1</v>
      </c>
      <c r="U140" s="19">
        <v>0</v>
      </c>
      <c r="V140" s="19" t="s">
        <v>82</v>
      </c>
      <c r="W140" s="19" t="s">
        <v>82</v>
      </c>
      <c r="X140" s="19" t="s">
        <v>82</v>
      </c>
      <c r="Y140" s="23">
        <v>20010001</v>
      </c>
      <c r="Z140" s="23">
        <v>0</v>
      </c>
      <c r="AA140" s="19">
        <v>1</v>
      </c>
      <c r="AB140" s="24" t="s">
        <v>83</v>
      </c>
      <c r="AC140" s="19">
        <v>10000</v>
      </c>
      <c r="AD140" s="19">
        <v>10000</v>
      </c>
      <c r="AE140" s="19">
        <v>0</v>
      </c>
      <c r="AF140" s="24">
        <v>40</v>
      </c>
      <c r="AG140" s="24">
        <v>0</v>
      </c>
      <c r="AH140" s="24">
        <v>0</v>
      </c>
      <c r="AI140" s="24">
        <v>0</v>
      </c>
      <c r="AJ140" s="24">
        <v>0</v>
      </c>
    </row>
    <row r="141" spans="1:36" ht="14.25" x14ac:dyDescent="0.2">
      <c r="A141" s="19">
        <v>90000709</v>
      </c>
      <c r="B141" s="19">
        <v>3</v>
      </c>
      <c r="C141" s="19" t="s">
        <v>224</v>
      </c>
      <c r="D141" s="19"/>
      <c r="E141" s="20"/>
      <c r="F141" s="19"/>
      <c r="G141" s="19">
        <v>1</v>
      </c>
      <c r="H141" s="19">
        <v>2</v>
      </c>
      <c r="I141" s="26" t="s">
        <v>81</v>
      </c>
      <c r="J141" s="19">
        <v>0</v>
      </c>
      <c r="K141" s="19" t="s">
        <v>155</v>
      </c>
      <c r="L141" s="19">
        <v>800011011</v>
      </c>
      <c r="M141" s="19">
        <v>1</v>
      </c>
      <c r="N141" s="21">
        <v>40</v>
      </c>
      <c r="O141" s="19">
        <v>1</v>
      </c>
      <c r="P141" s="19">
        <v>8</v>
      </c>
      <c r="Q141" s="19">
        <v>0</v>
      </c>
      <c r="R141" s="19">
        <v>25</v>
      </c>
      <c r="S141" s="19">
        <v>-5000</v>
      </c>
      <c r="T141" s="19">
        <v>1</v>
      </c>
      <c r="U141" s="19">
        <v>0</v>
      </c>
      <c r="V141" s="19" t="s">
        <v>82</v>
      </c>
      <c r="W141" s="19" t="s">
        <v>82</v>
      </c>
      <c r="X141" s="19" t="s">
        <v>82</v>
      </c>
      <c r="Y141" s="23">
        <v>20010001</v>
      </c>
      <c r="Z141" s="23">
        <v>0</v>
      </c>
      <c r="AA141" s="19">
        <v>1</v>
      </c>
      <c r="AB141" s="24" t="s">
        <v>83</v>
      </c>
      <c r="AC141" s="19">
        <v>10000</v>
      </c>
      <c r="AD141" s="19">
        <v>10000</v>
      </c>
      <c r="AE141" s="19">
        <v>0</v>
      </c>
      <c r="AF141" s="24">
        <v>40</v>
      </c>
      <c r="AG141" s="24">
        <v>0</v>
      </c>
      <c r="AH141" s="24">
        <v>0</v>
      </c>
      <c r="AI141" s="24">
        <v>0</v>
      </c>
      <c r="AJ141" s="24">
        <v>0</v>
      </c>
    </row>
    <row r="142" spans="1:36" ht="14.25" x14ac:dyDescent="0.2">
      <c r="A142" s="19">
        <v>90000710</v>
      </c>
      <c r="B142" s="19">
        <v>3</v>
      </c>
      <c r="C142" s="19" t="s">
        <v>225</v>
      </c>
      <c r="D142" s="19"/>
      <c r="E142" s="20"/>
      <c r="F142" s="19"/>
      <c r="G142" s="19">
        <v>1</v>
      </c>
      <c r="H142" s="19">
        <v>2</v>
      </c>
      <c r="I142" s="26" t="s">
        <v>81</v>
      </c>
      <c r="J142" s="19">
        <v>0</v>
      </c>
      <c r="K142" s="19" t="s">
        <v>155</v>
      </c>
      <c r="L142" s="19">
        <v>800011011</v>
      </c>
      <c r="M142" s="19">
        <v>1</v>
      </c>
      <c r="N142" s="21">
        <v>90</v>
      </c>
      <c r="O142" s="19">
        <v>1</v>
      </c>
      <c r="P142" s="19">
        <v>8</v>
      </c>
      <c r="Q142" s="19">
        <v>0</v>
      </c>
      <c r="R142" s="19">
        <v>25</v>
      </c>
      <c r="S142" s="19">
        <v>-5000</v>
      </c>
      <c r="T142" s="19">
        <v>1</v>
      </c>
      <c r="U142" s="19">
        <v>0</v>
      </c>
      <c r="V142" s="19" t="s">
        <v>82</v>
      </c>
      <c r="W142" s="19" t="s">
        <v>82</v>
      </c>
      <c r="X142" s="19" t="s">
        <v>82</v>
      </c>
      <c r="Y142" s="23">
        <v>20010001</v>
      </c>
      <c r="Z142" s="23">
        <v>0</v>
      </c>
      <c r="AA142" s="19">
        <v>1</v>
      </c>
      <c r="AB142" s="24" t="s">
        <v>83</v>
      </c>
      <c r="AC142" s="19">
        <v>10000</v>
      </c>
      <c r="AD142" s="19">
        <v>10000</v>
      </c>
      <c r="AE142" s="19">
        <v>0</v>
      </c>
      <c r="AF142" s="24">
        <v>40</v>
      </c>
      <c r="AG142" s="24">
        <v>0</v>
      </c>
      <c r="AH142" s="24">
        <v>0</v>
      </c>
      <c r="AI142" s="24">
        <v>0</v>
      </c>
      <c r="AJ142" s="24">
        <v>0</v>
      </c>
    </row>
    <row r="143" spans="1:36" ht="14.25" x14ac:dyDescent="0.2">
      <c r="A143" s="19">
        <v>90000711</v>
      </c>
      <c r="B143" s="19">
        <v>3</v>
      </c>
      <c r="C143" s="19" t="s">
        <v>226</v>
      </c>
      <c r="D143" s="19"/>
      <c r="E143" s="20"/>
      <c r="F143" s="19"/>
      <c r="G143" s="19">
        <v>1</v>
      </c>
      <c r="H143" s="19">
        <v>2</v>
      </c>
      <c r="I143" s="26" t="s">
        <v>81</v>
      </c>
      <c r="J143" s="19">
        <v>0</v>
      </c>
      <c r="K143" s="19" t="s">
        <v>155</v>
      </c>
      <c r="L143" s="19">
        <v>800011011</v>
      </c>
      <c r="M143" s="19">
        <v>1</v>
      </c>
      <c r="N143" s="21">
        <v>100</v>
      </c>
      <c r="O143" s="19">
        <v>1</v>
      </c>
      <c r="P143" s="19">
        <v>8</v>
      </c>
      <c r="Q143" s="19">
        <v>0</v>
      </c>
      <c r="R143" s="19">
        <v>25</v>
      </c>
      <c r="S143" s="19">
        <v>-5000</v>
      </c>
      <c r="T143" s="19">
        <v>1</v>
      </c>
      <c r="U143" s="19">
        <v>0</v>
      </c>
      <c r="V143" s="19" t="s">
        <v>82</v>
      </c>
      <c r="W143" s="19" t="s">
        <v>82</v>
      </c>
      <c r="X143" s="19" t="s">
        <v>82</v>
      </c>
      <c r="Y143" s="23">
        <v>20010001</v>
      </c>
      <c r="Z143" s="23">
        <v>0</v>
      </c>
      <c r="AA143" s="19">
        <v>1</v>
      </c>
      <c r="AB143" s="24" t="s">
        <v>83</v>
      </c>
      <c r="AC143" s="19">
        <v>10000</v>
      </c>
      <c r="AD143" s="19">
        <v>10000</v>
      </c>
      <c r="AE143" s="19">
        <v>0</v>
      </c>
      <c r="AF143" s="24">
        <v>40</v>
      </c>
      <c r="AG143" s="24">
        <v>0</v>
      </c>
      <c r="AH143" s="24">
        <v>0</v>
      </c>
      <c r="AI143" s="24">
        <v>0</v>
      </c>
      <c r="AJ143" s="24">
        <v>0</v>
      </c>
    </row>
    <row r="144" spans="1:36" ht="14.25" x14ac:dyDescent="0.2">
      <c r="A144" s="19">
        <v>90000712</v>
      </c>
      <c r="B144" s="19">
        <v>3</v>
      </c>
      <c r="C144" s="19" t="s">
        <v>227</v>
      </c>
      <c r="D144" s="19"/>
      <c r="E144" s="20"/>
      <c r="F144" s="19"/>
      <c r="G144" s="19">
        <v>1</v>
      </c>
      <c r="H144" s="19">
        <v>2</v>
      </c>
      <c r="I144" s="26" t="s">
        <v>81</v>
      </c>
      <c r="J144" s="19">
        <v>0</v>
      </c>
      <c r="K144" s="19" t="s">
        <v>156</v>
      </c>
      <c r="L144" s="19">
        <v>800011021</v>
      </c>
      <c r="M144" s="19">
        <v>1</v>
      </c>
      <c r="N144" s="21">
        <v>240</v>
      </c>
      <c r="O144" s="19">
        <v>1</v>
      </c>
      <c r="P144" s="19">
        <v>8</v>
      </c>
      <c r="Q144" s="19">
        <v>0</v>
      </c>
      <c r="R144" s="19">
        <v>25</v>
      </c>
      <c r="S144" s="19">
        <v>-5000</v>
      </c>
      <c r="T144" s="19">
        <v>1</v>
      </c>
      <c r="U144" s="19">
        <v>0</v>
      </c>
      <c r="V144" s="19" t="s">
        <v>82</v>
      </c>
      <c r="W144" s="19" t="s">
        <v>82</v>
      </c>
      <c r="X144" s="19" t="s">
        <v>82</v>
      </c>
      <c r="Y144" s="23">
        <v>20010001</v>
      </c>
      <c r="Z144" s="23">
        <v>0</v>
      </c>
      <c r="AA144" s="19">
        <v>1</v>
      </c>
      <c r="AB144" s="24" t="s">
        <v>83</v>
      </c>
      <c r="AC144" s="19">
        <v>10000</v>
      </c>
      <c r="AD144" s="19">
        <v>10000</v>
      </c>
      <c r="AE144" s="19">
        <v>0</v>
      </c>
      <c r="AF144" s="24">
        <v>40</v>
      </c>
      <c r="AG144" s="24">
        <v>0</v>
      </c>
      <c r="AH144" s="24">
        <v>0</v>
      </c>
      <c r="AI144" s="24">
        <v>0</v>
      </c>
      <c r="AJ144" s="24">
        <v>0</v>
      </c>
    </row>
    <row r="145" spans="1:36" ht="14.25" x14ac:dyDescent="0.2">
      <c r="A145" s="19">
        <v>90000713</v>
      </c>
      <c r="B145" s="19">
        <v>3</v>
      </c>
      <c r="C145" s="19" t="s">
        <v>228</v>
      </c>
      <c r="D145" s="19"/>
      <c r="E145" s="20"/>
      <c r="F145" s="19"/>
      <c r="G145" s="19">
        <v>1</v>
      </c>
      <c r="H145" s="19">
        <v>2</v>
      </c>
      <c r="I145" s="26" t="s">
        <v>81</v>
      </c>
      <c r="J145" s="19">
        <v>0</v>
      </c>
      <c r="K145" s="19" t="s">
        <v>156</v>
      </c>
      <c r="L145" s="19">
        <v>800011021</v>
      </c>
      <c r="M145" s="19">
        <v>1</v>
      </c>
      <c r="N145" s="21">
        <v>300</v>
      </c>
      <c r="O145" s="19">
        <v>1</v>
      </c>
      <c r="P145" s="19">
        <v>8</v>
      </c>
      <c r="Q145" s="19">
        <v>0</v>
      </c>
      <c r="R145" s="19">
        <v>25</v>
      </c>
      <c r="S145" s="19">
        <v>-5000</v>
      </c>
      <c r="T145" s="19">
        <v>1</v>
      </c>
      <c r="U145" s="19">
        <v>0</v>
      </c>
      <c r="V145" s="19" t="s">
        <v>82</v>
      </c>
      <c r="W145" s="19" t="s">
        <v>82</v>
      </c>
      <c r="X145" s="19" t="s">
        <v>82</v>
      </c>
      <c r="Y145" s="23">
        <v>20010001</v>
      </c>
      <c r="Z145" s="23">
        <v>0</v>
      </c>
      <c r="AA145" s="19">
        <v>1</v>
      </c>
      <c r="AB145" s="24" t="s">
        <v>83</v>
      </c>
      <c r="AC145" s="19">
        <v>10000</v>
      </c>
      <c r="AD145" s="19">
        <v>10000</v>
      </c>
      <c r="AE145" s="19">
        <v>0</v>
      </c>
      <c r="AF145" s="24">
        <v>40</v>
      </c>
      <c r="AG145" s="24">
        <v>0</v>
      </c>
      <c r="AH145" s="24">
        <v>0</v>
      </c>
      <c r="AI145" s="24">
        <v>0</v>
      </c>
      <c r="AJ145" s="24">
        <v>0</v>
      </c>
    </row>
    <row r="146" spans="1:36" ht="14.25" x14ac:dyDescent="0.2">
      <c r="A146" s="19">
        <v>90000714</v>
      </c>
      <c r="B146" s="19">
        <v>3</v>
      </c>
      <c r="C146" s="19" t="s">
        <v>229</v>
      </c>
      <c r="D146" s="19"/>
      <c r="E146" s="20"/>
      <c r="F146" s="19"/>
      <c r="G146" s="19">
        <v>1</v>
      </c>
      <c r="H146" s="19">
        <v>2</v>
      </c>
      <c r="I146" s="26" t="s">
        <v>81</v>
      </c>
      <c r="J146" s="19">
        <v>0</v>
      </c>
      <c r="K146" s="19" t="s">
        <v>156</v>
      </c>
      <c r="L146" s="19">
        <v>800011021</v>
      </c>
      <c r="M146" s="19">
        <v>1</v>
      </c>
      <c r="N146" s="21">
        <v>700</v>
      </c>
      <c r="O146" s="19">
        <v>1</v>
      </c>
      <c r="P146" s="19">
        <v>8</v>
      </c>
      <c r="Q146" s="19">
        <v>0</v>
      </c>
      <c r="R146" s="19">
        <v>25</v>
      </c>
      <c r="S146" s="19">
        <v>-5000</v>
      </c>
      <c r="T146" s="19">
        <v>1</v>
      </c>
      <c r="U146" s="19">
        <v>0</v>
      </c>
      <c r="V146" s="19" t="s">
        <v>82</v>
      </c>
      <c r="W146" s="19" t="s">
        <v>82</v>
      </c>
      <c r="X146" s="19" t="s">
        <v>82</v>
      </c>
      <c r="Y146" s="23">
        <v>20010001</v>
      </c>
      <c r="Z146" s="23">
        <v>0</v>
      </c>
      <c r="AA146" s="19">
        <v>1</v>
      </c>
      <c r="AB146" s="24" t="s">
        <v>83</v>
      </c>
      <c r="AC146" s="19">
        <v>10000</v>
      </c>
      <c r="AD146" s="19">
        <v>10000</v>
      </c>
      <c r="AE146" s="19">
        <v>0</v>
      </c>
      <c r="AF146" s="24">
        <v>40</v>
      </c>
      <c r="AG146" s="24">
        <v>0</v>
      </c>
      <c r="AH146" s="24">
        <v>0</v>
      </c>
      <c r="AI146" s="24">
        <v>0</v>
      </c>
      <c r="AJ146" s="24">
        <v>0</v>
      </c>
    </row>
    <row r="147" spans="1:36" ht="14.25" x14ac:dyDescent="0.2">
      <c r="A147" s="19">
        <v>90000715</v>
      </c>
      <c r="B147" s="19">
        <v>3</v>
      </c>
      <c r="C147" s="19" t="s">
        <v>230</v>
      </c>
      <c r="D147" s="19"/>
      <c r="E147" s="20"/>
      <c r="F147" s="19"/>
      <c r="G147" s="19">
        <v>1</v>
      </c>
      <c r="H147" s="19">
        <v>2</v>
      </c>
      <c r="I147" s="26" t="s">
        <v>81</v>
      </c>
      <c r="J147" s="19">
        <v>0</v>
      </c>
      <c r="K147" s="19" t="s">
        <v>156</v>
      </c>
      <c r="L147" s="19">
        <v>800011021</v>
      </c>
      <c r="M147" s="19">
        <v>1</v>
      </c>
      <c r="N147" s="21">
        <v>800</v>
      </c>
      <c r="O147" s="19">
        <v>1</v>
      </c>
      <c r="P147" s="19">
        <v>8</v>
      </c>
      <c r="Q147" s="19">
        <v>0</v>
      </c>
      <c r="R147" s="19">
        <v>25</v>
      </c>
      <c r="S147" s="19">
        <v>-5000</v>
      </c>
      <c r="T147" s="19">
        <v>1</v>
      </c>
      <c r="U147" s="19">
        <v>0</v>
      </c>
      <c r="V147" s="19" t="s">
        <v>82</v>
      </c>
      <c r="W147" s="19" t="s">
        <v>82</v>
      </c>
      <c r="X147" s="19" t="s">
        <v>82</v>
      </c>
      <c r="Y147" s="23">
        <v>20010001</v>
      </c>
      <c r="Z147" s="23">
        <v>0</v>
      </c>
      <c r="AA147" s="19">
        <v>1</v>
      </c>
      <c r="AB147" s="24" t="s">
        <v>83</v>
      </c>
      <c r="AC147" s="19">
        <v>10000</v>
      </c>
      <c r="AD147" s="19">
        <v>10000</v>
      </c>
      <c r="AE147" s="19">
        <v>0</v>
      </c>
      <c r="AF147" s="24">
        <v>40</v>
      </c>
      <c r="AG147" s="24">
        <v>0</v>
      </c>
      <c r="AH147" s="24">
        <v>0</v>
      </c>
      <c r="AI147" s="24">
        <v>0</v>
      </c>
      <c r="AJ147" s="24">
        <v>0</v>
      </c>
    </row>
    <row r="148" spans="1:36" ht="14.25" x14ac:dyDescent="0.2">
      <c r="A148" s="19">
        <v>90000716</v>
      </c>
      <c r="B148" s="19">
        <v>3</v>
      </c>
      <c r="C148" s="19" t="s">
        <v>231</v>
      </c>
      <c r="D148" s="19"/>
      <c r="E148" s="20"/>
      <c r="F148" s="19"/>
      <c r="G148" s="19">
        <v>1</v>
      </c>
      <c r="H148" s="19">
        <v>2</v>
      </c>
      <c r="I148" s="26" t="s">
        <v>81</v>
      </c>
      <c r="J148" s="19">
        <v>0</v>
      </c>
      <c r="K148" s="19" t="s">
        <v>156</v>
      </c>
      <c r="L148" s="19">
        <v>800011021</v>
      </c>
      <c r="M148" s="19">
        <v>1</v>
      </c>
      <c r="N148" s="21">
        <v>1500</v>
      </c>
      <c r="O148" s="19">
        <v>1</v>
      </c>
      <c r="P148" s="19">
        <v>8</v>
      </c>
      <c r="Q148" s="19">
        <v>0</v>
      </c>
      <c r="R148" s="19">
        <v>25</v>
      </c>
      <c r="S148" s="19">
        <v>-5000</v>
      </c>
      <c r="T148" s="19">
        <v>1</v>
      </c>
      <c r="U148" s="19">
        <v>0</v>
      </c>
      <c r="V148" s="19" t="s">
        <v>82</v>
      </c>
      <c r="W148" s="19" t="s">
        <v>82</v>
      </c>
      <c r="X148" s="19" t="s">
        <v>82</v>
      </c>
      <c r="Y148" s="23">
        <v>20010001</v>
      </c>
      <c r="Z148" s="23">
        <v>0</v>
      </c>
      <c r="AA148" s="19">
        <v>1</v>
      </c>
      <c r="AB148" s="24" t="s">
        <v>83</v>
      </c>
      <c r="AC148" s="19">
        <v>10000</v>
      </c>
      <c r="AD148" s="19">
        <v>10000</v>
      </c>
      <c r="AE148" s="19">
        <v>0</v>
      </c>
      <c r="AF148" s="24">
        <v>40</v>
      </c>
      <c r="AG148" s="24">
        <v>0</v>
      </c>
      <c r="AH148" s="24">
        <v>0</v>
      </c>
      <c r="AI148" s="24">
        <v>0</v>
      </c>
      <c r="AJ148" s="24">
        <v>0</v>
      </c>
    </row>
    <row r="149" spans="1:36" ht="14.25" x14ac:dyDescent="0.2">
      <c r="A149" s="19">
        <v>90000717</v>
      </c>
      <c r="B149" s="19">
        <v>3</v>
      </c>
      <c r="C149" s="19" t="s">
        <v>232</v>
      </c>
      <c r="D149" s="19"/>
      <c r="E149" s="20"/>
      <c r="F149" s="19"/>
      <c r="G149" s="19">
        <v>1</v>
      </c>
      <c r="H149" s="19">
        <v>2</v>
      </c>
      <c r="I149" s="26" t="s">
        <v>81</v>
      </c>
      <c r="J149" s="19">
        <v>0</v>
      </c>
      <c r="K149" s="19" t="s">
        <v>156</v>
      </c>
      <c r="L149" s="19">
        <v>800011021</v>
      </c>
      <c r="M149" s="19">
        <v>1</v>
      </c>
      <c r="N149" s="21">
        <v>3000</v>
      </c>
      <c r="O149" s="19">
        <v>1</v>
      </c>
      <c r="P149" s="19">
        <v>8</v>
      </c>
      <c r="Q149" s="19">
        <v>0</v>
      </c>
      <c r="R149" s="19">
        <v>25</v>
      </c>
      <c r="S149" s="19">
        <v>-5000</v>
      </c>
      <c r="T149" s="19">
        <v>1</v>
      </c>
      <c r="U149" s="19">
        <v>0</v>
      </c>
      <c r="V149" s="19" t="s">
        <v>82</v>
      </c>
      <c r="W149" s="19" t="s">
        <v>82</v>
      </c>
      <c r="X149" s="19" t="s">
        <v>82</v>
      </c>
      <c r="Y149" s="23">
        <v>20010001</v>
      </c>
      <c r="Z149" s="23">
        <v>0</v>
      </c>
      <c r="AA149" s="19">
        <v>1</v>
      </c>
      <c r="AB149" s="24" t="s">
        <v>83</v>
      </c>
      <c r="AC149" s="19">
        <v>10000</v>
      </c>
      <c r="AD149" s="19">
        <v>10000</v>
      </c>
      <c r="AE149" s="19">
        <v>0</v>
      </c>
      <c r="AF149" s="24">
        <v>40</v>
      </c>
      <c r="AG149" s="24">
        <v>0</v>
      </c>
      <c r="AH149" s="24">
        <v>0</v>
      </c>
      <c r="AI149" s="24">
        <v>0</v>
      </c>
      <c r="AJ149" s="24">
        <v>0</v>
      </c>
    </row>
    <row r="150" spans="1:36" ht="14.25" x14ac:dyDescent="0.2">
      <c r="A150" s="19">
        <v>90000718</v>
      </c>
      <c r="B150" s="19">
        <v>3</v>
      </c>
      <c r="C150" s="19" t="s">
        <v>233</v>
      </c>
      <c r="D150" s="19"/>
      <c r="E150" s="20"/>
      <c r="F150" s="19"/>
      <c r="G150" s="19">
        <v>1</v>
      </c>
      <c r="H150" s="19">
        <v>2</v>
      </c>
      <c r="I150" s="26" t="s">
        <v>81</v>
      </c>
      <c r="J150" s="19">
        <v>0</v>
      </c>
      <c r="K150" s="19" t="s">
        <v>156</v>
      </c>
      <c r="L150" s="19">
        <v>800011021</v>
      </c>
      <c r="M150" s="19">
        <v>1</v>
      </c>
      <c r="N150" s="21">
        <v>4800</v>
      </c>
      <c r="O150" s="19">
        <v>1</v>
      </c>
      <c r="P150" s="19">
        <v>8</v>
      </c>
      <c r="Q150" s="19">
        <v>0</v>
      </c>
      <c r="R150" s="19">
        <v>25</v>
      </c>
      <c r="S150" s="19">
        <v>-5000</v>
      </c>
      <c r="T150" s="19">
        <v>1</v>
      </c>
      <c r="U150" s="19">
        <v>0</v>
      </c>
      <c r="V150" s="19" t="s">
        <v>82</v>
      </c>
      <c r="W150" s="19" t="s">
        <v>82</v>
      </c>
      <c r="X150" s="19" t="s">
        <v>82</v>
      </c>
      <c r="Y150" s="23">
        <v>20010001</v>
      </c>
      <c r="Z150" s="23">
        <v>0</v>
      </c>
      <c r="AA150" s="19">
        <v>1</v>
      </c>
      <c r="AB150" s="24" t="s">
        <v>83</v>
      </c>
      <c r="AC150" s="19">
        <v>10000</v>
      </c>
      <c r="AD150" s="19">
        <v>10000</v>
      </c>
      <c r="AE150" s="19">
        <v>0</v>
      </c>
      <c r="AF150" s="24">
        <v>40</v>
      </c>
      <c r="AG150" s="24">
        <v>0</v>
      </c>
      <c r="AH150" s="24">
        <v>0</v>
      </c>
      <c r="AI150" s="24">
        <v>0</v>
      </c>
      <c r="AJ150" s="24">
        <v>0</v>
      </c>
    </row>
    <row r="151" spans="1:36" ht="14.25" x14ac:dyDescent="0.2">
      <c r="A151" s="19">
        <v>90000719</v>
      </c>
      <c r="B151" s="19">
        <v>3</v>
      </c>
      <c r="C151" s="19" t="s">
        <v>234</v>
      </c>
      <c r="D151" s="19"/>
      <c r="E151" s="20"/>
      <c r="F151" s="19"/>
      <c r="G151" s="19">
        <v>1</v>
      </c>
      <c r="H151" s="19">
        <v>2</v>
      </c>
      <c r="I151" s="26" t="s">
        <v>81</v>
      </c>
      <c r="J151" s="19">
        <v>0</v>
      </c>
      <c r="K151" s="19" t="s">
        <v>156</v>
      </c>
      <c r="L151" s="19">
        <v>800011021</v>
      </c>
      <c r="M151" s="19">
        <v>1</v>
      </c>
      <c r="N151" s="21">
        <v>8000</v>
      </c>
      <c r="O151" s="19">
        <v>1</v>
      </c>
      <c r="P151" s="19">
        <v>8</v>
      </c>
      <c r="Q151" s="19">
        <v>0</v>
      </c>
      <c r="R151" s="19">
        <v>25</v>
      </c>
      <c r="S151" s="19">
        <v>-5000</v>
      </c>
      <c r="T151" s="19">
        <v>1</v>
      </c>
      <c r="U151" s="19">
        <v>0</v>
      </c>
      <c r="V151" s="19" t="s">
        <v>82</v>
      </c>
      <c r="W151" s="19" t="s">
        <v>82</v>
      </c>
      <c r="X151" s="19" t="s">
        <v>82</v>
      </c>
      <c r="Y151" s="23">
        <v>20010001</v>
      </c>
      <c r="Z151" s="23">
        <v>0</v>
      </c>
      <c r="AA151" s="19">
        <v>1</v>
      </c>
      <c r="AB151" s="24" t="s">
        <v>83</v>
      </c>
      <c r="AC151" s="19">
        <v>10000</v>
      </c>
      <c r="AD151" s="19">
        <v>10000</v>
      </c>
      <c r="AE151" s="19">
        <v>0</v>
      </c>
      <c r="AF151" s="24">
        <v>40</v>
      </c>
      <c r="AG151" s="24">
        <v>0</v>
      </c>
      <c r="AH151" s="24">
        <v>0</v>
      </c>
      <c r="AI151" s="24">
        <v>0</v>
      </c>
      <c r="AJ151" s="24">
        <v>0</v>
      </c>
    </row>
  </sheetData>
  <sortState xmlns:xlrd2="http://schemas.microsoft.com/office/spreadsheetml/2017/richdata2" ref="A5:AD61">
    <sortCondition ref="A5:A61"/>
  </sortState>
  <phoneticPr fontId="14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177</v>
      </c>
      <c r="D6"/>
      <c r="E6"/>
      <c r="F6"/>
      <c r="G6" t="s">
        <v>178</v>
      </c>
      <c r="J6" t="s">
        <v>179</v>
      </c>
      <c r="K6"/>
      <c r="L6"/>
      <c r="M6"/>
      <c r="N6" s="1" t="s">
        <v>180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181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182</v>
      </c>
      <c r="J7">
        <v>990101</v>
      </c>
      <c r="K7" t="s">
        <v>183</v>
      </c>
      <c r="L7" t="s">
        <v>184</v>
      </c>
      <c r="M7">
        <v>1</v>
      </c>
      <c r="N7" s="4">
        <v>20010001</v>
      </c>
      <c r="O7" s="5" t="s">
        <v>184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185</v>
      </c>
      <c r="E8" t="str">
        <f t="shared" si="0"/>
        <v>乌龟怪</v>
      </c>
      <c r="F8">
        <f>VLOOKUP(E8,备注资源组与动作id!$L$7:$M$16,2,FALSE)</f>
        <v>3</v>
      </c>
      <c r="G8" t="s">
        <v>182</v>
      </c>
      <c r="J8">
        <v>990102</v>
      </c>
      <c r="K8" t="s">
        <v>183</v>
      </c>
      <c r="L8" t="s">
        <v>184</v>
      </c>
      <c r="M8">
        <v>1</v>
      </c>
      <c r="N8" s="4">
        <v>20010002</v>
      </c>
      <c r="O8" s="5" t="s">
        <v>184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186</v>
      </c>
      <c r="E9" t="str">
        <f t="shared" si="0"/>
        <v>乌龟怪</v>
      </c>
      <c r="F9">
        <f>VLOOKUP(E9,备注资源组与动作id!$L$7:$M$16,2,FALSE)</f>
        <v>3</v>
      </c>
      <c r="G9" t="s">
        <v>182</v>
      </c>
      <c r="J9">
        <v>990201</v>
      </c>
      <c r="K9" t="s">
        <v>183</v>
      </c>
      <c r="L9" t="s">
        <v>187</v>
      </c>
      <c r="M9">
        <v>2</v>
      </c>
      <c r="N9" s="4">
        <v>20020001</v>
      </c>
      <c r="O9" s="5" t="s">
        <v>188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189</v>
      </c>
      <c r="E10" t="str">
        <f t="shared" si="0"/>
        <v>乌龟怪</v>
      </c>
      <c r="F10">
        <f>VLOOKUP(E10,备注资源组与动作id!$L$7:$M$16,2,FALSE)</f>
        <v>3</v>
      </c>
      <c r="G10" t="s">
        <v>182</v>
      </c>
      <c r="J10">
        <v>990202</v>
      </c>
      <c r="K10" t="s">
        <v>183</v>
      </c>
      <c r="L10" t="s">
        <v>187</v>
      </c>
      <c r="M10">
        <v>2</v>
      </c>
      <c r="N10" s="4">
        <v>20020002</v>
      </c>
      <c r="O10" s="5" t="s">
        <v>188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190</v>
      </c>
      <c r="E11" t="str">
        <f t="shared" si="0"/>
        <v>野狼怪</v>
      </c>
      <c r="F11">
        <f>VLOOKUP(E11,备注资源组与动作id!$L$7:$M$16,2,FALSE)</f>
        <v>4</v>
      </c>
      <c r="G11" t="s">
        <v>191</v>
      </c>
      <c r="J11">
        <v>990301</v>
      </c>
      <c r="K11" t="s">
        <v>183</v>
      </c>
      <c r="L11" t="s">
        <v>192</v>
      </c>
      <c r="M11">
        <v>3</v>
      </c>
      <c r="N11" s="4">
        <v>20030001</v>
      </c>
      <c r="O11" s="5" t="s">
        <v>192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193</v>
      </c>
      <c r="E12" t="str">
        <f t="shared" si="0"/>
        <v>野狼怪</v>
      </c>
      <c r="F12">
        <f>VLOOKUP(E12,备注资源组与动作id!$L$7:$M$16,2,FALSE)</f>
        <v>4</v>
      </c>
      <c r="G12" t="s">
        <v>191</v>
      </c>
      <c r="J12">
        <v>990302</v>
      </c>
      <c r="K12" t="s">
        <v>183</v>
      </c>
      <c r="L12" t="s">
        <v>192</v>
      </c>
      <c r="M12">
        <v>3</v>
      </c>
      <c r="N12" s="4">
        <v>20030002</v>
      </c>
      <c r="O12" s="5" t="s">
        <v>192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194</v>
      </c>
      <c r="E13" t="str">
        <f t="shared" si="0"/>
        <v>野狼怪</v>
      </c>
      <c r="F13">
        <f>VLOOKUP(E13,备注资源组与动作id!$L$7:$M$16,2,FALSE)</f>
        <v>4</v>
      </c>
      <c r="G13" t="s">
        <v>191</v>
      </c>
      <c r="J13">
        <v>990401</v>
      </c>
      <c r="K13" t="s">
        <v>183</v>
      </c>
      <c r="L13" t="s">
        <v>195</v>
      </c>
      <c r="M13">
        <v>4</v>
      </c>
      <c r="N13" s="4">
        <v>20040001</v>
      </c>
      <c r="O13" s="5" t="s">
        <v>196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197</v>
      </c>
      <c r="E14" t="str">
        <f t="shared" si="0"/>
        <v>野狼怪</v>
      </c>
      <c r="F14">
        <f>VLOOKUP(E14,备注资源组与动作id!$L$7:$M$16,2,FALSE)</f>
        <v>4</v>
      </c>
      <c r="G14" t="s">
        <v>191</v>
      </c>
      <c r="J14">
        <v>990402</v>
      </c>
      <c r="K14" t="s">
        <v>183</v>
      </c>
      <c r="L14" t="s">
        <v>195</v>
      </c>
      <c r="M14">
        <v>4</v>
      </c>
      <c r="N14" s="4">
        <v>20040002</v>
      </c>
      <c r="O14" s="5" t="s">
        <v>196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198</v>
      </c>
      <c r="E15" t="s">
        <v>199</v>
      </c>
      <c r="F15">
        <f>VLOOKUP(E15,备注资源组与动作id!$L$7:$M$16,2,FALSE)</f>
        <v>5</v>
      </c>
      <c r="G15" t="s">
        <v>200</v>
      </c>
      <c r="J15">
        <v>990501</v>
      </c>
      <c r="K15" t="s">
        <v>183</v>
      </c>
      <c r="L15" t="s">
        <v>199</v>
      </c>
      <c r="M15">
        <v>5</v>
      </c>
      <c r="N15" s="4">
        <v>20050001</v>
      </c>
      <c r="O15" s="5" t="s">
        <v>199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201</v>
      </c>
      <c r="E16" t="s">
        <v>199</v>
      </c>
      <c r="F16">
        <f>VLOOKUP(E16,备注资源组与动作id!$L$7:$M$16,2,FALSE)</f>
        <v>5</v>
      </c>
      <c r="G16" t="s">
        <v>200</v>
      </c>
      <c r="J16">
        <v>990502</v>
      </c>
      <c r="K16" t="s">
        <v>183</v>
      </c>
      <c r="L16" t="s">
        <v>199</v>
      </c>
      <c r="M16">
        <v>5</v>
      </c>
      <c r="N16" s="4">
        <v>20050002</v>
      </c>
      <c r="O16" s="5" t="s">
        <v>199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202</v>
      </c>
      <c r="E17" t="s">
        <v>199</v>
      </c>
      <c r="F17">
        <f>VLOOKUP(E17,备注资源组与动作id!$L$7:$M$16,2,FALSE)</f>
        <v>5</v>
      </c>
      <c r="G17" t="s">
        <v>200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203</v>
      </c>
      <c r="E18" t="s">
        <v>199</v>
      </c>
      <c r="F18">
        <f>VLOOKUP(E18,备注资源组与动作id!$L$7:$M$16,2,FALSE)</f>
        <v>5</v>
      </c>
      <c r="G18" t="s">
        <v>200</v>
      </c>
    </row>
    <row r="19" spans="1:7" ht="14.25" x14ac:dyDescent="0.2">
      <c r="A19" s="2" t="s">
        <v>204</v>
      </c>
      <c r="B19">
        <v>1000101</v>
      </c>
      <c r="C19">
        <f t="shared" si="1"/>
        <v>20010001</v>
      </c>
      <c r="D19" t="s">
        <v>205</v>
      </c>
      <c r="E19" t="str">
        <f>LEFT(D19,3)</f>
        <v>蜥蜴怪</v>
      </c>
      <c r="F19">
        <f>VLOOKUP(E19,备注资源组与动作id!$L$7:$M$16,2,FALSE)</f>
        <v>1</v>
      </c>
      <c r="G19" t="s">
        <v>206</v>
      </c>
    </row>
    <row r="20" spans="1:7" ht="14.25" x14ac:dyDescent="0.2">
      <c r="A20" s="2" t="s">
        <v>204</v>
      </c>
      <c r="B20">
        <v>1000102</v>
      </c>
      <c r="C20">
        <f t="shared" si="1"/>
        <v>20010001</v>
      </c>
      <c r="D20" t="s">
        <v>207</v>
      </c>
      <c r="E20" t="str">
        <f>LEFT(D20,3)</f>
        <v>蜥蜴怪</v>
      </c>
      <c r="F20">
        <f>VLOOKUP(E20,备注资源组与动作id!$L$7:$M$16,2,FALSE)</f>
        <v>1</v>
      </c>
      <c r="G20" t="s">
        <v>206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208</v>
      </c>
      <c r="E21" t="str">
        <f>LEFT(D21,3)</f>
        <v>青蛙怪</v>
      </c>
      <c r="F21">
        <f>VLOOKUP(E21,备注资源组与动作id!$L$7:$M$16,2,FALSE)</f>
        <v>2</v>
      </c>
      <c r="G21" t="s">
        <v>209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210</v>
      </c>
      <c r="E22" t="str">
        <f>LEFT(D22,3)</f>
        <v>青蛙怪</v>
      </c>
      <c r="F22">
        <f>VLOOKUP(E22,备注资源组与动作id!$L$7:$M$16,2,FALSE)</f>
        <v>2</v>
      </c>
      <c r="G22" t="s">
        <v>209</v>
      </c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2025-07-30T14:27:13Z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