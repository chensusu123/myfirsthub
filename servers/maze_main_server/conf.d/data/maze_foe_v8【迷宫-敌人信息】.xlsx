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D7E4F3D4-CA30-4B9F-AC97-FAEC4ADE73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foe_v8" sheetId="1" r:id="rId1"/>
    <sheet name="怪物难度" sheetId="5" r:id="rId2"/>
    <sheet name="备注资源组与动作id" sheetId="2" r:id="rId3"/>
    <sheet name="掉落" sheetId="3" r:id="rId4"/>
  </sheets>
  <definedNames>
    <definedName name="_xlnm._FilterDatabase" localSheetId="0" hidden="1">maze_foe_v8!$A$2:$AF$61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2" i="2"/>
  <c r="C7" i="2"/>
  <c r="E7" i="2"/>
  <c r="F7" i="2" s="1"/>
  <c r="E8" i="2"/>
  <c r="F8" i="2" s="1"/>
  <c r="C8" i="2" s="1"/>
  <c r="E9" i="2"/>
  <c r="F9" i="2" s="1"/>
  <c r="C9" i="2" s="1"/>
  <c r="E10" i="2"/>
  <c r="F10" i="2" s="1"/>
  <c r="C10" i="2" s="1"/>
  <c r="E11" i="2"/>
  <c r="F11" i="2" s="1"/>
  <c r="E12" i="2"/>
  <c r="F12" i="2" s="1"/>
  <c r="E13" i="2"/>
  <c r="F13" i="2"/>
  <c r="C13" i="2" s="1"/>
  <c r="E14" i="2"/>
  <c r="F14" i="2" s="1"/>
  <c r="C14" i="2" s="1"/>
  <c r="F15" i="2"/>
  <c r="C15" i="2" s="1"/>
  <c r="F16" i="2"/>
  <c r="C16" i="2" s="1"/>
  <c r="F17" i="2"/>
  <c r="C17" i="2" s="1"/>
  <c r="F18" i="2"/>
  <c r="C18" i="2" s="1"/>
  <c r="E19" i="2"/>
  <c r="F19" i="2" s="1"/>
  <c r="C19" i="2" s="1"/>
  <c r="E20" i="2"/>
  <c r="F20" i="2" s="1"/>
  <c r="C20" i="2" s="1"/>
  <c r="E21" i="2"/>
  <c r="F21" i="2" s="1"/>
  <c r="C21" i="2" s="1"/>
  <c r="E22" i="2"/>
  <c r="F22" i="2" s="1"/>
  <c r="C22" i="2" s="1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N2" i="5"/>
  <c r="M2" i="5"/>
  <c r="N1" i="5"/>
  <c r="M1" i="5"/>
  <c r="H3" i="3"/>
  <c r="C3" i="3"/>
  <c r="F3" i="3" s="1"/>
  <c r="B4" i="3"/>
  <c r="C4" i="3" s="1"/>
  <c r="D4" i="3" s="1"/>
  <c r="D3" i="3" l="1"/>
  <c r="G3" i="3" s="1"/>
  <c r="B5" i="3"/>
  <c r="G4" i="3"/>
  <c r="H4" i="3"/>
  <c r="F4" i="3"/>
  <c r="B6" i="3" l="1"/>
  <c r="H5" i="3"/>
  <c r="C5" i="3"/>
  <c r="D5" i="3" s="1"/>
  <c r="G5" i="3" s="1"/>
  <c r="F5" i="3" l="1"/>
  <c r="B7" i="3"/>
  <c r="C6" i="3"/>
  <c r="D6" i="3" s="1"/>
  <c r="G6" i="3" s="1"/>
  <c r="H6" i="3"/>
  <c r="F6" i="3" l="1"/>
  <c r="B8" i="3"/>
  <c r="H7" i="3"/>
  <c r="C7" i="3"/>
  <c r="D7" i="3" s="1"/>
  <c r="G7" i="3" s="1"/>
  <c r="F7" i="3" l="1"/>
  <c r="B9" i="3"/>
  <c r="H8" i="3"/>
  <c r="C8" i="3"/>
  <c r="D8" i="3" s="1"/>
  <c r="G8" i="3" s="1"/>
  <c r="F8" i="3" l="1"/>
  <c r="B10" i="3"/>
  <c r="C9" i="3"/>
  <c r="D9" i="3" s="1"/>
  <c r="G9" i="3" s="1"/>
  <c r="H9" i="3"/>
  <c r="F9" i="3" l="1"/>
  <c r="B11" i="3"/>
  <c r="C10" i="3"/>
  <c r="D10" i="3" s="1"/>
  <c r="G10" i="3" s="1"/>
  <c r="H10" i="3"/>
  <c r="F10" i="3" l="1"/>
  <c r="B12" i="3"/>
  <c r="H11" i="3"/>
  <c r="C11" i="3"/>
  <c r="D11" i="3" s="1"/>
  <c r="G11" i="3" s="1"/>
  <c r="B13" i="3" l="1"/>
  <c r="H12" i="3"/>
  <c r="C12" i="3"/>
  <c r="D12" i="3" s="1"/>
  <c r="G12" i="3" s="1"/>
  <c r="F11" i="3"/>
  <c r="F12" i="3" l="1"/>
  <c r="B14" i="3"/>
  <c r="H13" i="3"/>
  <c r="C13" i="3"/>
  <c r="D13" i="3" s="1"/>
  <c r="G13" i="3" s="1"/>
  <c r="F13" i="3" l="1"/>
  <c r="B15" i="3"/>
  <c r="C14" i="3"/>
  <c r="D14" i="3" s="1"/>
  <c r="G14" i="3" s="1"/>
  <c r="H14" i="3"/>
  <c r="F14" i="3" l="1"/>
  <c r="B16" i="3"/>
  <c r="C15" i="3"/>
  <c r="D15" i="3" s="1"/>
  <c r="G15" i="3" s="1"/>
  <c r="H15" i="3"/>
  <c r="F15" i="3" l="1"/>
  <c r="B17" i="3"/>
  <c r="H16" i="3"/>
  <c r="C16" i="3"/>
  <c r="D16" i="3" s="1"/>
  <c r="G16" i="3" s="1"/>
  <c r="F16" i="3" l="1"/>
  <c r="B18" i="3"/>
  <c r="C17" i="3"/>
  <c r="D17" i="3" s="1"/>
  <c r="G17" i="3" s="1"/>
  <c r="H17" i="3"/>
  <c r="F17" i="3" l="1"/>
  <c r="B19" i="3"/>
  <c r="H18" i="3"/>
  <c r="C18" i="3"/>
  <c r="D18" i="3" s="1"/>
  <c r="G18" i="3" s="1"/>
  <c r="F18" i="3" l="1"/>
  <c r="B20" i="3"/>
  <c r="H19" i="3"/>
  <c r="C19" i="3"/>
  <c r="D19" i="3" s="1"/>
  <c r="G19" i="3" s="1"/>
  <c r="B21" i="3" l="1"/>
  <c r="H20" i="3"/>
  <c r="C20" i="3"/>
  <c r="D20" i="3" s="1"/>
  <c r="G20" i="3" s="1"/>
  <c r="F19" i="3"/>
  <c r="F20" i="3" l="1"/>
  <c r="B22" i="3"/>
  <c r="H21" i="3"/>
  <c r="C21" i="3"/>
  <c r="D21" i="3" s="1"/>
  <c r="G21" i="3" s="1"/>
  <c r="F21" i="3" l="1"/>
  <c r="B23" i="3"/>
  <c r="C22" i="3"/>
  <c r="D22" i="3" s="1"/>
  <c r="G22" i="3" s="1"/>
  <c r="H22" i="3"/>
  <c r="F22" i="3" l="1"/>
  <c r="B24" i="3"/>
  <c r="H23" i="3"/>
  <c r="C23" i="3"/>
  <c r="D23" i="3" s="1"/>
  <c r="G23" i="3" s="1"/>
  <c r="F23" i="3" l="1"/>
  <c r="B25" i="3"/>
  <c r="H24" i="3"/>
  <c r="C24" i="3"/>
  <c r="D24" i="3" s="1"/>
  <c r="G24" i="3" s="1"/>
  <c r="F24" i="3" l="1"/>
  <c r="B26" i="3"/>
  <c r="C25" i="3"/>
  <c r="D25" i="3" s="1"/>
  <c r="G25" i="3" s="1"/>
  <c r="H25" i="3"/>
  <c r="F25" i="3" l="1"/>
  <c r="B27" i="3"/>
  <c r="H26" i="3"/>
  <c r="C26" i="3"/>
  <c r="D26" i="3" s="1"/>
  <c r="G26" i="3" s="1"/>
  <c r="F26" i="3" l="1"/>
  <c r="B28" i="3"/>
  <c r="H27" i="3"/>
  <c r="C27" i="3"/>
  <c r="D27" i="3" s="1"/>
  <c r="G27" i="3" s="1"/>
  <c r="F27" i="3" l="1"/>
  <c r="B29" i="3"/>
  <c r="H28" i="3"/>
  <c r="C28" i="3"/>
  <c r="D28" i="3" s="1"/>
  <c r="G28" i="3" s="1"/>
  <c r="F28" i="3" l="1"/>
  <c r="B30" i="3"/>
  <c r="H29" i="3"/>
  <c r="C29" i="3"/>
  <c r="D29" i="3" s="1"/>
  <c r="G29" i="3" s="1"/>
  <c r="F29" i="3" l="1"/>
  <c r="B31" i="3"/>
  <c r="C30" i="3"/>
  <c r="D30" i="3" s="1"/>
  <c r="G30" i="3" s="1"/>
  <c r="H30" i="3"/>
  <c r="F30" i="3" l="1"/>
  <c r="B32" i="3"/>
  <c r="H31" i="3"/>
  <c r="C31" i="3"/>
  <c r="D31" i="3" s="1"/>
  <c r="G31" i="3" s="1"/>
  <c r="F31" i="3" l="1"/>
  <c r="B33" i="3"/>
  <c r="C32" i="3"/>
  <c r="D32" i="3" s="1"/>
  <c r="G32" i="3" s="1"/>
  <c r="H32" i="3"/>
  <c r="F32" i="3" l="1"/>
  <c r="B34" i="3"/>
  <c r="C33" i="3"/>
  <c r="D33" i="3" s="1"/>
  <c r="G33" i="3" s="1"/>
  <c r="H33" i="3"/>
  <c r="F33" i="3" l="1"/>
  <c r="B35" i="3"/>
  <c r="H34" i="3"/>
  <c r="C34" i="3"/>
  <c r="D34" i="3" s="1"/>
  <c r="G34" i="3" s="1"/>
  <c r="F34" i="3" l="1"/>
  <c r="B36" i="3"/>
  <c r="H35" i="3"/>
  <c r="C35" i="3"/>
  <c r="D35" i="3" s="1"/>
  <c r="G35" i="3" s="1"/>
  <c r="B37" i="3" l="1"/>
  <c r="H36" i="3"/>
  <c r="C36" i="3"/>
  <c r="D36" i="3" s="1"/>
  <c r="G36" i="3" s="1"/>
  <c r="F35" i="3"/>
  <c r="F36" i="3" l="1"/>
  <c r="B38" i="3"/>
  <c r="H37" i="3"/>
  <c r="C37" i="3"/>
  <c r="D37" i="3" s="1"/>
  <c r="G37" i="3" s="1"/>
  <c r="F37" i="3" l="1"/>
  <c r="B39" i="3"/>
  <c r="C38" i="3"/>
  <c r="D38" i="3" s="1"/>
  <c r="G38" i="3" s="1"/>
  <c r="H38" i="3"/>
  <c r="F38" i="3" l="1"/>
  <c r="B40" i="3"/>
  <c r="H39" i="3"/>
  <c r="C39" i="3"/>
  <c r="D39" i="3" s="1"/>
  <c r="G39" i="3" s="1"/>
  <c r="B41" i="3" l="1"/>
  <c r="H40" i="3"/>
  <c r="C40" i="3"/>
  <c r="D40" i="3" s="1"/>
  <c r="G40" i="3" s="1"/>
  <c r="F40" i="3"/>
  <c r="F39" i="3"/>
  <c r="B42" i="3" l="1"/>
  <c r="C41" i="3"/>
  <c r="D41" i="3" s="1"/>
  <c r="F41" i="3"/>
  <c r="H41" i="3"/>
  <c r="G41" i="3"/>
  <c r="B43" i="3" l="1"/>
  <c r="C42" i="3"/>
  <c r="D42" i="3" s="1"/>
  <c r="G42" i="3" s="1"/>
  <c r="H42" i="3"/>
  <c r="F42" i="3" l="1"/>
  <c r="B44" i="3"/>
  <c r="H43" i="3"/>
  <c r="C43" i="3"/>
  <c r="D43" i="3" s="1"/>
  <c r="G43" i="3" s="1"/>
  <c r="F43" i="3" l="1"/>
  <c r="B45" i="3"/>
  <c r="H44" i="3"/>
  <c r="C44" i="3"/>
  <c r="D44" i="3" s="1"/>
  <c r="G44" i="3" s="1"/>
  <c r="F44" i="3" l="1"/>
  <c r="B46" i="3"/>
  <c r="H45" i="3"/>
  <c r="C45" i="3"/>
  <c r="D45" i="3" s="1"/>
  <c r="G45" i="3" s="1"/>
  <c r="F45" i="3" l="1"/>
  <c r="B47" i="3"/>
  <c r="C46" i="3"/>
  <c r="D46" i="3" s="1"/>
  <c r="G46" i="3" s="1"/>
  <c r="H46" i="3"/>
  <c r="F46" i="3" l="1"/>
  <c r="B48" i="3"/>
  <c r="H47" i="3"/>
  <c r="C47" i="3"/>
  <c r="D47" i="3" s="1"/>
  <c r="G47" i="3" s="1"/>
  <c r="F47" i="3" l="1"/>
  <c r="B49" i="3"/>
  <c r="H48" i="3"/>
  <c r="C48" i="3"/>
  <c r="D48" i="3" s="1"/>
  <c r="G48" i="3" s="1"/>
  <c r="F48" i="3" l="1"/>
  <c r="B50" i="3"/>
  <c r="C49" i="3"/>
  <c r="D49" i="3" s="1"/>
  <c r="G49" i="3" s="1"/>
  <c r="H49" i="3"/>
  <c r="F49" i="3" l="1"/>
  <c r="B51" i="3"/>
  <c r="C50" i="3"/>
  <c r="D50" i="3" s="1"/>
  <c r="G50" i="3" s="1"/>
  <c r="H50" i="3"/>
  <c r="F50" i="3" l="1"/>
  <c r="B52" i="3"/>
  <c r="H51" i="3"/>
  <c r="C51" i="3"/>
  <c r="D51" i="3" s="1"/>
  <c r="G51" i="3" s="1"/>
  <c r="F51" i="3" l="1"/>
  <c r="B53" i="3"/>
  <c r="H52" i="3"/>
  <c r="C52" i="3"/>
  <c r="D52" i="3" s="1"/>
  <c r="G52" i="3" s="1"/>
  <c r="F52" i="3" l="1"/>
  <c r="B54" i="3"/>
  <c r="H53" i="3"/>
  <c r="C53" i="3"/>
  <c r="D53" i="3" s="1"/>
  <c r="G53" i="3" s="1"/>
  <c r="B55" i="3" l="1"/>
  <c r="C54" i="3"/>
  <c r="D54" i="3" s="1"/>
  <c r="G54" i="3" s="1"/>
  <c r="H54" i="3"/>
  <c r="F53" i="3"/>
  <c r="B56" i="3" l="1"/>
  <c r="H55" i="3"/>
  <c r="C55" i="3"/>
  <c r="D55" i="3" s="1"/>
  <c r="G55" i="3" s="1"/>
  <c r="F54" i="3"/>
  <c r="F55" i="3" l="1"/>
  <c r="B57" i="3"/>
  <c r="H56" i="3"/>
  <c r="C56" i="3"/>
  <c r="D56" i="3" s="1"/>
  <c r="G56" i="3" s="1"/>
  <c r="F56" i="3" l="1"/>
  <c r="B58" i="3"/>
  <c r="C57" i="3"/>
  <c r="D57" i="3" s="1"/>
  <c r="G57" i="3" s="1"/>
  <c r="F57" i="3"/>
  <c r="H57" i="3"/>
  <c r="B59" i="3" l="1"/>
  <c r="C58" i="3"/>
  <c r="D58" i="3" s="1"/>
  <c r="G58" i="3" s="1"/>
  <c r="H58" i="3"/>
  <c r="F58" i="3" l="1"/>
  <c r="B60" i="3"/>
  <c r="H59" i="3"/>
  <c r="C59" i="3"/>
  <c r="D59" i="3" s="1"/>
  <c r="G59" i="3" s="1"/>
  <c r="F59" i="3" l="1"/>
  <c r="B61" i="3"/>
  <c r="H60" i="3"/>
  <c r="C60" i="3"/>
  <c r="D60" i="3" s="1"/>
  <c r="G60" i="3" s="1"/>
  <c r="F60" i="3" l="1"/>
  <c r="B62" i="3"/>
  <c r="H61" i="3"/>
  <c r="C61" i="3"/>
  <c r="D61" i="3" s="1"/>
  <c r="G61" i="3"/>
  <c r="F61" i="3" l="1"/>
  <c r="B63" i="3"/>
  <c r="C62" i="3"/>
  <c r="D62" i="3" s="1"/>
  <c r="G62" i="3" s="1"/>
  <c r="F62" i="3"/>
  <c r="H62" i="3"/>
  <c r="B64" i="3" l="1"/>
  <c r="C63" i="3"/>
  <c r="D63" i="3" s="1"/>
  <c r="G63" i="3" s="1"/>
  <c r="H63" i="3"/>
  <c r="F63" i="3" l="1"/>
  <c r="B65" i="3"/>
  <c r="C64" i="3"/>
  <c r="D64" i="3" s="1"/>
  <c r="G64" i="3" s="1"/>
  <c r="H64" i="3"/>
  <c r="F64" i="3" l="1"/>
  <c r="B66" i="3"/>
  <c r="C65" i="3"/>
  <c r="D65" i="3" s="1"/>
  <c r="F65" i="3"/>
  <c r="H65" i="3"/>
  <c r="G65" i="3"/>
  <c r="B67" i="3" l="1"/>
  <c r="C66" i="3"/>
  <c r="D66" i="3" s="1"/>
  <c r="G66" i="3" s="1"/>
  <c r="H66" i="3"/>
  <c r="F66" i="3" l="1"/>
  <c r="B68" i="3"/>
  <c r="H67" i="3"/>
  <c r="C67" i="3"/>
  <c r="D67" i="3" s="1"/>
  <c r="G67" i="3" s="1"/>
  <c r="F67" i="3" l="1"/>
  <c r="B69" i="3"/>
  <c r="H68" i="3"/>
  <c r="C68" i="3"/>
  <c r="D68" i="3" s="1"/>
  <c r="G68" i="3" s="1"/>
  <c r="F68" i="3" l="1"/>
  <c r="B70" i="3"/>
  <c r="H69" i="3"/>
  <c r="C69" i="3"/>
  <c r="D69" i="3" s="1"/>
  <c r="G69" i="3" s="1"/>
  <c r="F69" i="3" l="1"/>
  <c r="B71" i="3"/>
  <c r="C70" i="3"/>
  <c r="D70" i="3" s="1"/>
  <c r="G70" i="3" s="1"/>
  <c r="H70" i="3"/>
  <c r="F70" i="3" l="1"/>
  <c r="B72" i="3"/>
  <c r="H71" i="3"/>
  <c r="C71" i="3"/>
  <c r="D71" i="3" s="1"/>
  <c r="G71" i="3" s="1"/>
  <c r="F71" i="3" l="1"/>
  <c r="B73" i="3"/>
  <c r="H72" i="3"/>
  <c r="C72" i="3"/>
  <c r="D72" i="3" s="1"/>
  <c r="G72" i="3" s="1"/>
  <c r="F72" i="3" l="1"/>
  <c r="B74" i="3"/>
  <c r="C73" i="3"/>
  <c r="D73" i="3" s="1"/>
  <c r="G73" i="3" s="1"/>
  <c r="H73" i="3"/>
  <c r="F73" i="3" l="1"/>
  <c r="B75" i="3"/>
  <c r="C74" i="3"/>
  <c r="D74" i="3" s="1"/>
  <c r="G74" i="3" s="1"/>
  <c r="H74" i="3"/>
  <c r="F74" i="3" l="1"/>
  <c r="B76" i="3"/>
  <c r="H75" i="3"/>
  <c r="C75" i="3"/>
  <c r="D75" i="3" s="1"/>
  <c r="G75" i="3" s="1"/>
  <c r="F75" i="3" l="1"/>
  <c r="B77" i="3"/>
  <c r="H76" i="3"/>
  <c r="C76" i="3"/>
  <c r="D76" i="3" s="1"/>
  <c r="G76" i="3" s="1"/>
  <c r="F76" i="3" l="1"/>
  <c r="B78" i="3"/>
  <c r="H77" i="3"/>
  <c r="C77" i="3"/>
  <c r="D77" i="3" s="1"/>
  <c r="G77" i="3" s="1"/>
  <c r="F77" i="3" l="1"/>
  <c r="B79" i="3"/>
  <c r="C78" i="3"/>
  <c r="D78" i="3" s="1"/>
  <c r="G78" i="3" s="1"/>
  <c r="H78" i="3"/>
  <c r="F78" i="3" l="1"/>
  <c r="B80" i="3"/>
  <c r="C79" i="3"/>
  <c r="D79" i="3" s="1"/>
  <c r="G79" i="3" s="1"/>
  <c r="H79" i="3"/>
  <c r="F79" i="3" l="1"/>
  <c r="B81" i="3"/>
  <c r="H80" i="3"/>
  <c r="C80" i="3"/>
  <c r="D80" i="3" s="1"/>
  <c r="G80" i="3" s="1"/>
  <c r="F80" i="3" l="1"/>
  <c r="B82" i="3"/>
  <c r="C81" i="3"/>
  <c r="D81" i="3" s="1"/>
  <c r="G81" i="3" s="1"/>
  <c r="H81" i="3"/>
  <c r="F81" i="3"/>
  <c r="B83" i="3" l="1"/>
  <c r="H82" i="3"/>
  <c r="C82" i="3"/>
  <c r="D82" i="3" s="1"/>
  <c r="G82" i="3" s="1"/>
  <c r="F82" i="3" l="1"/>
  <c r="B84" i="3"/>
  <c r="H83" i="3"/>
  <c r="C83" i="3"/>
  <c r="D83" i="3" s="1"/>
  <c r="G83" i="3" s="1"/>
  <c r="F83" i="3" l="1"/>
  <c r="B85" i="3"/>
  <c r="H84" i="3"/>
  <c r="C84" i="3"/>
  <c r="D84" i="3" s="1"/>
  <c r="G84" i="3" s="1"/>
  <c r="F84" i="3" l="1"/>
  <c r="B86" i="3"/>
  <c r="H85" i="3"/>
  <c r="C85" i="3"/>
  <c r="D85" i="3" s="1"/>
  <c r="G85" i="3" s="1"/>
  <c r="F85" i="3" l="1"/>
  <c r="B87" i="3"/>
  <c r="C86" i="3"/>
  <c r="D86" i="3" s="1"/>
  <c r="H86" i="3"/>
  <c r="G86" i="3"/>
  <c r="F86" i="3" l="1"/>
  <c r="B88" i="3"/>
  <c r="H87" i="3"/>
  <c r="C87" i="3"/>
  <c r="D87" i="3" s="1"/>
  <c r="G87" i="3" s="1"/>
  <c r="F87" i="3" l="1"/>
  <c r="B89" i="3"/>
  <c r="C88" i="3"/>
  <c r="D88" i="3" s="1"/>
  <c r="G88" i="3" s="1"/>
  <c r="F88" i="3"/>
  <c r="H88" i="3"/>
  <c r="B90" i="3" l="1"/>
  <c r="C89" i="3"/>
  <c r="D89" i="3" s="1"/>
  <c r="H89" i="3"/>
  <c r="F89" i="3"/>
  <c r="G89" i="3"/>
  <c r="B91" i="3" l="1"/>
  <c r="H90" i="3"/>
  <c r="C90" i="3"/>
  <c r="D90" i="3" s="1"/>
  <c r="G90" i="3" s="1"/>
  <c r="F90" i="3" l="1"/>
  <c r="B92" i="3"/>
  <c r="C91" i="3"/>
  <c r="D91" i="3" s="1"/>
  <c r="G91" i="3" s="1"/>
  <c r="H91" i="3"/>
  <c r="F91" i="3" l="1"/>
  <c r="B93" i="3"/>
  <c r="H92" i="3"/>
  <c r="C92" i="3"/>
  <c r="D92" i="3" s="1"/>
  <c r="G92" i="3" s="1"/>
  <c r="F92" i="3" l="1"/>
  <c r="B94" i="3"/>
  <c r="H93" i="3"/>
  <c r="C93" i="3"/>
  <c r="D93" i="3" s="1"/>
  <c r="G93" i="3" s="1"/>
  <c r="F93" i="3"/>
  <c r="B95" i="3" l="1"/>
  <c r="C94" i="3"/>
  <c r="D94" i="3" s="1"/>
  <c r="G94" i="3" s="1"/>
  <c r="H94" i="3"/>
  <c r="F94" i="3"/>
  <c r="B96" i="3" l="1"/>
  <c r="H95" i="3"/>
  <c r="C95" i="3"/>
  <c r="D95" i="3" s="1"/>
  <c r="G95" i="3" s="1"/>
  <c r="F95" i="3" l="1"/>
  <c r="B97" i="3"/>
  <c r="H96" i="3"/>
  <c r="C96" i="3"/>
  <c r="D96" i="3" s="1"/>
  <c r="G96" i="3" s="1"/>
  <c r="F96" i="3" l="1"/>
  <c r="B98" i="3"/>
  <c r="C97" i="3"/>
  <c r="D97" i="3" s="1"/>
  <c r="G97" i="3" s="1"/>
  <c r="H97" i="3"/>
  <c r="F97" i="3" l="1"/>
  <c r="B99" i="3"/>
  <c r="H98" i="3"/>
  <c r="C98" i="3"/>
  <c r="D98" i="3" s="1"/>
  <c r="G98" i="3" s="1"/>
  <c r="F98" i="3" l="1"/>
  <c r="B100" i="3"/>
  <c r="H99" i="3"/>
  <c r="C99" i="3"/>
  <c r="D99" i="3" s="1"/>
  <c r="G99" i="3" s="1"/>
  <c r="F99" i="3" l="1"/>
  <c r="B101" i="3"/>
  <c r="H100" i="3"/>
  <c r="C100" i="3"/>
  <c r="D100" i="3" s="1"/>
  <c r="G100" i="3" s="1"/>
  <c r="F100" i="3" l="1"/>
  <c r="B102" i="3"/>
  <c r="H101" i="3"/>
  <c r="C101" i="3"/>
  <c r="D101" i="3" s="1"/>
  <c r="G101" i="3" s="1"/>
  <c r="F101" i="3"/>
  <c r="B103" i="3" l="1"/>
  <c r="C102" i="3"/>
  <c r="D102" i="3" s="1"/>
  <c r="G102" i="3" s="1"/>
  <c r="H102" i="3"/>
  <c r="F102" i="3" l="1"/>
  <c r="B104" i="3"/>
  <c r="H103" i="3"/>
  <c r="C103" i="3"/>
  <c r="D103" i="3" s="1"/>
  <c r="G103" i="3" s="1"/>
  <c r="F103" i="3" l="1"/>
  <c r="B105" i="3"/>
  <c r="C104" i="3"/>
  <c r="D104" i="3" s="1"/>
  <c r="G104" i="3" s="1"/>
  <c r="H104" i="3"/>
  <c r="F104" i="3" l="1"/>
  <c r="B106" i="3"/>
  <c r="C105" i="3"/>
  <c r="D105" i="3" s="1"/>
  <c r="H105" i="3"/>
  <c r="G105" i="3"/>
  <c r="F105" i="3"/>
  <c r="B107" i="3" l="1"/>
  <c r="H106" i="3"/>
  <c r="C106" i="3"/>
  <c r="D106" i="3" s="1"/>
  <c r="G106" i="3" s="1"/>
  <c r="F106" i="3" l="1"/>
  <c r="B108" i="3"/>
  <c r="H107" i="3"/>
  <c r="C107" i="3"/>
  <c r="D107" i="3" s="1"/>
  <c r="G107" i="3" s="1"/>
  <c r="F107" i="3" l="1"/>
  <c r="B109" i="3"/>
  <c r="H108" i="3"/>
  <c r="C108" i="3"/>
  <c r="D108" i="3" s="1"/>
  <c r="G108" i="3" s="1"/>
  <c r="F108" i="3" l="1"/>
  <c r="B110" i="3"/>
  <c r="H109" i="3"/>
  <c r="C109" i="3"/>
  <c r="D109" i="3" s="1"/>
  <c r="G109" i="3" s="1"/>
  <c r="F109" i="3" l="1"/>
  <c r="B111" i="3"/>
  <c r="C110" i="3"/>
  <c r="D110" i="3" s="1"/>
  <c r="F110" i="3"/>
  <c r="G110" i="3"/>
  <c r="H110" i="3"/>
  <c r="B112" i="3" l="1"/>
  <c r="H111" i="3"/>
  <c r="C111" i="3"/>
  <c r="D111" i="3" s="1"/>
  <c r="G111" i="3" s="1"/>
  <c r="F111" i="3" l="1"/>
  <c r="B113" i="3"/>
  <c r="H112" i="3"/>
  <c r="C112" i="3"/>
  <c r="D112" i="3" s="1"/>
  <c r="G112" i="3" s="1"/>
  <c r="F112" i="3" l="1"/>
  <c r="B114" i="3"/>
  <c r="C113" i="3"/>
  <c r="D113" i="3" s="1"/>
  <c r="H113" i="3"/>
  <c r="F113" i="3"/>
  <c r="G113" i="3"/>
  <c r="B115" i="3" l="1"/>
  <c r="C114" i="3"/>
  <c r="D114" i="3" s="1"/>
  <c r="G114" i="3" s="1"/>
  <c r="H114" i="3"/>
  <c r="F114" i="3" l="1"/>
  <c r="B116" i="3"/>
  <c r="H115" i="3"/>
  <c r="C115" i="3"/>
  <c r="D115" i="3" s="1"/>
  <c r="G115" i="3" s="1"/>
  <c r="F115" i="3" l="1"/>
  <c r="B117" i="3"/>
  <c r="H116" i="3"/>
  <c r="C116" i="3"/>
  <c r="D116" i="3" s="1"/>
  <c r="G116" i="3" s="1"/>
  <c r="F116" i="3"/>
  <c r="B118" i="3" l="1"/>
  <c r="H117" i="3"/>
  <c r="C117" i="3"/>
  <c r="D117" i="3" s="1"/>
  <c r="F117" i="3"/>
  <c r="G117" i="3"/>
  <c r="B119" i="3" l="1"/>
  <c r="C118" i="3"/>
  <c r="D118" i="3" s="1"/>
  <c r="H118" i="3"/>
  <c r="G118" i="3"/>
  <c r="F118" i="3" l="1"/>
  <c r="B120" i="3"/>
  <c r="C119" i="3"/>
  <c r="D119" i="3" s="1"/>
  <c r="G119" i="3" s="1"/>
  <c r="H119" i="3"/>
  <c r="F119" i="3" l="1"/>
  <c r="B121" i="3"/>
  <c r="C120" i="3"/>
  <c r="D120" i="3" s="1"/>
  <c r="G120" i="3" s="1"/>
  <c r="H120" i="3"/>
  <c r="F120" i="3" l="1"/>
  <c r="B122" i="3"/>
  <c r="C121" i="3"/>
  <c r="D121" i="3" s="1"/>
  <c r="G121" i="3" s="1"/>
  <c r="H121" i="3"/>
  <c r="F121" i="3"/>
  <c r="B123" i="3" l="1"/>
  <c r="H122" i="3"/>
  <c r="C122" i="3"/>
  <c r="D122" i="3" s="1"/>
  <c r="G122" i="3" s="1"/>
  <c r="F122" i="3" l="1"/>
  <c r="B124" i="3"/>
  <c r="H123" i="3"/>
  <c r="C123" i="3"/>
  <c r="D123" i="3" s="1"/>
  <c r="G123" i="3" s="1"/>
  <c r="F123" i="3" l="1"/>
  <c r="B125" i="3"/>
  <c r="H124" i="3"/>
  <c r="C124" i="3"/>
  <c r="D124" i="3" s="1"/>
  <c r="G124" i="3" s="1"/>
  <c r="F124" i="3" l="1"/>
  <c r="B126" i="3"/>
  <c r="H125" i="3"/>
  <c r="C125" i="3"/>
  <c r="D125" i="3" s="1"/>
  <c r="G125" i="3" s="1"/>
  <c r="F125" i="3"/>
  <c r="B127" i="3" l="1"/>
  <c r="C126" i="3"/>
  <c r="D126" i="3" s="1"/>
  <c r="F126" i="3"/>
  <c r="G126" i="3"/>
  <c r="H126" i="3"/>
  <c r="B128" i="3" l="1"/>
  <c r="C127" i="3"/>
  <c r="D127" i="3" s="1"/>
  <c r="G127" i="3" s="1"/>
  <c r="H127" i="3"/>
  <c r="F127" i="3" l="1"/>
  <c r="B129" i="3"/>
  <c r="H128" i="3"/>
  <c r="C128" i="3"/>
  <c r="D128" i="3" s="1"/>
  <c r="G128" i="3" s="1"/>
  <c r="F128" i="3"/>
  <c r="B130" i="3" l="1"/>
  <c r="C129" i="3"/>
  <c r="D129" i="3" s="1"/>
  <c r="H129" i="3"/>
  <c r="G129" i="3"/>
  <c r="F129" i="3"/>
  <c r="B131" i="3" l="1"/>
  <c r="C130" i="3"/>
  <c r="D130" i="3" s="1"/>
  <c r="G130" i="3" s="1"/>
  <c r="H130" i="3"/>
  <c r="F130" i="3" l="1"/>
  <c r="B132" i="3"/>
  <c r="C131" i="3"/>
  <c r="D131" i="3" s="1"/>
  <c r="G131" i="3" s="1"/>
  <c r="H131" i="3"/>
  <c r="F131" i="3" l="1"/>
  <c r="B133" i="3"/>
  <c r="H132" i="3"/>
  <c r="C132" i="3"/>
  <c r="D132" i="3" s="1"/>
  <c r="G132" i="3" s="1"/>
  <c r="F132" i="3" l="1"/>
  <c r="B134" i="3"/>
  <c r="H133" i="3"/>
  <c r="C133" i="3"/>
  <c r="D133" i="3" s="1"/>
  <c r="G133" i="3" s="1"/>
  <c r="F133" i="3" l="1"/>
  <c r="B135" i="3"/>
  <c r="C134" i="3"/>
  <c r="D134" i="3" s="1"/>
  <c r="F134" i="3"/>
  <c r="G134" i="3"/>
  <c r="H134" i="3"/>
  <c r="B136" i="3" l="1"/>
  <c r="C135" i="3"/>
  <c r="D135" i="3" s="1"/>
  <c r="G135" i="3" s="1"/>
  <c r="H135" i="3"/>
  <c r="B137" i="3" l="1"/>
  <c r="H136" i="3"/>
  <c r="C136" i="3"/>
  <c r="D136" i="3" s="1"/>
  <c r="G136" i="3" s="1"/>
  <c r="F135" i="3"/>
  <c r="F136" i="3" l="1"/>
  <c r="B138" i="3"/>
  <c r="C137" i="3"/>
  <c r="D137" i="3" s="1"/>
  <c r="H137" i="3"/>
  <c r="F137" i="3"/>
  <c r="G137" i="3"/>
  <c r="B139" i="3" l="1"/>
  <c r="H138" i="3"/>
  <c r="C138" i="3"/>
  <c r="D138" i="3" s="1"/>
  <c r="G138" i="3" s="1"/>
  <c r="F138" i="3" l="1"/>
  <c r="B140" i="3"/>
  <c r="C139" i="3"/>
  <c r="D139" i="3" s="1"/>
  <c r="H139" i="3"/>
  <c r="G139" i="3"/>
  <c r="F139" i="3" l="1"/>
  <c r="B141" i="3"/>
  <c r="H140" i="3"/>
  <c r="C140" i="3"/>
  <c r="D140" i="3" s="1"/>
  <c r="G140" i="3" s="1"/>
  <c r="F140" i="3" l="1"/>
  <c r="B142" i="3"/>
  <c r="H141" i="3"/>
  <c r="C141" i="3"/>
  <c r="D141" i="3" s="1"/>
  <c r="G141" i="3" s="1"/>
  <c r="F141" i="3"/>
  <c r="B143" i="3" l="1"/>
  <c r="C142" i="3"/>
  <c r="D142" i="3" s="1"/>
  <c r="G142" i="3"/>
  <c r="H142" i="3"/>
  <c r="F142" i="3"/>
  <c r="B144" i="3" l="1"/>
  <c r="C143" i="3"/>
  <c r="D143" i="3" s="1"/>
  <c r="G143" i="3" s="1"/>
  <c r="H143" i="3"/>
  <c r="F143" i="3" l="1"/>
  <c r="B145" i="3"/>
  <c r="C144" i="3"/>
  <c r="D144" i="3" s="1"/>
  <c r="G144" i="3" s="1"/>
  <c r="F144" i="3"/>
  <c r="H144" i="3"/>
  <c r="B146" i="3" l="1"/>
  <c r="C145" i="3"/>
  <c r="D145" i="3" s="1"/>
  <c r="H145" i="3"/>
  <c r="G145" i="3"/>
  <c r="F145" i="3"/>
  <c r="B147" i="3" l="1"/>
  <c r="H146" i="3"/>
  <c r="C146" i="3"/>
  <c r="D146" i="3" s="1"/>
  <c r="G146" i="3" s="1"/>
  <c r="F146" i="3" l="1"/>
  <c r="B148" i="3"/>
  <c r="C147" i="3"/>
  <c r="D147" i="3" s="1"/>
  <c r="G147" i="3" s="1"/>
  <c r="H147" i="3"/>
  <c r="F147" i="3" l="1"/>
  <c r="B149" i="3"/>
  <c r="H148" i="3"/>
  <c r="C148" i="3"/>
  <c r="D148" i="3" s="1"/>
  <c r="G148" i="3" s="1"/>
  <c r="F148" i="3" l="1"/>
  <c r="B150" i="3"/>
  <c r="H149" i="3"/>
  <c r="C149" i="3"/>
  <c r="D149" i="3" s="1"/>
  <c r="G149" i="3" s="1"/>
  <c r="F149" i="3" l="1"/>
  <c r="B151" i="3"/>
  <c r="C150" i="3"/>
  <c r="D150" i="3" s="1"/>
  <c r="H150" i="3"/>
  <c r="F150" i="3"/>
  <c r="G150" i="3"/>
  <c r="B152" i="3" l="1"/>
  <c r="C151" i="3"/>
  <c r="D151" i="3" s="1"/>
  <c r="G151" i="3" s="1"/>
  <c r="H151" i="3"/>
  <c r="F151" i="3" l="1"/>
  <c r="B153" i="3"/>
  <c r="C152" i="3"/>
  <c r="D152" i="3" s="1"/>
  <c r="G152" i="3" s="1"/>
  <c r="H152" i="3"/>
  <c r="F152" i="3" l="1"/>
  <c r="B154" i="3"/>
  <c r="C153" i="3"/>
  <c r="D153" i="3" s="1"/>
  <c r="H153" i="3"/>
  <c r="G153" i="3"/>
  <c r="F153" i="3"/>
  <c r="B155" i="3" l="1"/>
  <c r="H154" i="3"/>
  <c r="C154" i="3"/>
  <c r="D154" i="3" s="1"/>
  <c r="G154" i="3" s="1"/>
  <c r="F154" i="3" l="1"/>
  <c r="B156" i="3"/>
  <c r="C155" i="3"/>
  <c r="D155" i="3" s="1"/>
  <c r="G155" i="3" s="1"/>
  <c r="H155" i="3"/>
  <c r="F155" i="3" l="1"/>
  <c r="B157" i="3"/>
  <c r="H156" i="3"/>
  <c r="C156" i="3"/>
  <c r="D156" i="3" s="1"/>
  <c r="G156" i="3" s="1"/>
  <c r="F156" i="3" l="1"/>
  <c r="B158" i="3"/>
  <c r="H157" i="3"/>
  <c r="C157" i="3"/>
  <c r="D157" i="3" s="1"/>
  <c r="G157" i="3" s="1"/>
  <c r="F157" i="3" l="1"/>
  <c r="B159" i="3"/>
  <c r="C158" i="3"/>
  <c r="D158" i="3" s="1"/>
  <c r="G158" i="3" s="1"/>
  <c r="H158" i="3"/>
  <c r="F158" i="3" l="1"/>
  <c r="B160" i="3"/>
  <c r="H159" i="3"/>
  <c r="C159" i="3"/>
  <c r="D159" i="3" s="1"/>
  <c r="G159" i="3" s="1"/>
  <c r="F159" i="3" l="1"/>
  <c r="B161" i="3"/>
  <c r="C160" i="3"/>
  <c r="D160" i="3" s="1"/>
  <c r="G160" i="3" s="1"/>
  <c r="H160" i="3"/>
  <c r="F160" i="3" l="1"/>
  <c r="B162" i="3"/>
  <c r="C161" i="3"/>
  <c r="D161" i="3" s="1"/>
  <c r="H161" i="3"/>
  <c r="F161" i="3"/>
  <c r="G161" i="3"/>
  <c r="H162" i="3" l="1"/>
  <c r="K3" i="3" s="1"/>
  <c r="C162" i="3"/>
  <c r="D162" i="3" s="1"/>
  <c r="G162" i="3" s="1"/>
  <c r="J3" i="3" s="1"/>
  <c r="F162" i="3" l="1"/>
  <c r="I3" i="3" s="1"/>
</calcChain>
</file>

<file path=xl/sharedStrings.xml><?xml version="1.0" encoding="utf-8"?>
<sst xmlns="http://schemas.openxmlformats.org/spreadsheetml/2006/main" count="804" uniqueCount="221">
  <si>
    <t>paipaiworld_config</t>
    <phoneticPr fontId="2" type="noConversion"/>
  </si>
  <si>
    <t>INT_K</t>
    <phoneticPr fontId="2" type="noConversion"/>
  </si>
  <si>
    <t>order</t>
    <phoneticPr fontId="2" type="noConversion"/>
  </si>
  <si>
    <t>STRING</t>
    <phoneticPr fontId="2" type="noConversion"/>
  </si>
  <si>
    <t>desc0</t>
    <phoneticPr fontId="2" type="noConversion"/>
  </si>
  <si>
    <t>desc2</t>
    <phoneticPr fontId="2" type="noConversion"/>
  </si>
  <si>
    <t>kongfu</t>
    <phoneticPr fontId="2" type="noConversion"/>
  </si>
  <si>
    <t>怪物id</t>
    <phoneticPr fontId="2" type="noConversion"/>
  </si>
  <si>
    <t>关卡数</t>
    <phoneticPr fontId="2" type="noConversion"/>
  </si>
  <si>
    <t>怪物类型</t>
    <phoneticPr fontId="2" type="noConversion"/>
  </si>
  <si>
    <t>怪物武力值</t>
    <phoneticPr fontId="2" type="noConversion"/>
  </si>
  <si>
    <t>drop_item</t>
    <phoneticPr fontId="2" type="noConversion"/>
  </si>
  <si>
    <t>怪物掉落物品</t>
    <phoneticPr fontId="2" type="noConversion"/>
  </si>
  <si>
    <t>model_id</t>
    <phoneticPr fontId="2" type="noConversion"/>
  </si>
  <si>
    <t>name</t>
    <phoneticPr fontId="2" type="noConversion"/>
  </si>
  <si>
    <t>怪物名称</t>
    <phoneticPr fontId="2" type="noConversion"/>
  </si>
  <si>
    <t>desc1</t>
    <phoneticPr fontId="2" type="noConversion"/>
  </si>
  <si>
    <t>第1关守卫</t>
  </si>
  <si>
    <t>0:0</t>
  </si>
  <si>
    <t>hp_max</t>
    <phoneticPr fontId="2" type="noConversion"/>
  </si>
  <si>
    <t>hp_lose_type</t>
    <phoneticPr fontId="2" type="noConversion"/>
  </si>
  <si>
    <t>损血类型</t>
    <phoneticPr fontId="2" type="noConversion"/>
  </si>
  <si>
    <t>野猪怪</t>
  </si>
  <si>
    <t>乌龟怪1</t>
  </si>
  <si>
    <t>乌龟怪2</t>
  </si>
  <si>
    <t>乌龟怪3</t>
  </si>
  <si>
    <t>乌龟怪4</t>
  </si>
  <si>
    <t>野狼怪1</t>
  </si>
  <si>
    <t>野狼怪2</t>
  </si>
  <si>
    <t>野狼怪3</t>
  </si>
  <si>
    <t>野狼怪4</t>
  </si>
  <si>
    <t>是否有模型</t>
    <phoneticPr fontId="2" type="noConversion"/>
  </si>
  <si>
    <t>模型名称索引</t>
    <phoneticPr fontId="2" type="noConversion"/>
  </si>
  <si>
    <t>desc3</t>
    <phoneticPr fontId="2" type="noConversion"/>
  </si>
  <si>
    <t>desc4</t>
    <phoneticPr fontId="2" type="noConversion"/>
  </si>
  <si>
    <t>资源组id</t>
    <phoneticPr fontId="2" type="noConversion"/>
  </si>
  <si>
    <t>寄居蟹1</t>
  </si>
  <si>
    <t>寄居蟹2</t>
  </si>
  <si>
    <t>寄居蟹3</t>
  </si>
  <si>
    <t>寄居蟹4</t>
  </si>
  <si>
    <t>拳头怪3</t>
  </si>
  <si>
    <t>斯巴达勇士2</t>
  </si>
  <si>
    <t>爆裂悍匪2</t>
  </si>
  <si>
    <t>毒气猛士3</t>
  </si>
  <si>
    <t>蜥蜴怪1</t>
  </si>
  <si>
    <t>蜥蜴怪2</t>
  </si>
  <si>
    <t>青蛙怪1</t>
  </si>
  <si>
    <t>青蛙怪2</t>
  </si>
  <si>
    <t>小怪1</t>
  </si>
  <si>
    <t>小怪2</t>
  </si>
  <si>
    <t>小怪3</t>
  </si>
  <si>
    <t>小怪4</t>
  </si>
  <si>
    <t>小怪5</t>
  </si>
  <si>
    <t>小怪6</t>
  </si>
  <si>
    <t>小怪7</t>
  </si>
  <si>
    <t>守卫1</t>
  </si>
  <si>
    <t>守卫2</t>
  </si>
  <si>
    <t>守卫3</t>
  </si>
  <si>
    <t>守卫4</t>
  </si>
  <si>
    <t>守卫5</t>
  </si>
  <si>
    <t>守卫6</t>
  </si>
  <si>
    <t>守卫7</t>
  </si>
  <si>
    <t>守卫？1</t>
  </si>
  <si>
    <t>守卫？2</t>
  </si>
  <si>
    <t>守卫？3</t>
  </si>
  <si>
    <t>寄居蟹-红</t>
  </si>
  <si>
    <t>寄居蟹-蓝</t>
  </si>
  <si>
    <t>寄居蟹-绿</t>
  </si>
  <si>
    <t>乌龟怪-红</t>
  </si>
  <si>
    <t>乌龟怪-绿</t>
  </si>
  <si>
    <t>乌龟怪-蓝</t>
  </si>
  <si>
    <t>野狼怪-红</t>
  </si>
  <si>
    <t>小怪8</t>
  </si>
  <si>
    <t>野狼怪-绿</t>
  </si>
  <si>
    <t>小怪9</t>
  </si>
  <si>
    <t>野狼怪-蓝</t>
  </si>
  <si>
    <t>小怪10</t>
  </si>
  <si>
    <t>青蛙怪-红</t>
  </si>
  <si>
    <t>小怪11</t>
  </si>
  <si>
    <t>青蛙怪-绿</t>
  </si>
  <si>
    <t>小怪12</t>
  </si>
  <si>
    <t>青蛙怪-黄</t>
  </si>
  <si>
    <t>小怪13</t>
  </si>
  <si>
    <t>蜥蜴怪-紫</t>
  </si>
  <si>
    <t>小怪14</t>
  </si>
  <si>
    <t>蜥蜴怪-绿</t>
  </si>
  <si>
    <t>小怪15</t>
  </si>
  <si>
    <t>蜥蜴怪-蓝</t>
  </si>
  <si>
    <t>雷霆魔头3</t>
  </si>
  <si>
    <t>喷火恶龙2</t>
  </si>
  <si>
    <t>守卫8</t>
  </si>
  <si>
    <t>卫兵</t>
    <phoneticPr fontId="2" type="noConversion"/>
  </si>
  <si>
    <t>卫兵</t>
  </si>
  <si>
    <t>寄居炮蟹</t>
  </si>
  <si>
    <t>甲壳狂徒</t>
  </si>
  <si>
    <t>战甲斑狼</t>
  </si>
  <si>
    <t>长矛蛙兵</t>
  </si>
  <si>
    <t>狂暴蜥蜴</t>
  </si>
  <si>
    <t>雷霆魔头</t>
  </si>
  <si>
    <t>獠牙霸主</t>
  </si>
  <si>
    <t>喷火恶龙</t>
  </si>
  <si>
    <t>爆裂悍匪2</t>
    <phoneticPr fontId="2" type="noConversion"/>
  </si>
  <si>
    <t>爆裂悍匪</t>
  </si>
  <si>
    <t>斯巴达勇士</t>
  </si>
  <si>
    <t>变异暴徒</t>
  </si>
  <si>
    <t>铠甲战士</t>
  </si>
  <si>
    <t>drop_exp_num</t>
    <phoneticPr fontId="2" type="noConversion"/>
  </si>
  <si>
    <t>冒险等级:掉落经验数量</t>
    <phoneticPr fontId="2" type="noConversion"/>
  </si>
  <si>
    <t>drop_coin_num</t>
    <phoneticPr fontId="2" type="noConversion"/>
  </si>
  <si>
    <t>drop_equip_score_num</t>
    <phoneticPr fontId="2" type="noConversion"/>
  </si>
  <si>
    <t>冒险等级:掉落装备分数量</t>
    <phoneticPr fontId="2" type="noConversion"/>
  </si>
  <si>
    <t>经验</t>
    <phoneticPr fontId="2" type="noConversion"/>
  </si>
  <si>
    <t>金币</t>
    <phoneticPr fontId="2" type="noConversion"/>
  </si>
  <si>
    <t>装备分数</t>
    <phoneticPr fontId="2" type="noConversion"/>
  </si>
  <si>
    <t>冒险等级:掉落钱币数量</t>
    <phoneticPr fontId="2" type="noConversion"/>
  </si>
  <si>
    <t>level</t>
    <phoneticPr fontId="2" type="noConversion"/>
  </si>
  <si>
    <t>怪物等级</t>
    <phoneticPr fontId="2" type="noConversion"/>
  </si>
  <si>
    <t>in_barries_id</t>
    <phoneticPr fontId="2" type="noConversion"/>
  </si>
  <si>
    <t>foe_type</t>
    <phoneticPr fontId="2" type="noConversion"/>
  </si>
  <si>
    <t>所属关卡id</t>
    <phoneticPr fontId="2" type="noConversion"/>
  </si>
  <si>
    <t>怪物类型（1-小怪 2-守关boss 3-巡逻守卫</t>
    <phoneticPr fontId="2" type="noConversion"/>
  </si>
  <si>
    <t>speed</t>
  </si>
  <si>
    <t>移动速度(万分比）</t>
  </si>
  <si>
    <t>hp_num</t>
  </si>
  <si>
    <t>血条数量</t>
  </si>
  <si>
    <t>tough_max</t>
  </si>
  <si>
    <t>怪物韧性上限</t>
  </si>
  <si>
    <t>nor_attack_skill_id</t>
    <phoneticPr fontId="2" type="noConversion"/>
  </si>
  <si>
    <t>passive_skill_id</t>
    <phoneticPr fontId="2" type="noConversion"/>
  </si>
  <si>
    <t>普通攻击技能id</t>
    <phoneticPr fontId="2" type="noConversion"/>
  </si>
  <si>
    <t>被动技能id</t>
    <phoneticPr fontId="2" type="noConversion"/>
  </si>
  <si>
    <t>INT_C_S</t>
  </si>
  <si>
    <t>MAP&lt;INT:LONG&gt;_C_S</t>
  </si>
  <si>
    <t>STRING_C_S</t>
  </si>
  <si>
    <t>LIST&lt;INT&gt;_C_S</t>
  </si>
  <si>
    <t>drop_energy_num</t>
    <phoneticPr fontId="2" type="noConversion"/>
  </si>
  <si>
    <t>死亡后掉落的能量点数</t>
    <phoneticPr fontId="2" type="noConversion"/>
  </si>
  <si>
    <t>INT_S_C</t>
    <phoneticPr fontId="2" type="noConversion"/>
  </si>
  <si>
    <t>attack_max</t>
    <phoneticPr fontId="2" type="noConversion"/>
  </si>
  <si>
    <t>def_max</t>
    <phoneticPr fontId="2" type="noConversion"/>
  </si>
  <si>
    <t>怪物血量</t>
    <phoneticPr fontId="2" type="noConversion"/>
  </si>
  <si>
    <t>怪物攻击</t>
    <phoneticPr fontId="2" type="noConversion"/>
  </si>
  <si>
    <t>怪物防御</t>
    <phoneticPr fontId="2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</si>
  <si>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</si>
  <si>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</si>
  <si>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1_102:1_103:1_104:1_105:1_106:1_107:1_108:1_109:1_110:1_111:1_112:1_113:1_114:1_115:1_116:1_117:1_118:1_119:1_120:1_121:1_122:1_123:1_124:1_125:1_126:1_127:1_128:1_129:1_130:1_131:1_132:1_133:1_134:1_135:1_136:1_137:1_138:1_139:1_140:1_141:1_142:1_143:1_144:1_145:1_146:1_147:1_148:1_149:1_150:1_151:1_152:1_153:1_154:1_155:1_156:1_157:1_158:1_159:1_160:1</t>
  </si>
  <si>
    <t>1:2_2:635_3:635_4:635_5:405_6:405_7:315_8:315_9:315_10:315_11:315_12:315_13:315_14:315_15:315_16:315_17:315_18:315_19:315_20:315_21:315_22:315_23:315_24:315_25:315_26:315_27:315_28:315_29:315_30:315_31:315_32:315_33:315_34:315_35:315_36:315_37:315_38:315_39:315_40:315_41:315_42:315_43:315_44:315_45:315_46:315_47:315_48:315_49:315_50:315_51:315_52:315_53:315_54:315_55:315_56:315_57:315_58:315_59:315_60:315_61:315_62:315_63:315_64:315_65:315_66:315_67:315_68:315_69:315_70:315_71:315_72:315_73:315_74:315_75:315_76:315_77:315_78:315_79:315_80:315_81:315_82:315_83:315_84:315_85:315_86:315_87:315_88:315_89:315_90:315_91:315_92:315_93:315_94:315_95:315_96:315_97:315_98:315_99:315_100:315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</si>
  <si>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209_2:209_3:209_4:209_5:209_6:209_7:209_8:209_9:209_10:209_11:209_12:209_13:209_14:209_15:209_16:209_17:209_18:209_19:209_20:209_21:209_22:209_23:209_24:209_25:209_26:209_27:209_28:209_29:209_30:209_31:209_32:209_33:209_34:209_35:209_36:209_37:209_38:209_39:209_40:209_41:209_42:209_43:209_44:209_45:209_46:209_47:209_48:209_49:209_50:209_51:209_52:209_53:209_54:209_55:209_56:209_57:209_58:209_59:209_60:209_61:209_62:209_63:209_64:209_65:209_66:209_67:209_68:209_69:209_70:209_71:209_72:209_73:209_74:209_75:209_76:209_77:209_78:209_79:209_80:209_81:209_82:209_83:209_84:209_85:209_86:209_87:209_88:209_89:209_90:209_91:209_92:209_93:209_94:209_95:209_96:209_97:209_98:209_99:209_100:209_101:209_102:209_103:209_104:209_105:209_106:209_107:209_108:209_109:209_110:209_111:209_112:209_113:209_114:209_115:209_116:209_117:209_118:209_119:209_120:209_121:209_122:209_123:209_124:209_125:209_126:209_127:209_128:209_129:209_130:209_131:209_132:209_133:209_134:209_135:209_136:209_137:209_138:209_139:209_140:209_141:209_142:209_143:209_144:209_145:209_146:209_147:209_148:209_149:209_150:209_151:209_152:209_153:209_154:209_155:209_156:209_157:209_158:209_159:209_160:209</t>
  </si>
  <si>
    <t>MAP&lt;LONG:INT&gt;_S</t>
    <phoneticPr fontId="2" type="noConversion"/>
  </si>
  <si>
    <t>tough_borke_raitio</t>
    <phoneticPr fontId="2" type="noConversion"/>
  </si>
  <si>
    <t>武力对应削韧倍率（万分比）</t>
    <phoneticPr fontId="2" type="noConversion"/>
  </si>
  <si>
    <t>attack_speed_pro</t>
    <phoneticPr fontId="2" type="noConversion"/>
  </si>
  <si>
    <t>be_attack_recovery_speed_pro</t>
    <phoneticPr fontId="2" type="noConversion"/>
  </si>
  <si>
    <t>未使用</t>
  </si>
  <si>
    <t>受击回复动作播放速度系数（&gt;10000加速 ,&lt;10000减速</t>
    <phoneticPr fontId="2" type="noConversion"/>
  </si>
  <si>
    <t>怪物攻击速度系数（&gt;10000加速 ,&lt;10000减速</t>
    <phoneticPr fontId="2" type="noConversion"/>
  </si>
  <si>
    <t>0:2500_2:5000_3:10000_5:15000_6:30000</t>
  </si>
  <si>
    <t>0:2500_50:5000_80:10000_125:15000_160:30000</t>
  </si>
  <si>
    <t>990201,990202</t>
  </si>
  <si>
    <t>990101,990102</t>
  </si>
  <si>
    <t>990501,990502</t>
  </si>
  <si>
    <t>寄居蟹</t>
  </si>
  <si>
    <t>990401,990402</t>
  </si>
  <si>
    <t>990301,990302</t>
  </si>
  <si>
    <t>资源组id</t>
    <phoneticPr fontId="2" type="noConversion"/>
  </si>
  <si>
    <t>普通技能</t>
  </si>
  <si>
    <t>野狼怪</t>
    <phoneticPr fontId="2" type="noConversion"/>
  </si>
  <si>
    <t>乌龟怪</t>
  </si>
  <si>
    <t>青蛙怪</t>
    <phoneticPr fontId="2" type="noConversion"/>
  </si>
  <si>
    <t>蜥蜴怪</t>
  </si>
  <si>
    <t>动作id</t>
    <phoneticPr fontId="2" type="noConversion"/>
  </si>
  <si>
    <t>对应动作</t>
    <phoneticPr fontId="2" type="noConversion"/>
  </si>
  <si>
    <t>攻击技能</t>
    <phoneticPr fontId="2" type="noConversion"/>
  </si>
  <si>
    <t>青蛙</t>
  </si>
  <si>
    <t>狼</t>
  </si>
  <si>
    <t>动作对应的技能id</t>
    <phoneticPr fontId="2" type="noConversion"/>
  </si>
  <si>
    <t>客户端资源组</t>
  </si>
  <si>
    <t>tough_deplete</t>
    <phoneticPr fontId="2" type="noConversion"/>
  </si>
  <si>
    <t>韧性被打空时释放技能</t>
    <phoneticPr fontId="2" type="noConversion"/>
  </si>
  <si>
    <t>0:2500_35:5000_56:10000_88:15000_112:30000</t>
  </si>
  <si>
    <t>怪物掉落装备</t>
    <phoneticPr fontId="2" type="noConversion"/>
  </si>
  <si>
    <t>drop_equip</t>
    <phoneticPr fontId="2" type="noConversion"/>
  </si>
  <si>
    <t>寻敌范围调整值（默认10米）</t>
    <phoneticPr fontId="2" type="noConversion"/>
  </si>
  <si>
    <t>search_for_scope</t>
    <phoneticPr fontId="2" type="noConversion"/>
  </si>
  <si>
    <t>骷髅等级1</t>
    <phoneticPr fontId="2" type="noConversion"/>
  </si>
  <si>
    <t>骷髅等级2</t>
  </si>
  <si>
    <t>骷髅等级3</t>
  </si>
  <si>
    <t>弓箭骷髅等级4</t>
    <phoneticPr fontId="2" type="noConversion"/>
  </si>
  <si>
    <t>蜘蛛等级1</t>
    <phoneticPr fontId="2" type="noConversion"/>
  </si>
  <si>
    <t>1:1087_2:1087_3:1087_4:1087_5:1087_6:1087_7:1087_8:1087_9:1087_10:1087_11:1087_12:1087_13:1087_14:1087_15:1087_16:1087_17:1087_18:1087_19:1087_20:1087_21:1087_22:1087_23:1087_24:1087_25:1087_26:1087_27:1087_28:1087_29:1087_30:1087_31:1087_32:1087_33:1087_34:1087_35:1087_36:1087_37:1087_38:1087_39:1087_40:1087_41:1087_42:1087_43:1087_44:1087_45:1087_46:1087_47:1087_48:1087_49:1087_50:1087_51:1087_52:1087_53:1087_54:1087_55:1087_56:1087_57:1087_58:1087_59:1087_60:1087_61:1087_62:1087_63:1087_64:1087_65:1087_66:1087_67:1087_68:1087_69:1087_70:1087_71:1087_72:1087_73:1087_74:1087_75:1087_76:1087_77:1087_78:1087_79:1087_80:1087_81:1087_82:1087_83:1087_84:1087_85:1087_86:1087_87:1087_88:1087_89:1087_90:1087_91:1087_92:1087_93:1087_94:1087_95:1087_96:1087_97:1087_98:1087_99:1087_100:1087_101:1087_102:1087_103:1087_104:1087_105:1087_106:1087_107:1087_108:1087_109:1087_110:1087_111:1087_112:1087_113:1087_114:1087_115:1087_116:1087_117:1087_118:1087_119:1087_120:1087_121:1087_122:1087_123:1087_124:1087_125:1087_126:1087_127:1087_128:1087_129:1087_130:1087_131:1087_132:1087_133:1087_134:1087_135:1087_136:1087_137:1087_138:1087_139:1087_140:1087_141:1087_142:1087_143:1087_144:1087_145:1087_146:1087_147:1087_148:1087_149:1087_150:1087_151:1087_152:1087_153:1087_154:1087_155:1087_156:1087_157:1087_158:1087_159:1087_160:1087</t>
  </si>
  <si>
    <t>寄居炮蟹</t>
    <phoneticPr fontId="2" type="noConversion"/>
  </si>
  <si>
    <t>僵尸精英</t>
    <phoneticPr fontId="2" type="noConversion"/>
  </si>
  <si>
    <t>战甲斑狼</t>
    <phoneticPr fontId="2" type="noConversion"/>
  </si>
  <si>
    <t>测试怪远程</t>
    <phoneticPr fontId="2" type="noConversion"/>
  </si>
  <si>
    <t>测试怪近战</t>
    <phoneticPr fontId="2" type="noConversion"/>
  </si>
  <si>
    <t>被击退距离系数（万分比）</t>
    <phoneticPr fontId="2" type="noConversion"/>
  </si>
  <si>
    <t>attacked_back_range</t>
    <phoneticPr fontId="2" type="noConversion"/>
  </si>
  <si>
    <t>0:2500_100:5000_160:10000_250:15000_320:30000</t>
  </si>
  <si>
    <t>0:2500_63:5000_100:10000_156:15000_200:30000</t>
  </si>
  <si>
    <t>0:2500_250:5000_400:10000_625:15000_800:30000</t>
  </si>
  <si>
    <t>1:10000_2:10000_3:10000_4:10000_5:10000_6:10000_7:10000_8:10000_9:10000_10:10000_11:10000_12:10000_13:10000_14:10000_15:10000_16:10000_17:10000_18:10000_19:10000_20:10000_21:10000_22:10000_23:10000_24:10000_25:10000_26:10000_27:10000_28:10000_29:10000_30:10000_31:10000_32:10000_33:10000_34:10000_35:10000_36:10000_37:10000_38:10000_39:10000_40:10000_41:10000_42:10000_43:10000_44:10000_45:10000_46:10000_47:10000_48:10000_49:10000_50:10000_51:10000_52:10000_53:10000_54:10000_55:10000_56:10000_57:10000_58:10000_59:10000_60:10000_61:10000_62:10000_63:10000_64:10000_65:10000_66:10000_67:10000_68:10000_69:10000_70:10000_71:10000_72:10000_73:10000_74:10000_75:10000_76:10000_77:10000_78:10000_79:10000_80:10000_81:10000_82:10000_83:10000_84:10000_85:10000_86:10000_87:10000_88:10000_89:10000_90:10000_91:10000_92:10000_93:10000_94:10000_95:10000_96:10000_97:10000_98:10000_99:10000_100:10000_101:10000_102:10000_103:10000_104:10000_105:10000_106:10000_107:10000_108:10000_109:10000_110:10000_111:10000_112:10000_113:10000_114:10000_115:10000_116:10000_117:10000_118:10000_119:10000_120:10000_121:10000_122:10000_123:10000_124:10000_125:10000_126:10000_127:10000_128:10000_129:10000_130:10000_131:10000_132:10000_133:10000_134:10000_135:10000_136:10000_137:10000_138:10000_139:10000_140:10000_141:10000_142:10000_143:10000_144:10000_145:10000_146:10000_147:10000_148:10000_149:10000_150:10000_151:10000_152:10000_153:10000_154:10000_155:10000_156:10000_157:10000_158:10000_159:10000_160:10000</t>
  </si>
  <si>
    <t>1:9_2:9_3:9_4:9_5:9_6:9_7:9_8:9_9:9_10:9_11:9_12:9_13:9_14:9_15:9_16:9_17:9_18:9_19:9_20:9_21:9_22:9_23:9_24:9_25:9_26:9_27:9_28:9_29:9_30:9_31:9_32:9_33:9_34:9_35:9_36:9_37:9_38:9_39:9_40:9_41:9_42:9_43:9_44:9_45:9_46:9_47:9_48:9_49:9_50:9_51:9_52:9_53:9_54:9_55:9_56:9_57:9_58:9_59:9_60:9_61:9_62:9_63:9_64:9_65:9_66:9_67:9_68:9_69:9_70:9_71:9_72:9_73:9_74:9_75:9_76:9_77:9_78:9_79:9_80:9_81:9_82:9_83:9_84:9_85:9_86:9_87:9_88:9_89:9_90:9_91:9_92:9_93:9_94:9_95:9_96:9_97:9_98:9_99:9_100:9_101:9_102:9_103:9_104:9_105:9_106:9_107:9_108:9_109:9_110:9_111:9_112:9_113:9_114:9_115:9_116:9_117:9_118:9_119:9_120:9_121:9_122:9_123:9_124:9_125:9_126:9_127:9_128:9_129:9_130:9_131:9_132:9_133:9_134:9_135:9_136:9_137:9_138:9_139:9_140:9_141:9_142:9_143:9_144:9_145:9_146:9_147:9_148:9_149:9_150:9_151:9_152:9_153:9_154:9_155:9_156:9_157:9_158:9_159:9_160:9</t>
  </si>
  <si>
    <t>测试怪近战2</t>
    <phoneticPr fontId="2" type="noConversion"/>
  </si>
  <si>
    <t>测试怪远程2</t>
    <phoneticPr fontId="2" type="noConversion"/>
  </si>
  <si>
    <t>attacked_back_range_after</t>
    <phoneticPr fontId="2" type="noConversion"/>
  </si>
  <si>
    <t>被击退距离系数（破除韧性后）（万分比）</t>
    <phoneticPr fontId="2" type="noConversion"/>
  </si>
  <si>
    <t>threat_value</t>
    <phoneticPr fontId="2" type="noConversion"/>
  </si>
  <si>
    <t>arrow_threat_value</t>
    <phoneticPr fontId="2" type="noConversion"/>
  </si>
  <si>
    <t>威胁值</t>
    <phoneticPr fontId="2" type="noConversion"/>
  </si>
  <si>
    <t>远程威胁值</t>
    <phoneticPr fontId="2" type="noConversion"/>
  </si>
  <si>
    <t>测试怪1</t>
  </si>
  <si>
    <t>骷髅等级1</t>
  </si>
  <si>
    <t>测试怪2</t>
  </si>
  <si>
    <t>测试怪3</t>
  </si>
  <si>
    <t>弓箭骷髅等级4</t>
  </si>
  <si>
    <t>测试怪4</t>
  </si>
  <si>
    <t>蜘蛛等级1</t>
  </si>
  <si>
    <t>僵尸精英</t>
  </si>
  <si>
    <t>守卫9</t>
  </si>
  <si>
    <t>守卫10</t>
  </si>
  <si>
    <t>守卫11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</si>
</sst>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34"/>
    </font>
    <font>
      <sz val="11"/>
      <color theme="5" tint="0.79998168889431442"/>
      <name val="宋体"/>
      <family val="3"/>
      <charset val="134"/>
    </font>
    <font>
      <sz val="11"/>
      <name val="宋体"/>
      <family val="3"/>
      <charset val="134"/>
    </font>
    <font>
      <sz val="11"/>
      <color rgb="FF3F3F76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rgb="FFEE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/>
    <xf numFmtId="0" fontId="4" fillId="2" borderId="1" applyNumberFormat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3" fillId="0" borderId="0" xfId="0" applyFont="1"/>
    <xf numFmtId="0" fontId="1" fillId="0" borderId="0" xfId="2">
      <alignment vertical="center"/>
    </xf>
    <xf numFmtId="0" fontId="1" fillId="0" borderId="0" xfId="2" applyAlignment="1"/>
    <xf numFmtId="0" fontId="3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6" borderId="1" xfId="1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1" xfId="1" applyFont="1" applyFill="1" applyAlignment="1">
      <alignment horizontal="center" vertical="center"/>
    </xf>
    <xf numFmtId="0" fontId="7" fillId="0" borderId="1" xfId="1" applyFont="1" applyFill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</cellXfs>
  <cellStyles count="3">
    <cellStyle name="常规" xfId="0" builtinId="0"/>
    <cellStyle name="常规 2" xfId="2" xr:uid="{01BEBEF6-5915-45F4-9669-E65DC1B829D7}"/>
    <cellStyle name="输入" xfId="1" builtinId="2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0"/>
  <sheetViews>
    <sheetView tabSelected="1" zoomScale="85" zoomScaleNormal="85" workbookViewId="0">
      <pane ySplit="4" topLeftCell="A29" activePane="bottomLeft" state="frozen"/>
      <selection pane="bottomLeft" activeCell="U49" sqref="U49"/>
    </sheetView>
  </sheetViews>
  <sheetFormatPr defaultColWidth="9" defaultRowHeight="13.5" x14ac:dyDescent="0.2"/>
  <cols>
    <col min="1" max="1" width="20.125" style="4" bestFit="1" customWidth="1"/>
    <col min="2" max="2" width="10.625" style="4" customWidth="1"/>
    <col min="3" max="3" width="12.125" style="4" bestFit="1" customWidth="1"/>
    <col min="4" max="9" width="10.625" style="4" customWidth="1"/>
    <col min="10" max="10" width="19.375" style="4" bestFit="1" customWidth="1"/>
    <col min="11" max="11" width="14.125" style="4" bestFit="1" customWidth="1"/>
    <col min="12" max="20" width="10.625" style="4" customWidth="1"/>
    <col min="21" max="21" width="13.375" style="4" bestFit="1" customWidth="1"/>
    <col min="22" max="23" width="10.625" style="4" customWidth="1"/>
    <col min="24" max="24" width="29.25" style="4" customWidth="1"/>
    <col min="25" max="27" width="10.625" style="4" customWidth="1"/>
    <col min="28" max="28" width="49.875" style="4" bestFit="1" customWidth="1"/>
    <col min="29" max="29" width="44.625" style="4" bestFit="1" customWidth="1"/>
    <col min="30" max="31" width="53" style="4" bestFit="1" customWidth="1"/>
    <col min="32" max="33" width="27.75" style="4" bestFit="1" customWidth="1"/>
    <col min="34" max="34" width="40.125" style="4" bestFit="1" customWidth="1"/>
    <col min="35" max="35" width="13.875" style="4" bestFit="1" customWidth="1"/>
    <col min="36" max="36" width="20.5" style="4" bestFit="1" customWidth="1"/>
    <col min="37" max="16384" width="9" style="4"/>
  </cols>
  <sheetData>
    <row r="1" spans="1:3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AC1" s="7"/>
      <c r="AD1" s="7"/>
      <c r="AE1" s="7"/>
    </row>
    <row r="2" spans="1:36" ht="14.25" thickBot="1" x14ac:dyDescent="0.25">
      <c r="A2" s="10" t="s">
        <v>1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0" t="s">
        <v>131</v>
      </c>
      <c r="H2" s="10" t="s">
        <v>131</v>
      </c>
      <c r="I2" s="10" t="s">
        <v>132</v>
      </c>
      <c r="J2" s="10" t="s">
        <v>134</v>
      </c>
      <c r="K2" s="10" t="s">
        <v>133</v>
      </c>
      <c r="L2" s="10" t="s">
        <v>131</v>
      </c>
      <c r="M2" s="10" t="s">
        <v>131</v>
      </c>
      <c r="N2" s="10" t="s">
        <v>131</v>
      </c>
      <c r="O2" s="10" t="s">
        <v>131</v>
      </c>
      <c r="P2" s="10" t="s">
        <v>131</v>
      </c>
      <c r="Q2" s="10" t="s">
        <v>131</v>
      </c>
      <c r="R2" s="10" t="s">
        <v>131</v>
      </c>
      <c r="S2" s="10" t="s">
        <v>131</v>
      </c>
      <c r="T2" s="10" t="s">
        <v>131</v>
      </c>
      <c r="U2" s="10" t="s">
        <v>131</v>
      </c>
      <c r="V2" s="10" t="s">
        <v>132</v>
      </c>
      <c r="W2" s="10" t="s">
        <v>132</v>
      </c>
      <c r="X2" s="10" t="s">
        <v>132</v>
      </c>
      <c r="Y2" s="10" t="s">
        <v>131</v>
      </c>
      <c r="Z2" s="10" t="s">
        <v>134</v>
      </c>
      <c r="AA2" s="10" t="s">
        <v>137</v>
      </c>
      <c r="AB2" s="10" t="s">
        <v>148</v>
      </c>
      <c r="AC2" s="10" t="s">
        <v>131</v>
      </c>
      <c r="AD2" s="10" t="s">
        <v>131</v>
      </c>
      <c r="AE2" s="10" t="s">
        <v>131</v>
      </c>
      <c r="AF2" s="10" t="s">
        <v>131</v>
      </c>
      <c r="AG2" s="10" t="s">
        <v>131</v>
      </c>
      <c r="AH2" s="10" t="s">
        <v>131</v>
      </c>
      <c r="AI2" s="10" t="s">
        <v>131</v>
      </c>
      <c r="AJ2" s="10" t="s">
        <v>131</v>
      </c>
    </row>
    <row r="3" spans="1:36" ht="14.25" thickBot="1" x14ac:dyDescent="0.25">
      <c r="A3" s="5" t="s">
        <v>2</v>
      </c>
      <c r="B3" s="11" t="s">
        <v>4</v>
      </c>
      <c r="C3" s="11" t="s">
        <v>16</v>
      </c>
      <c r="D3" s="11" t="s">
        <v>5</v>
      </c>
      <c r="E3" s="11" t="s">
        <v>33</v>
      </c>
      <c r="F3" s="11" t="s">
        <v>34</v>
      </c>
      <c r="G3" s="5" t="s">
        <v>117</v>
      </c>
      <c r="H3" s="5" t="s">
        <v>118</v>
      </c>
      <c r="I3" s="5" t="s">
        <v>11</v>
      </c>
      <c r="J3" s="5" t="s">
        <v>181</v>
      </c>
      <c r="K3" s="5" t="s">
        <v>14</v>
      </c>
      <c r="L3" s="5" t="s">
        <v>13</v>
      </c>
      <c r="M3" s="5" t="s">
        <v>115</v>
      </c>
      <c r="N3" s="5" t="s">
        <v>6</v>
      </c>
      <c r="O3" s="5" t="s">
        <v>20</v>
      </c>
      <c r="P3" s="5" t="s">
        <v>138</v>
      </c>
      <c r="Q3" s="5" t="s">
        <v>139</v>
      </c>
      <c r="R3" s="5" t="s">
        <v>19</v>
      </c>
      <c r="S3" s="5" t="s">
        <v>121</v>
      </c>
      <c r="T3" s="5" t="s">
        <v>123</v>
      </c>
      <c r="U3" s="5" t="s">
        <v>125</v>
      </c>
      <c r="V3" s="5" t="s">
        <v>106</v>
      </c>
      <c r="W3" s="5" t="s">
        <v>108</v>
      </c>
      <c r="X3" s="5" t="s">
        <v>109</v>
      </c>
      <c r="Y3" s="5" t="s">
        <v>127</v>
      </c>
      <c r="Z3" s="5" t="s">
        <v>128</v>
      </c>
      <c r="AA3" s="5" t="s">
        <v>135</v>
      </c>
      <c r="AB3" s="5" t="s">
        <v>149</v>
      </c>
      <c r="AC3" s="5" t="s">
        <v>151</v>
      </c>
      <c r="AD3" s="5" t="s">
        <v>152</v>
      </c>
      <c r="AE3" s="5" t="s">
        <v>177</v>
      </c>
      <c r="AF3" s="5" t="s">
        <v>183</v>
      </c>
      <c r="AG3" s="5" t="s">
        <v>196</v>
      </c>
      <c r="AH3" s="5" t="s">
        <v>204</v>
      </c>
      <c r="AI3" s="4" t="s">
        <v>206</v>
      </c>
      <c r="AJ3" s="4" t="s">
        <v>207</v>
      </c>
    </row>
    <row r="4" spans="1:36" ht="25.5" customHeight="1" thickBot="1" x14ac:dyDescent="0.25">
      <c r="A4" s="5" t="s">
        <v>7</v>
      </c>
      <c r="B4" s="11" t="s">
        <v>8</v>
      </c>
      <c r="C4" s="11" t="s">
        <v>9</v>
      </c>
      <c r="D4" s="11" t="s">
        <v>9</v>
      </c>
      <c r="E4" s="11" t="s">
        <v>32</v>
      </c>
      <c r="F4" s="11" t="s">
        <v>31</v>
      </c>
      <c r="G4" s="5" t="s">
        <v>119</v>
      </c>
      <c r="H4" s="5" t="s">
        <v>120</v>
      </c>
      <c r="I4" s="5" t="s">
        <v>12</v>
      </c>
      <c r="J4" s="5" t="s">
        <v>180</v>
      </c>
      <c r="K4" s="5" t="s">
        <v>15</v>
      </c>
      <c r="L4" s="5" t="s">
        <v>35</v>
      </c>
      <c r="M4" s="5" t="s">
        <v>116</v>
      </c>
      <c r="N4" s="5" t="s">
        <v>10</v>
      </c>
      <c r="O4" s="5" t="s">
        <v>21</v>
      </c>
      <c r="P4" s="5" t="s">
        <v>141</v>
      </c>
      <c r="Q4" s="5" t="s">
        <v>142</v>
      </c>
      <c r="R4" s="5" t="s">
        <v>140</v>
      </c>
      <c r="S4" s="5" t="s">
        <v>122</v>
      </c>
      <c r="T4" s="5" t="s">
        <v>124</v>
      </c>
      <c r="U4" s="5" t="s">
        <v>126</v>
      </c>
      <c r="V4" s="5" t="s">
        <v>107</v>
      </c>
      <c r="W4" s="5" t="s">
        <v>114</v>
      </c>
      <c r="X4" s="5" t="s">
        <v>110</v>
      </c>
      <c r="Y4" s="5" t="s">
        <v>129</v>
      </c>
      <c r="Z4" s="5" t="s">
        <v>130</v>
      </c>
      <c r="AA4" s="5" t="s">
        <v>136</v>
      </c>
      <c r="AB4" s="5" t="s">
        <v>150</v>
      </c>
      <c r="AC4" s="5" t="s">
        <v>155</v>
      </c>
      <c r="AD4" s="5" t="s">
        <v>154</v>
      </c>
      <c r="AE4" s="5" t="s">
        <v>178</v>
      </c>
      <c r="AF4" s="5" t="s">
        <v>182</v>
      </c>
      <c r="AG4" s="5" t="s">
        <v>195</v>
      </c>
      <c r="AH4" s="5" t="s">
        <v>205</v>
      </c>
      <c r="AI4" s="4" t="s">
        <v>208</v>
      </c>
      <c r="AJ4" s="4" t="s">
        <v>209</v>
      </c>
    </row>
    <row r="5" spans="1:36" x14ac:dyDescent="0.2">
      <c r="A5" s="7">
        <v>10201</v>
      </c>
      <c r="B5" s="7">
        <v>1</v>
      </c>
      <c r="C5" s="7" t="s">
        <v>55</v>
      </c>
      <c r="D5" s="7" t="s">
        <v>88</v>
      </c>
      <c r="E5" s="4" t="s">
        <v>153</v>
      </c>
      <c r="F5" s="7" t="s">
        <v>176</v>
      </c>
      <c r="G5" s="15">
        <v>1</v>
      </c>
      <c r="H5" s="15">
        <v>2</v>
      </c>
      <c r="I5" s="15" t="s">
        <v>18</v>
      </c>
      <c r="J5" s="7">
        <v>0</v>
      </c>
      <c r="K5" s="7">
        <v>800001021</v>
      </c>
      <c r="L5" s="7">
        <v>800001021</v>
      </c>
      <c r="M5" s="7">
        <v>1</v>
      </c>
      <c r="N5" s="20">
        <v>1</v>
      </c>
      <c r="O5" s="7">
        <v>1</v>
      </c>
      <c r="P5" s="7">
        <v>8</v>
      </c>
      <c r="Q5" s="7">
        <v>0</v>
      </c>
      <c r="R5" s="7">
        <v>25</v>
      </c>
      <c r="S5" s="7">
        <v>-3000</v>
      </c>
      <c r="T5" s="7">
        <v>1</v>
      </c>
      <c r="U5" s="7">
        <v>0</v>
      </c>
      <c r="V5" s="7" t="s">
        <v>143</v>
      </c>
      <c r="W5" s="7" t="s">
        <v>143</v>
      </c>
      <c r="X5" s="7" t="s">
        <v>143</v>
      </c>
      <c r="Y5" s="14">
        <v>20010001</v>
      </c>
      <c r="Z5" s="14">
        <v>0</v>
      </c>
      <c r="AA5" s="7">
        <v>1</v>
      </c>
      <c r="AB5" s="4" t="s">
        <v>157</v>
      </c>
      <c r="AC5" s="7">
        <v>10000</v>
      </c>
      <c r="AD5" s="7">
        <v>10000</v>
      </c>
      <c r="AE5" s="7">
        <v>0</v>
      </c>
      <c r="AF5" s="4">
        <v>40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s="7">
        <v>10301</v>
      </c>
      <c r="B6" s="7">
        <v>1</v>
      </c>
      <c r="C6" s="7" t="s">
        <v>56</v>
      </c>
      <c r="D6" s="7" t="s">
        <v>22</v>
      </c>
      <c r="E6" s="4" t="s">
        <v>153</v>
      </c>
      <c r="F6" s="7" t="s">
        <v>176</v>
      </c>
      <c r="G6" s="15">
        <v>1</v>
      </c>
      <c r="H6" s="15">
        <v>2</v>
      </c>
      <c r="I6" s="15" t="s">
        <v>18</v>
      </c>
      <c r="J6" s="7">
        <v>0</v>
      </c>
      <c r="K6" s="7">
        <v>800001021</v>
      </c>
      <c r="L6" s="7">
        <v>800001021</v>
      </c>
      <c r="M6" s="7">
        <v>1</v>
      </c>
      <c r="N6" s="20">
        <v>2</v>
      </c>
      <c r="O6" s="7">
        <v>2</v>
      </c>
      <c r="P6" s="7">
        <v>8</v>
      </c>
      <c r="Q6" s="7">
        <v>0</v>
      </c>
      <c r="R6" s="7">
        <v>25</v>
      </c>
      <c r="S6" s="7">
        <v>-3000</v>
      </c>
      <c r="T6" s="7">
        <v>1</v>
      </c>
      <c r="U6" s="7">
        <v>0</v>
      </c>
      <c r="V6" s="7" t="s">
        <v>143</v>
      </c>
      <c r="W6" s="7" t="s">
        <v>143</v>
      </c>
      <c r="X6" s="7" t="s">
        <v>143</v>
      </c>
      <c r="Y6" s="14">
        <v>20010001</v>
      </c>
      <c r="Z6" s="14">
        <v>0</v>
      </c>
      <c r="AA6" s="7">
        <v>1</v>
      </c>
      <c r="AB6" s="4" t="s">
        <v>157</v>
      </c>
      <c r="AC6" s="7">
        <v>10000</v>
      </c>
      <c r="AD6" s="7">
        <v>10000</v>
      </c>
      <c r="AE6" s="7">
        <v>0</v>
      </c>
      <c r="AF6" s="4">
        <v>40</v>
      </c>
      <c r="AG6" s="4">
        <v>0</v>
      </c>
      <c r="AH6" s="4">
        <v>0</v>
      </c>
      <c r="AI6" s="4">
        <v>0</v>
      </c>
      <c r="AJ6" s="4">
        <v>0</v>
      </c>
    </row>
    <row r="7" spans="1:36" x14ac:dyDescent="0.2">
      <c r="A7" s="7">
        <v>10302</v>
      </c>
      <c r="B7" s="7">
        <v>1</v>
      </c>
      <c r="C7" s="7" t="s">
        <v>57</v>
      </c>
      <c r="D7" s="7" t="s">
        <v>89</v>
      </c>
      <c r="E7" s="4" t="s">
        <v>153</v>
      </c>
      <c r="F7" s="7" t="s">
        <v>176</v>
      </c>
      <c r="G7" s="15">
        <v>1</v>
      </c>
      <c r="H7" s="15">
        <v>2</v>
      </c>
      <c r="I7" s="15" t="s">
        <v>18</v>
      </c>
      <c r="J7" s="7">
        <v>0</v>
      </c>
      <c r="K7" s="7">
        <v>800001021</v>
      </c>
      <c r="L7" s="7">
        <v>800001021</v>
      </c>
      <c r="M7" s="7">
        <v>1</v>
      </c>
      <c r="N7" s="20">
        <v>3</v>
      </c>
      <c r="O7" s="7">
        <v>2</v>
      </c>
      <c r="P7" s="7">
        <v>8</v>
      </c>
      <c r="Q7" s="7">
        <v>0</v>
      </c>
      <c r="R7" s="7">
        <v>25</v>
      </c>
      <c r="S7" s="7">
        <v>-3000</v>
      </c>
      <c r="T7" s="7">
        <v>1</v>
      </c>
      <c r="U7" s="7">
        <v>0</v>
      </c>
      <c r="V7" s="7" t="s">
        <v>143</v>
      </c>
      <c r="W7" s="7" t="s">
        <v>143</v>
      </c>
      <c r="X7" s="7" t="s">
        <v>143</v>
      </c>
      <c r="Y7" s="14">
        <v>20010001</v>
      </c>
      <c r="Z7" s="14">
        <v>0</v>
      </c>
      <c r="AA7" s="7">
        <v>1</v>
      </c>
      <c r="AB7" s="4" t="s">
        <v>157</v>
      </c>
      <c r="AC7" s="7">
        <v>10000</v>
      </c>
      <c r="AD7" s="7">
        <v>10000</v>
      </c>
      <c r="AE7" s="7">
        <v>0</v>
      </c>
      <c r="AF7" s="4">
        <v>40</v>
      </c>
      <c r="AG7" s="4">
        <v>0</v>
      </c>
      <c r="AH7" s="4">
        <v>0</v>
      </c>
      <c r="AI7" s="4">
        <v>0</v>
      </c>
      <c r="AJ7" s="4">
        <v>0</v>
      </c>
    </row>
    <row r="8" spans="1:36" x14ac:dyDescent="0.2">
      <c r="A8" s="7">
        <v>10303</v>
      </c>
      <c r="B8" s="7">
        <v>1</v>
      </c>
      <c r="C8" s="7" t="s">
        <v>58</v>
      </c>
      <c r="D8" s="7" t="s">
        <v>101</v>
      </c>
      <c r="E8" s="4" t="s">
        <v>153</v>
      </c>
      <c r="F8" s="7" t="s">
        <v>176</v>
      </c>
      <c r="G8" s="15">
        <v>1</v>
      </c>
      <c r="H8" s="15">
        <v>2</v>
      </c>
      <c r="I8" s="15" t="s">
        <v>18</v>
      </c>
      <c r="J8" s="7">
        <v>0</v>
      </c>
      <c r="K8" s="7">
        <v>800001021</v>
      </c>
      <c r="L8" s="7">
        <v>800001021</v>
      </c>
      <c r="M8" s="7">
        <v>1</v>
      </c>
      <c r="N8" s="20">
        <v>4</v>
      </c>
      <c r="O8" s="7">
        <v>2</v>
      </c>
      <c r="P8" s="7">
        <v>8</v>
      </c>
      <c r="Q8" s="7">
        <v>0</v>
      </c>
      <c r="R8" s="7">
        <v>25</v>
      </c>
      <c r="S8" s="7">
        <v>-3000</v>
      </c>
      <c r="T8" s="7">
        <v>1</v>
      </c>
      <c r="U8" s="7">
        <v>0</v>
      </c>
      <c r="V8" s="7" t="s">
        <v>143</v>
      </c>
      <c r="W8" s="7" t="s">
        <v>143</v>
      </c>
      <c r="X8" s="7" t="s">
        <v>143</v>
      </c>
      <c r="Y8" s="14">
        <v>20010001</v>
      </c>
      <c r="Z8" s="14">
        <v>0</v>
      </c>
      <c r="AA8" s="7">
        <v>1</v>
      </c>
      <c r="AB8" s="4" t="s">
        <v>157</v>
      </c>
      <c r="AC8" s="7">
        <v>10000</v>
      </c>
      <c r="AD8" s="7">
        <v>10000</v>
      </c>
      <c r="AE8" s="7">
        <v>0</v>
      </c>
      <c r="AF8" s="4">
        <v>40</v>
      </c>
      <c r="AG8" s="4">
        <v>0</v>
      </c>
      <c r="AH8" s="4">
        <v>0</v>
      </c>
      <c r="AI8" s="4">
        <v>0</v>
      </c>
      <c r="AJ8" s="4">
        <v>0</v>
      </c>
    </row>
    <row r="9" spans="1:36" x14ac:dyDescent="0.2">
      <c r="A9" s="7">
        <v>10304</v>
      </c>
      <c r="B9" s="7">
        <v>1</v>
      </c>
      <c r="C9" s="7" t="s">
        <v>59</v>
      </c>
      <c r="D9" s="7" t="s">
        <v>41</v>
      </c>
      <c r="E9" s="4" t="s">
        <v>153</v>
      </c>
      <c r="F9" s="7" t="s">
        <v>176</v>
      </c>
      <c r="G9" s="15">
        <v>1</v>
      </c>
      <c r="H9" s="15">
        <v>2</v>
      </c>
      <c r="I9" s="15" t="s">
        <v>18</v>
      </c>
      <c r="J9" s="7">
        <v>0</v>
      </c>
      <c r="K9" s="7">
        <v>800001021</v>
      </c>
      <c r="L9" s="7">
        <v>800001021</v>
      </c>
      <c r="M9" s="7">
        <v>1</v>
      </c>
      <c r="N9" s="20">
        <v>4</v>
      </c>
      <c r="O9" s="7">
        <v>2</v>
      </c>
      <c r="P9" s="7">
        <v>8</v>
      </c>
      <c r="Q9" s="7">
        <v>0</v>
      </c>
      <c r="R9" s="7">
        <v>25</v>
      </c>
      <c r="S9" s="7">
        <v>-3000</v>
      </c>
      <c r="T9" s="7">
        <v>1</v>
      </c>
      <c r="U9" s="7">
        <v>0</v>
      </c>
      <c r="V9" s="7" t="s">
        <v>143</v>
      </c>
      <c r="W9" s="7" t="s">
        <v>143</v>
      </c>
      <c r="X9" s="7" t="s">
        <v>143</v>
      </c>
      <c r="Y9" s="14">
        <v>20010001</v>
      </c>
      <c r="Z9" s="14">
        <v>0</v>
      </c>
      <c r="AA9" s="7">
        <v>1</v>
      </c>
      <c r="AB9" s="4" t="s">
        <v>157</v>
      </c>
      <c r="AC9" s="7">
        <v>10000</v>
      </c>
      <c r="AD9" s="7">
        <v>10000</v>
      </c>
      <c r="AE9" s="7">
        <v>0</v>
      </c>
      <c r="AF9" s="4">
        <v>40</v>
      </c>
      <c r="AG9" s="4">
        <v>0</v>
      </c>
      <c r="AH9" s="4">
        <v>0</v>
      </c>
      <c r="AI9" s="4">
        <v>0</v>
      </c>
      <c r="AJ9" s="4">
        <v>0</v>
      </c>
    </row>
    <row r="10" spans="1:36" x14ac:dyDescent="0.2">
      <c r="A10" s="7">
        <v>10305</v>
      </c>
      <c r="B10" s="7">
        <v>1</v>
      </c>
      <c r="C10" s="7" t="s">
        <v>60</v>
      </c>
      <c r="D10" s="7" t="s">
        <v>43</v>
      </c>
      <c r="E10" s="4" t="s">
        <v>153</v>
      </c>
      <c r="F10" s="7" t="s">
        <v>176</v>
      </c>
      <c r="G10" s="15">
        <v>1</v>
      </c>
      <c r="H10" s="15">
        <v>2</v>
      </c>
      <c r="I10" s="15" t="s">
        <v>18</v>
      </c>
      <c r="J10" s="7">
        <v>0</v>
      </c>
      <c r="K10" s="7">
        <v>800001021</v>
      </c>
      <c r="L10" s="7">
        <v>800001021</v>
      </c>
      <c r="M10" s="7">
        <v>1</v>
      </c>
      <c r="N10" s="20">
        <v>13</v>
      </c>
      <c r="O10" s="7">
        <v>2</v>
      </c>
      <c r="P10" s="7">
        <v>8</v>
      </c>
      <c r="Q10" s="7">
        <v>0</v>
      </c>
      <c r="R10" s="7">
        <v>25</v>
      </c>
      <c r="S10" s="7">
        <v>-3000</v>
      </c>
      <c r="T10" s="7">
        <v>1</v>
      </c>
      <c r="U10" s="7">
        <v>0</v>
      </c>
      <c r="V10" s="7" t="s">
        <v>143</v>
      </c>
      <c r="W10" s="7" t="s">
        <v>143</v>
      </c>
      <c r="X10" s="7" t="s">
        <v>143</v>
      </c>
      <c r="Y10" s="14">
        <v>20010001</v>
      </c>
      <c r="Z10" s="14">
        <v>0</v>
      </c>
      <c r="AA10" s="7">
        <v>1</v>
      </c>
      <c r="AB10" s="4" t="s">
        <v>157</v>
      </c>
      <c r="AC10" s="7">
        <v>10000</v>
      </c>
      <c r="AD10" s="7">
        <v>10000</v>
      </c>
      <c r="AE10" s="7">
        <v>0</v>
      </c>
      <c r="AF10" s="4">
        <v>40</v>
      </c>
      <c r="AG10" s="4">
        <v>0</v>
      </c>
      <c r="AH10" s="4">
        <v>0</v>
      </c>
      <c r="AI10" s="4">
        <v>0</v>
      </c>
      <c r="AJ10" s="4">
        <v>0</v>
      </c>
    </row>
    <row r="11" spans="1:36" x14ac:dyDescent="0.2">
      <c r="A11" s="7">
        <v>10306</v>
      </c>
      <c r="B11" s="7">
        <v>1</v>
      </c>
      <c r="C11" s="7" t="s">
        <v>61</v>
      </c>
      <c r="D11" s="7" t="s">
        <v>40</v>
      </c>
      <c r="E11" s="4" t="s">
        <v>153</v>
      </c>
      <c r="F11" s="7" t="s">
        <v>176</v>
      </c>
      <c r="G11" s="15">
        <v>1</v>
      </c>
      <c r="H11" s="15">
        <v>2</v>
      </c>
      <c r="I11" s="15" t="s">
        <v>18</v>
      </c>
      <c r="J11" s="7">
        <v>0</v>
      </c>
      <c r="K11" s="7">
        <v>800001021</v>
      </c>
      <c r="L11" s="7">
        <v>800001021</v>
      </c>
      <c r="M11" s="7">
        <v>1</v>
      </c>
      <c r="N11" s="20">
        <v>15</v>
      </c>
      <c r="O11" s="7">
        <v>2</v>
      </c>
      <c r="P11" s="7">
        <v>8</v>
      </c>
      <c r="Q11" s="7">
        <v>0</v>
      </c>
      <c r="R11" s="7">
        <v>25</v>
      </c>
      <c r="S11" s="7">
        <v>-3000</v>
      </c>
      <c r="T11" s="7">
        <v>1</v>
      </c>
      <c r="U11" s="7">
        <v>0</v>
      </c>
      <c r="V11" s="7" t="s">
        <v>143</v>
      </c>
      <c r="W11" s="7" t="s">
        <v>143</v>
      </c>
      <c r="X11" s="7" t="s">
        <v>143</v>
      </c>
      <c r="Y11" s="14">
        <v>20010001</v>
      </c>
      <c r="Z11" s="14">
        <v>0</v>
      </c>
      <c r="AA11" s="7">
        <v>1</v>
      </c>
      <c r="AB11" s="4" t="s">
        <v>157</v>
      </c>
      <c r="AC11" s="7">
        <v>10000</v>
      </c>
      <c r="AD11" s="7">
        <v>10000</v>
      </c>
      <c r="AE11" s="7">
        <v>0</v>
      </c>
      <c r="AF11" s="4">
        <v>40</v>
      </c>
      <c r="AG11" s="4">
        <v>0</v>
      </c>
      <c r="AH11" s="4">
        <v>0</v>
      </c>
      <c r="AI11" s="4">
        <v>0</v>
      </c>
      <c r="AJ11" s="4">
        <v>0</v>
      </c>
    </row>
    <row r="12" spans="1:36" x14ac:dyDescent="0.2">
      <c r="A12" s="7">
        <v>10307</v>
      </c>
      <c r="B12" s="7">
        <v>1</v>
      </c>
      <c r="C12" s="7" t="s">
        <v>90</v>
      </c>
      <c r="D12" s="7" t="s">
        <v>17</v>
      </c>
      <c r="E12" s="4" t="s">
        <v>153</v>
      </c>
      <c r="F12" s="7" t="s">
        <v>176</v>
      </c>
      <c r="G12" s="15">
        <v>1</v>
      </c>
      <c r="H12" s="15">
        <v>2</v>
      </c>
      <c r="I12" s="15" t="s">
        <v>18</v>
      </c>
      <c r="J12" s="7">
        <v>0</v>
      </c>
      <c r="K12" s="7">
        <v>800001021</v>
      </c>
      <c r="L12" s="7">
        <v>800001021</v>
      </c>
      <c r="M12" s="7">
        <v>1</v>
      </c>
      <c r="N12" s="20">
        <v>35</v>
      </c>
      <c r="O12" s="7">
        <v>2</v>
      </c>
      <c r="P12" s="7">
        <v>8</v>
      </c>
      <c r="Q12" s="7">
        <v>0</v>
      </c>
      <c r="R12" s="7">
        <v>25</v>
      </c>
      <c r="S12" s="7">
        <v>-3000</v>
      </c>
      <c r="T12" s="7">
        <v>1</v>
      </c>
      <c r="U12" s="7">
        <v>0</v>
      </c>
      <c r="V12" s="7" t="s">
        <v>143</v>
      </c>
      <c r="W12" s="7" t="s">
        <v>143</v>
      </c>
      <c r="X12" s="7" t="s">
        <v>143</v>
      </c>
      <c r="Y12" s="14">
        <v>20010001</v>
      </c>
      <c r="Z12" s="14">
        <v>0</v>
      </c>
      <c r="AA12" s="7">
        <v>1</v>
      </c>
      <c r="AB12" s="4" t="s">
        <v>157</v>
      </c>
      <c r="AC12" s="7">
        <v>10000</v>
      </c>
      <c r="AD12" s="7">
        <v>10000</v>
      </c>
      <c r="AE12" s="7">
        <v>0</v>
      </c>
      <c r="AF12" s="4">
        <v>40</v>
      </c>
      <c r="AG12" s="4">
        <v>0</v>
      </c>
      <c r="AH12" s="4">
        <v>0</v>
      </c>
      <c r="AI12" s="4">
        <v>0</v>
      </c>
      <c r="AJ12" s="4">
        <v>0</v>
      </c>
    </row>
    <row r="13" spans="1:36" x14ac:dyDescent="0.2">
      <c r="A13" s="7">
        <v>10308</v>
      </c>
      <c r="B13" s="7">
        <v>1</v>
      </c>
      <c r="C13" s="7" t="s">
        <v>218</v>
      </c>
      <c r="D13" s="7" t="s">
        <v>17</v>
      </c>
      <c r="E13" s="4" t="s">
        <v>153</v>
      </c>
      <c r="F13" s="7" t="s">
        <v>176</v>
      </c>
      <c r="G13" s="15">
        <v>1</v>
      </c>
      <c r="H13" s="15">
        <v>2</v>
      </c>
      <c r="I13" s="15" t="s">
        <v>18</v>
      </c>
      <c r="J13" s="7">
        <v>0</v>
      </c>
      <c r="K13" s="7">
        <v>800001021</v>
      </c>
      <c r="L13" s="7">
        <v>800001021</v>
      </c>
      <c r="M13" s="7">
        <v>1</v>
      </c>
      <c r="N13" s="20">
        <v>40</v>
      </c>
      <c r="O13" s="7">
        <v>2</v>
      </c>
      <c r="P13" s="7">
        <v>8</v>
      </c>
      <c r="Q13" s="7">
        <v>0</v>
      </c>
      <c r="R13" s="7">
        <v>25</v>
      </c>
      <c r="S13" s="7">
        <v>-3000</v>
      </c>
      <c r="T13" s="7">
        <v>1</v>
      </c>
      <c r="U13" s="7">
        <v>0</v>
      </c>
      <c r="V13" s="7" t="s">
        <v>143</v>
      </c>
      <c r="W13" s="7" t="s">
        <v>143</v>
      </c>
      <c r="X13" s="7" t="s">
        <v>143</v>
      </c>
      <c r="Y13" s="14">
        <v>20010001</v>
      </c>
      <c r="Z13" s="14">
        <v>0</v>
      </c>
      <c r="AA13" s="7">
        <v>1</v>
      </c>
      <c r="AB13" s="4" t="s">
        <v>157</v>
      </c>
      <c r="AC13" s="7">
        <v>10000</v>
      </c>
      <c r="AD13" s="7">
        <v>10000</v>
      </c>
      <c r="AE13" s="7">
        <v>0</v>
      </c>
      <c r="AF13" s="4">
        <v>40</v>
      </c>
      <c r="AG13" s="4">
        <v>0</v>
      </c>
      <c r="AH13" s="4">
        <v>0</v>
      </c>
      <c r="AI13" s="4">
        <v>0</v>
      </c>
      <c r="AJ13" s="4">
        <v>0</v>
      </c>
    </row>
    <row r="14" spans="1:36" x14ac:dyDescent="0.2">
      <c r="A14" s="7">
        <v>10309</v>
      </c>
      <c r="B14" s="7">
        <v>1</v>
      </c>
      <c r="C14" s="7" t="s">
        <v>219</v>
      </c>
      <c r="D14" s="7" t="s">
        <v>17</v>
      </c>
      <c r="E14" s="4" t="s">
        <v>153</v>
      </c>
      <c r="F14" s="7" t="s">
        <v>176</v>
      </c>
      <c r="G14" s="15">
        <v>1</v>
      </c>
      <c r="H14" s="15">
        <v>2</v>
      </c>
      <c r="I14" s="15" t="s">
        <v>18</v>
      </c>
      <c r="J14" s="7">
        <v>0</v>
      </c>
      <c r="K14" s="7">
        <v>800001021</v>
      </c>
      <c r="L14" s="7">
        <v>800001021</v>
      </c>
      <c r="M14" s="7">
        <v>1</v>
      </c>
      <c r="N14" s="20">
        <v>90</v>
      </c>
      <c r="O14" s="7">
        <v>2</v>
      </c>
      <c r="P14" s="7">
        <v>8</v>
      </c>
      <c r="Q14" s="7">
        <v>0</v>
      </c>
      <c r="R14" s="7">
        <v>25</v>
      </c>
      <c r="S14" s="7">
        <v>-3000</v>
      </c>
      <c r="T14" s="7">
        <v>1</v>
      </c>
      <c r="U14" s="7">
        <v>0</v>
      </c>
      <c r="V14" s="7" t="s">
        <v>143</v>
      </c>
      <c r="W14" s="7" t="s">
        <v>143</v>
      </c>
      <c r="X14" s="7" t="s">
        <v>143</v>
      </c>
      <c r="Y14" s="14">
        <v>20010001</v>
      </c>
      <c r="Z14" s="14">
        <v>0</v>
      </c>
      <c r="AA14" s="7">
        <v>1</v>
      </c>
      <c r="AB14" s="4" t="s">
        <v>157</v>
      </c>
      <c r="AC14" s="7">
        <v>10000</v>
      </c>
      <c r="AD14" s="7">
        <v>10000</v>
      </c>
      <c r="AE14" s="7">
        <v>0</v>
      </c>
      <c r="AF14" s="4">
        <v>40</v>
      </c>
      <c r="AG14" s="4">
        <v>0</v>
      </c>
      <c r="AH14" s="4">
        <v>0</v>
      </c>
      <c r="AI14" s="4">
        <v>0</v>
      </c>
      <c r="AJ14" s="4">
        <v>0</v>
      </c>
    </row>
    <row r="15" spans="1:36" x14ac:dyDescent="0.2">
      <c r="A15" s="7">
        <v>10310</v>
      </c>
      <c r="B15" s="7">
        <v>1</v>
      </c>
      <c r="C15" s="7" t="s">
        <v>220</v>
      </c>
      <c r="D15" s="7" t="s">
        <v>17</v>
      </c>
      <c r="E15" s="4" t="s">
        <v>153</v>
      </c>
      <c r="F15" s="7" t="s">
        <v>176</v>
      </c>
      <c r="G15" s="15">
        <v>1</v>
      </c>
      <c r="H15" s="15">
        <v>2</v>
      </c>
      <c r="I15" s="15" t="s">
        <v>18</v>
      </c>
      <c r="J15" s="7">
        <v>0</v>
      </c>
      <c r="K15" s="7">
        <v>800001021</v>
      </c>
      <c r="L15" s="7">
        <v>800001021</v>
      </c>
      <c r="M15" s="7">
        <v>1</v>
      </c>
      <c r="N15" s="20">
        <v>100</v>
      </c>
      <c r="O15" s="7">
        <v>2</v>
      </c>
      <c r="P15" s="7">
        <v>8</v>
      </c>
      <c r="Q15" s="7">
        <v>0</v>
      </c>
      <c r="R15" s="7">
        <v>25</v>
      </c>
      <c r="S15" s="7">
        <v>-3000</v>
      </c>
      <c r="T15" s="7">
        <v>1</v>
      </c>
      <c r="U15" s="7">
        <v>0</v>
      </c>
      <c r="V15" s="7" t="s">
        <v>143</v>
      </c>
      <c r="W15" s="7" t="s">
        <v>143</v>
      </c>
      <c r="X15" s="7" t="s">
        <v>143</v>
      </c>
      <c r="Y15" s="14">
        <v>20010001</v>
      </c>
      <c r="Z15" s="14">
        <v>0</v>
      </c>
      <c r="AA15" s="7">
        <v>1</v>
      </c>
      <c r="AB15" s="4" t="s">
        <v>157</v>
      </c>
      <c r="AC15" s="7">
        <v>10000</v>
      </c>
      <c r="AD15" s="7">
        <v>10000</v>
      </c>
      <c r="AE15" s="7">
        <v>0</v>
      </c>
      <c r="AF15" s="4">
        <v>40</v>
      </c>
      <c r="AG15" s="4">
        <v>0</v>
      </c>
      <c r="AH15" s="4">
        <v>0</v>
      </c>
      <c r="AI15" s="4">
        <v>0</v>
      </c>
      <c r="AJ15" s="4">
        <v>0</v>
      </c>
    </row>
    <row r="16" spans="1:36" x14ac:dyDescent="0.2">
      <c r="A16" s="7">
        <v>10401</v>
      </c>
      <c r="B16" s="7">
        <v>1</v>
      </c>
      <c r="C16" s="7" t="s">
        <v>91</v>
      </c>
      <c r="D16" s="7" t="s">
        <v>88</v>
      </c>
      <c r="E16" s="4" t="s">
        <v>153</v>
      </c>
      <c r="F16" s="7" t="s">
        <v>176</v>
      </c>
      <c r="G16" s="15">
        <v>1</v>
      </c>
      <c r="H16" s="15">
        <v>2</v>
      </c>
      <c r="I16" s="15" t="s">
        <v>18</v>
      </c>
      <c r="J16" s="7">
        <v>0</v>
      </c>
      <c r="K16" s="7">
        <v>800001021</v>
      </c>
      <c r="L16" s="7">
        <v>800001021</v>
      </c>
      <c r="M16" s="7">
        <v>1</v>
      </c>
      <c r="N16" s="7">
        <v>100</v>
      </c>
      <c r="O16" s="7">
        <v>2</v>
      </c>
      <c r="P16" s="7">
        <v>8</v>
      </c>
      <c r="Q16" s="7">
        <v>0</v>
      </c>
      <c r="R16" s="7">
        <v>25</v>
      </c>
      <c r="S16" s="7">
        <v>-3000</v>
      </c>
      <c r="T16" s="7">
        <v>1</v>
      </c>
      <c r="U16" s="7">
        <v>0</v>
      </c>
      <c r="V16" s="7" t="s">
        <v>143</v>
      </c>
      <c r="W16" s="7" t="s">
        <v>143</v>
      </c>
      <c r="X16" s="7" t="s">
        <v>143</v>
      </c>
      <c r="Y16" s="14">
        <v>20010001</v>
      </c>
      <c r="Z16" s="14">
        <v>0</v>
      </c>
      <c r="AA16" s="7">
        <v>1</v>
      </c>
      <c r="AB16" s="4" t="s">
        <v>156</v>
      </c>
      <c r="AC16" s="7">
        <v>10000</v>
      </c>
      <c r="AD16" s="7">
        <v>10000</v>
      </c>
      <c r="AE16" s="7">
        <v>0</v>
      </c>
      <c r="AF16" s="4">
        <v>40</v>
      </c>
      <c r="AG16" s="4">
        <v>0</v>
      </c>
      <c r="AH16" s="4">
        <v>0</v>
      </c>
      <c r="AI16" s="4">
        <v>0</v>
      </c>
      <c r="AJ16" s="4">
        <v>0</v>
      </c>
    </row>
    <row r="17" spans="1:36" x14ac:dyDescent="0.2">
      <c r="A17" s="7">
        <v>10402</v>
      </c>
      <c r="B17" s="7">
        <v>1</v>
      </c>
      <c r="C17" s="7" t="s">
        <v>91</v>
      </c>
      <c r="D17" s="7" t="s">
        <v>88</v>
      </c>
      <c r="E17" s="4" t="s">
        <v>153</v>
      </c>
      <c r="F17" s="7" t="s">
        <v>176</v>
      </c>
      <c r="G17" s="15">
        <v>1</v>
      </c>
      <c r="H17" s="15">
        <v>2</v>
      </c>
      <c r="I17" s="15" t="s">
        <v>18</v>
      </c>
      <c r="J17" s="7">
        <v>0</v>
      </c>
      <c r="K17" s="7">
        <v>800001021</v>
      </c>
      <c r="L17" s="7">
        <v>800001021</v>
      </c>
      <c r="M17" s="7">
        <v>1</v>
      </c>
      <c r="N17" s="7">
        <v>100</v>
      </c>
      <c r="O17" s="7">
        <v>2</v>
      </c>
      <c r="P17" s="7">
        <v>8</v>
      </c>
      <c r="Q17" s="7">
        <v>0</v>
      </c>
      <c r="R17" s="7">
        <v>25</v>
      </c>
      <c r="S17" s="7">
        <v>-3000</v>
      </c>
      <c r="T17" s="7">
        <v>1</v>
      </c>
      <c r="U17" s="7">
        <v>0</v>
      </c>
      <c r="V17" s="7" t="s">
        <v>143</v>
      </c>
      <c r="W17" s="7" t="s">
        <v>143</v>
      </c>
      <c r="X17" s="7" t="s">
        <v>143</v>
      </c>
      <c r="Y17" s="14">
        <v>20010001</v>
      </c>
      <c r="Z17" s="14">
        <v>0</v>
      </c>
      <c r="AA17" s="7">
        <v>1</v>
      </c>
      <c r="AB17" s="4" t="s">
        <v>156</v>
      </c>
      <c r="AC17" s="7">
        <v>10000</v>
      </c>
      <c r="AD17" s="7">
        <v>10000</v>
      </c>
      <c r="AE17" s="7">
        <v>0</v>
      </c>
      <c r="AF17" s="4">
        <v>40</v>
      </c>
      <c r="AG17" s="4">
        <v>0</v>
      </c>
      <c r="AH17" s="4">
        <v>0</v>
      </c>
      <c r="AI17" s="4">
        <v>0</v>
      </c>
      <c r="AJ17" s="4">
        <v>0</v>
      </c>
    </row>
    <row r="18" spans="1:36" x14ac:dyDescent="0.2">
      <c r="A18" s="7">
        <v>10403</v>
      </c>
      <c r="B18" s="7">
        <v>1</v>
      </c>
      <c r="C18" s="7" t="s">
        <v>91</v>
      </c>
      <c r="D18" s="7" t="s">
        <v>88</v>
      </c>
      <c r="E18" s="4" t="s">
        <v>153</v>
      </c>
      <c r="F18" s="7" t="s">
        <v>176</v>
      </c>
      <c r="G18" s="15">
        <v>1</v>
      </c>
      <c r="H18" s="15">
        <v>2</v>
      </c>
      <c r="I18" s="15" t="s">
        <v>18</v>
      </c>
      <c r="J18" s="7">
        <v>0</v>
      </c>
      <c r="K18" s="7">
        <v>800001021</v>
      </c>
      <c r="L18" s="7">
        <v>800001021</v>
      </c>
      <c r="M18" s="7">
        <v>1</v>
      </c>
      <c r="N18" s="7">
        <v>100</v>
      </c>
      <c r="O18" s="7">
        <v>2</v>
      </c>
      <c r="P18" s="7">
        <v>8</v>
      </c>
      <c r="Q18" s="7">
        <v>0</v>
      </c>
      <c r="R18" s="7">
        <v>25</v>
      </c>
      <c r="S18" s="7">
        <v>-3000</v>
      </c>
      <c r="T18" s="7">
        <v>1</v>
      </c>
      <c r="U18" s="7">
        <v>0</v>
      </c>
      <c r="V18" s="7" t="s">
        <v>143</v>
      </c>
      <c r="W18" s="7" t="s">
        <v>143</v>
      </c>
      <c r="X18" s="7" t="s">
        <v>143</v>
      </c>
      <c r="Y18" s="14">
        <v>20010001</v>
      </c>
      <c r="Z18" s="14">
        <v>0</v>
      </c>
      <c r="AA18" s="7">
        <v>1</v>
      </c>
      <c r="AB18" s="4" t="s">
        <v>156</v>
      </c>
      <c r="AC18" s="7">
        <v>10000</v>
      </c>
      <c r="AD18" s="7">
        <v>10000</v>
      </c>
      <c r="AE18" s="7">
        <v>0</v>
      </c>
      <c r="AF18" s="4">
        <v>40</v>
      </c>
      <c r="AG18" s="4">
        <v>0</v>
      </c>
      <c r="AH18" s="4">
        <v>0</v>
      </c>
      <c r="AI18" s="4">
        <v>0</v>
      </c>
      <c r="AJ18" s="4">
        <v>0</v>
      </c>
    </row>
    <row r="19" spans="1:36" x14ac:dyDescent="0.2">
      <c r="A19" s="7">
        <v>20201</v>
      </c>
      <c r="B19" s="7">
        <v>2</v>
      </c>
      <c r="C19" s="7" t="s">
        <v>55</v>
      </c>
      <c r="D19" s="7" t="s">
        <v>88</v>
      </c>
      <c r="E19" s="4" t="s">
        <v>153</v>
      </c>
      <c r="F19" s="7" t="s">
        <v>176</v>
      </c>
      <c r="G19" s="15">
        <v>2</v>
      </c>
      <c r="H19" s="15">
        <v>2</v>
      </c>
      <c r="I19" s="15" t="s">
        <v>18</v>
      </c>
      <c r="J19" s="7">
        <v>0</v>
      </c>
      <c r="K19" s="7" t="s">
        <v>98</v>
      </c>
      <c r="L19" s="7">
        <v>800001021</v>
      </c>
      <c r="M19" s="7">
        <v>2</v>
      </c>
      <c r="N19" s="20">
        <v>240</v>
      </c>
      <c r="O19" s="7">
        <v>1</v>
      </c>
      <c r="P19" s="7">
        <v>12</v>
      </c>
      <c r="Q19" s="7">
        <v>0</v>
      </c>
      <c r="R19" s="7">
        <v>36</v>
      </c>
      <c r="S19" s="7">
        <v>-3000</v>
      </c>
      <c r="T19" s="7">
        <v>1</v>
      </c>
      <c r="U19" s="7">
        <v>80</v>
      </c>
      <c r="V19" s="7" t="s">
        <v>143</v>
      </c>
      <c r="W19" s="7" t="s">
        <v>143</v>
      </c>
      <c r="X19" s="7" t="s">
        <v>146</v>
      </c>
      <c r="Y19" s="14">
        <v>20010001</v>
      </c>
      <c r="Z19" s="14">
        <v>0</v>
      </c>
      <c r="AA19" s="7">
        <v>1</v>
      </c>
      <c r="AB19" s="4" t="s">
        <v>157</v>
      </c>
      <c r="AC19" s="7">
        <v>10000</v>
      </c>
      <c r="AD19" s="7">
        <v>10000</v>
      </c>
      <c r="AE19" s="7">
        <v>25010001</v>
      </c>
      <c r="AF19" s="4">
        <v>40</v>
      </c>
      <c r="AG19" s="4">
        <v>0</v>
      </c>
      <c r="AH19" s="4">
        <v>0</v>
      </c>
      <c r="AI19" s="4">
        <v>0</v>
      </c>
      <c r="AJ19" s="4">
        <v>0</v>
      </c>
    </row>
    <row r="20" spans="1:36" x14ac:dyDescent="0.2">
      <c r="A20" s="7">
        <v>20301</v>
      </c>
      <c r="B20" s="7">
        <v>2</v>
      </c>
      <c r="C20" s="7" t="s">
        <v>56</v>
      </c>
      <c r="D20" s="7" t="s">
        <v>22</v>
      </c>
      <c r="E20" s="4" t="s">
        <v>153</v>
      </c>
      <c r="F20" s="7" t="s">
        <v>176</v>
      </c>
      <c r="G20" s="15">
        <v>2</v>
      </c>
      <c r="H20" s="15">
        <v>2</v>
      </c>
      <c r="I20" s="15" t="s">
        <v>18</v>
      </c>
      <c r="J20" s="7">
        <v>0</v>
      </c>
      <c r="K20" s="7" t="s">
        <v>99</v>
      </c>
      <c r="L20" s="7">
        <v>800001021</v>
      </c>
      <c r="M20" s="7">
        <v>2</v>
      </c>
      <c r="N20" s="20">
        <v>300</v>
      </c>
      <c r="O20" s="7">
        <v>2</v>
      </c>
      <c r="P20" s="7">
        <v>13</v>
      </c>
      <c r="Q20" s="7">
        <v>0</v>
      </c>
      <c r="R20" s="7">
        <v>40</v>
      </c>
      <c r="S20" s="7">
        <v>-3000</v>
      </c>
      <c r="T20" s="7">
        <v>1</v>
      </c>
      <c r="U20" s="7">
        <v>80</v>
      </c>
      <c r="V20" s="7" t="s">
        <v>143</v>
      </c>
      <c r="W20" s="7" t="s">
        <v>143</v>
      </c>
      <c r="X20" s="7" t="s">
        <v>146</v>
      </c>
      <c r="Y20" s="14">
        <v>20010001</v>
      </c>
      <c r="Z20" s="14">
        <v>0</v>
      </c>
      <c r="AA20" s="7">
        <v>1</v>
      </c>
      <c r="AB20" s="4" t="s">
        <v>157</v>
      </c>
      <c r="AC20" s="7">
        <v>10000</v>
      </c>
      <c r="AD20" s="7">
        <v>10000</v>
      </c>
      <c r="AE20" s="7">
        <v>25010001</v>
      </c>
      <c r="AF20" s="4">
        <v>40</v>
      </c>
      <c r="AG20" s="4">
        <v>0</v>
      </c>
      <c r="AH20" s="4">
        <v>0</v>
      </c>
      <c r="AI20" s="4">
        <v>0</v>
      </c>
      <c r="AJ20" s="4">
        <v>0</v>
      </c>
    </row>
    <row r="21" spans="1:36" x14ac:dyDescent="0.2">
      <c r="A21" s="7">
        <v>20302</v>
      </c>
      <c r="B21" s="7">
        <v>2</v>
      </c>
      <c r="C21" s="7" t="s">
        <v>57</v>
      </c>
      <c r="D21" s="7" t="s">
        <v>89</v>
      </c>
      <c r="E21" s="4" t="s">
        <v>153</v>
      </c>
      <c r="F21" s="7" t="s">
        <v>176</v>
      </c>
      <c r="G21" s="15">
        <v>2</v>
      </c>
      <c r="H21" s="15">
        <v>2</v>
      </c>
      <c r="I21" s="15" t="s">
        <v>18</v>
      </c>
      <c r="J21" s="7">
        <v>0</v>
      </c>
      <c r="K21" s="7" t="s">
        <v>100</v>
      </c>
      <c r="L21" s="7">
        <v>800001021</v>
      </c>
      <c r="M21" s="7">
        <v>2</v>
      </c>
      <c r="N21" s="20">
        <v>700</v>
      </c>
      <c r="O21" s="7">
        <v>2</v>
      </c>
      <c r="P21" s="7">
        <v>14</v>
      </c>
      <c r="Q21" s="7">
        <v>0</v>
      </c>
      <c r="R21" s="7">
        <v>44</v>
      </c>
      <c r="S21" s="7">
        <v>-3000</v>
      </c>
      <c r="T21" s="7">
        <v>1</v>
      </c>
      <c r="U21" s="7">
        <v>80</v>
      </c>
      <c r="V21" s="7" t="s">
        <v>143</v>
      </c>
      <c r="W21" s="7" t="s">
        <v>143</v>
      </c>
      <c r="X21" s="7" t="s">
        <v>146</v>
      </c>
      <c r="Y21" s="14">
        <v>20010001</v>
      </c>
      <c r="Z21" s="14">
        <v>0</v>
      </c>
      <c r="AA21" s="7">
        <v>1</v>
      </c>
      <c r="AB21" s="4" t="s">
        <v>157</v>
      </c>
      <c r="AC21" s="7">
        <v>10000</v>
      </c>
      <c r="AD21" s="7">
        <v>10000</v>
      </c>
      <c r="AE21" s="7">
        <v>25010001</v>
      </c>
      <c r="AF21" s="4">
        <v>40</v>
      </c>
      <c r="AG21" s="4">
        <v>0</v>
      </c>
      <c r="AH21" s="4">
        <v>0</v>
      </c>
      <c r="AI21" s="4">
        <v>0</v>
      </c>
      <c r="AJ21" s="4">
        <v>0</v>
      </c>
    </row>
    <row r="22" spans="1:36" x14ac:dyDescent="0.2">
      <c r="A22" s="7">
        <v>20303</v>
      </c>
      <c r="B22" s="7">
        <v>2</v>
      </c>
      <c r="C22" s="7" t="s">
        <v>58</v>
      </c>
      <c r="D22" s="7" t="s">
        <v>42</v>
      </c>
      <c r="E22" s="4" t="s">
        <v>153</v>
      </c>
      <c r="F22" s="7" t="s">
        <v>176</v>
      </c>
      <c r="G22" s="15">
        <v>2</v>
      </c>
      <c r="H22" s="15">
        <v>2</v>
      </c>
      <c r="I22" s="15" t="s">
        <v>18</v>
      </c>
      <c r="J22" s="7">
        <v>0</v>
      </c>
      <c r="K22" s="7" t="s">
        <v>102</v>
      </c>
      <c r="L22" s="7">
        <v>800001021</v>
      </c>
      <c r="M22" s="7">
        <v>2</v>
      </c>
      <c r="N22" s="20">
        <v>800</v>
      </c>
      <c r="O22" s="7">
        <v>2</v>
      </c>
      <c r="P22" s="7">
        <v>11</v>
      </c>
      <c r="Q22" s="7">
        <v>0</v>
      </c>
      <c r="R22" s="7">
        <v>45</v>
      </c>
      <c r="S22" s="7">
        <v>-3000</v>
      </c>
      <c r="T22" s="7">
        <v>1</v>
      </c>
      <c r="U22" s="7">
        <v>100</v>
      </c>
      <c r="V22" s="7" t="s">
        <v>143</v>
      </c>
      <c r="W22" s="7" t="s">
        <v>143</v>
      </c>
      <c r="X22" s="7" t="s">
        <v>146</v>
      </c>
      <c r="Y22" s="14">
        <v>20010001</v>
      </c>
      <c r="Z22" s="14">
        <v>0</v>
      </c>
      <c r="AA22" s="7">
        <v>1</v>
      </c>
      <c r="AB22" s="4" t="s">
        <v>157</v>
      </c>
      <c r="AC22" s="7">
        <v>10000</v>
      </c>
      <c r="AD22" s="7">
        <v>10000</v>
      </c>
      <c r="AE22" s="7">
        <v>25010001</v>
      </c>
      <c r="AF22" s="4">
        <v>40</v>
      </c>
      <c r="AG22" s="4">
        <v>0</v>
      </c>
      <c r="AH22" s="4">
        <v>0</v>
      </c>
      <c r="AI22" s="4">
        <v>0</v>
      </c>
      <c r="AJ22" s="4">
        <v>0</v>
      </c>
    </row>
    <row r="23" spans="1:36" x14ac:dyDescent="0.2">
      <c r="A23" s="7">
        <v>20304</v>
      </c>
      <c r="B23" s="7">
        <v>2</v>
      </c>
      <c r="C23" s="7" t="s">
        <v>59</v>
      </c>
      <c r="D23" s="7" t="s">
        <v>41</v>
      </c>
      <c r="E23" s="4" t="s">
        <v>153</v>
      </c>
      <c r="F23" s="7" t="s">
        <v>176</v>
      </c>
      <c r="G23" s="15">
        <v>2</v>
      </c>
      <c r="H23" s="15">
        <v>2</v>
      </c>
      <c r="I23" s="15" t="s">
        <v>18</v>
      </c>
      <c r="J23" s="7">
        <v>0</v>
      </c>
      <c r="K23" s="7" t="s">
        <v>103</v>
      </c>
      <c r="L23" s="7">
        <v>800001021</v>
      </c>
      <c r="M23" s="7">
        <v>2</v>
      </c>
      <c r="N23" s="20">
        <v>1500</v>
      </c>
      <c r="O23" s="7">
        <v>2</v>
      </c>
      <c r="P23" s="7">
        <v>12</v>
      </c>
      <c r="Q23" s="7">
        <v>0</v>
      </c>
      <c r="R23" s="7">
        <v>50</v>
      </c>
      <c r="S23" s="7">
        <v>-3000</v>
      </c>
      <c r="T23" s="7">
        <v>1</v>
      </c>
      <c r="U23" s="7">
        <v>100</v>
      </c>
      <c r="V23" s="7" t="s">
        <v>143</v>
      </c>
      <c r="W23" s="7" t="s">
        <v>143</v>
      </c>
      <c r="X23" s="7" t="s">
        <v>146</v>
      </c>
      <c r="Y23" s="14">
        <v>20010001</v>
      </c>
      <c r="Z23" s="14">
        <v>0</v>
      </c>
      <c r="AA23" s="7">
        <v>1</v>
      </c>
      <c r="AB23" s="4" t="s">
        <v>157</v>
      </c>
      <c r="AC23" s="7">
        <v>10000</v>
      </c>
      <c r="AD23" s="7">
        <v>10000</v>
      </c>
      <c r="AE23" s="7">
        <v>25010001</v>
      </c>
      <c r="AF23" s="4">
        <v>40</v>
      </c>
      <c r="AG23" s="4">
        <v>0</v>
      </c>
      <c r="AH23" s="4">
        <v>0</v>
      </c>
      <c r="AI23" s="4">
        <v>0</v>
      </c>
      <c r="AJ23" s="4">
        <v>0</v>
      </c>
    </row>
    <row r="24" spans="1:36" x14ac:dyDescent="0.2">
      <c r="A24" s="7">
        <v>20305</v>
      </c>
      <c r="B24" s="7">
        <v>2</v>
      </c>
      <c r="C24" s="7" t="s">
        <v>60</v>
      </c>
      <c r="D24" s="7" t="s">
        <v>43</v>
      </c>
      <c r="E24" s="4" t="s">
        <v>153</v>
      </c>
      <c r="F24" s="7" t="s">
        <v>176</v>
      </c>
      <c r="G24" s="15">
        <v>2</v>
      </c>
      <c r="H24" s="15">
        <v>2</v>
      </c>
      <c r="I24" s="15" t="s">
        <v>18</v>
      </c>
      <c r="J24" s="7">
        <v>0</v>
      </c>
      <c r="K24" s="7" t="s">
        <v>104</v>
      </c>
      <c r="L24" s="7">
        <v>800001021</v>
      </c>
      <c r="M24" s="7">
        <v>2</v>
      </c>
      <c r="N24" s="20">
        <v>3000</v>
      </c>
      <c r="O24" s="7">
        <v>2</v>
      </c>
      <c r="P24" s="7">
        <v>13</v>
      </c>
      <c r="Q24" s="7">
        <v>0</v>
      </c>
      <c r="R24" s="7">
        <v>55</v>
      </c>
      <c r="S24" s="7">
        <v>-3000</v>
      </c>
      <c r="T24" s="7">
        <v>1</v>
      </c>
      <c r="U24" s="7">
        <v>100</v>
      </c>
      <c r="V24" s="7" t="s">
        <v>143</v>
      </c>
      <c r="W24" s="7" t="s">
        <v>143</v>
      </c>
      <c r="X24" s="7" t="s">
        <v>146</v>
      </c>
      <c r="Y24" s="14">
        <v>20010001</v>
      </c>
      <c r="Z24" s="14">
        <v>0</v>
      </c>
      <c r="AA24" s="7">
        <v>1</v>
      </c>
      <c r="AB24" s="4" t="s">
        <v>157</v>
      </c>
      <c r="AC24" s="7">
        <v>10000</v>
      </c>
      <c r="AD24" s="7">
        <v>10000</v>
      </c>
      <c r="AE24" s="7">
        <v>25010001</v>
      </c>
      <c r="AF24" s="4">
        <v>40</v>
      </c>
      <c r="AG24" s="4">
        <v>0</v>
      </c>
      <c r="AH24" s="4">
        <v>0</v>
      </c>
      <c r="AI24" s="4">
        <v>0</v>
      </c>
      <c r="AJ24" s="4">
        <v>0</v>
      </c>
    </row>
    <row r="25" spans="1:36" x14ac:dyDescent="0.2">
      <c r="A25" s="7">
        <v>20306</v>
      </c>
      <c r="B25" s="7">
        <v>2</v>
      </c>
      <c r="C25" s="7" t="s">
        <v>61</v>
      </c>
      <c r="D25" s="7" t="s">
        <v>40</v>
      </c>
      <c r="E25" s="4" t="s">
        <v>153</v>
      </c>
      <c r="F25" s="7" t="s">
        <v>176</v>
      </c>
      <c r="G25" s="15">
        <v>2</v>
      </c>
      <c r="H25" s="15">
        <v>2</v>
      </c>
      <c r="I25" s="15" t="s">
        <v>18</v>
      </c>
      <c r="J25" s="7">
        <v>0</v>
      </c>
      <c r="K25" s="7" t="s">
        <v>105</v>
      </c>
      <c r="L25" s="7">
        <v>800001021</v>
      </c>
      <c r="M25" s="7">
        <v>2</v>
      </c>
      <c r="N25" s="20">
        <v>4800</v>
      </c>
      <c r="O25" s="7">
        <v>2</v>
      </c>
      <c r="P25" s="7">
        <v>14</v>
      </c>
      <c r="Q25" s="7">
        <v>0</v>
      </c>
      <c r="R25" s="7">
        <v>160</v>
      </c>
      <c r="S25" s="7">
        <v>-3000</v>
      </c>
      <c r="T25" s="7">
        <v>1</v>
      </c>
      <c r="U25" s="7">
        <v>500</v>
      </c>
      <c r="V25" s="7" t="s">
        <v>143</v>
      </c>
      <c r="W25" s="7" t="s">
        <v>143</v>
      </c>
      <c r="X25" s="7" t="s">
        <v>146</v>
      </c>
      <c r="Y25" s="14">
        <v>20010001</v>
      </c>
      <c r="Z25" s="14">
        <v>0</v>
      </c>
      <c r="AA25" s="7">
        <v>1</v>
      </c>
      <c r="AB25" s="4" t="s">
        <v>157</v>
      </c>
      <c r="AC25" s="7">
        <v>10000</v>
      </c>
      <c r="AD25" s="7">
        <v>10000</v>
      </c>
      <c r="AE25" s="7">
        <v>25010001</v>
      </c>
      <c r="AF25" s="4">
        <v>40</v>
      </c>
      <c r="AG25" s="4">
        <v>0</v>
      </c>
      <c r="AH25" s="4">
        <v>0</v>
      </c>
      <c r="AI25" s="4">
        <v>0</v>
      </c>
      <c r="AJ25" s="4">
        <v>0</v>
      </c>
    </row>
    <row r="26" spans="1:36" x14ac:dyDescent="0.2">
      <c r="A26" s="7">
        <v>20307</v>
      </c>
      <c r="B26" s="7">
        <v>2</v>
      </c>
      <c r="C26" s="7" t="s">
        <v>90</v>
      </c>
      <c r="D26" s="7" t="s">
        <v>17</v>
      </c>
      <c r="E26" s="4" t="s">
        <v>153</v>
      </c>
      <c r="F26" s="7" t="s">
        <v>176</v>
      </c>
      <c r="G26" s="15">
        <v>2</v>
      </c>
      <c r="H26" s="15">
        <v>2</v>
      </c>
      <c r="I26" s="15" t="s">
        <v>18</v>
      </c>
      <c r="J26" s="7">
        <v>0</v>
      </c>
      <c r="K26" s="7" t="s">
        <v>17</v>
      </c>
      <c r="L26" s="7">
        <v>800001021</v>
      </c>
      <c r="M26" s="7">
        <v>2</v>
      </c>
      <c r="N26" s="20">
        <v>8000</v>
      </c>
      <c r="O26" s="7">
        <v>2</v>
      </c>
      <c r="P26" s="7">
        <v>18</v>
      </c>
      <c r="Q26" s="7">
        <v>0</v>
      </c>
      <c r="R26" s="7">
        <v>200</v>
      </c>
      <c r="S26" s="7">
        <v>-3000</v>
      </c>
      <c r="T26" s="7">
        <v>1</v>
      </c>
      <c r="U26" s="7">
        <v>500</v>
      </c>
      <c r="V26" s="7" t="s">
        <v>143</v>
      </c>
      <c r="W26" s="7" t="s">
        <v>143</v>
      </c>
      <c r="X26" s="7" t="s">
        <v>146</v>
      </c>
      <c r="Y26" s="14">
        <v>20010001</v>
      </c>
      <c r="Z26" s="14">
        <v>0</v>
      </c>
      <c r="AA26" s="7">
        <v>1</v>
      </c>
      <c r="AB26" s="4" t="s">
        <v>157</v>
      </c>
      <c r="AC26" s="7">
        <v>10000</v>
      </c>
      <c r="AD26" s="7">
        <v>10000</v>
      </c>
      <c r="AE26" s="7">
        <v>25010001</v>
      </c>
      <c r="AF26" s="4">
        <v>40</v>
      </c>
      <c r="AG26" s="4">
        <v>0</v>
      </c>
      <c r="AH26" s="4">
        <v>0</v>
      </c>
      <c r="AI26" s="4">
        <v>0</v>
      </c>
      <c r="AJ26" s="4">
        <v>0</v>
      </c>
    </row>
    <row r="27" spans="1:36" x14ac:dyDescent="0.2">
      <c r="A27" s="7">
        <v>20308</v>
      </c>
      <c r="B27" s="7">
        <v>2</v>
      </c>
      <c r="C27" s="7" t="s">
        <v>218</v>
      </c>
      <c r="D27" s="7" t="s">
        <v>17</v>
      </c>
      <c r="E27" s="4" t="s">
        <v>153</v>
      </c>
      <c r="F27" s="7" t="s">
        <v>176</v>
      </c>
      <c r="G27" s="15">
        <v>2</v>
      </c>
      <c r="H27" s="15">
        <v>2</v>
      </c>
      <c r="I27" s="15" t="s">
        <v>18</v>
      </c>
      <c r="J27" s="7">
        <v>0</v>
      </c>
      <c r="K27" s="7" t="s">
        <v>17</v>
      </c>
      <c r="L27" s="7">
        <v>800001021</v>
      </c>
      <c r="M27" s="7">
        <v>2</v>
      </c>
      <c r="N27" s="7">
        <v>100</v>
      </c>
      <c r="O27" s="7">
        <v>2</v>
      </c>
      <c r="P27" s="7">
        <v>22</v>
      </c>
      <c r="Q27" s="7">
        <v>0</v>
      </c>
      <c r="R27" s="7">
        <v>240</v>
      </c>
      <c r="S27" s="7">
        <v>-3000</v>
      </c>
      <c r="T27" s="7">
        <v>1</v>
      </c>
      <c r="U27" s="7">
        <v>500</v>
      </c>
      <c r="V27" s="7" t="s">
        <v>143</v>
      </c>
      <c r="W27" s="7" t="s">
        <v>143</v>
      </c>
      <c r="X27" s="7" t="s">
        <v>146</v>
      </c>
      <c r="Y27" s="14">
        <v>20010001</v>
      </c>
      <c r="Z27" s="14">
        <v>0</v>
      </c>
      <c r="AA27" s="7">
        <v>1</v>
      </c>
      <c r="AB27" s="4" t="s">
        <v>157</v>
      </c>
      <c r="AC27" s="7">
        <v>10000</v>
      </c>
      <c r="AD27" s="7">
        <v>10000</v>
      </c>
      <c r="AE27" s="7">
        <v>25010001</v>
      </c>
      <c r="AF27" s="4">
        <v>40</v>
      </c>
      <c r="AG27" s="4">
        <v>0</v>
      </c>
      <c r="AH27" s="4">
        <v>0</v>
      </c>
      <c r="AI27" s="4">
        <v>0</v>
      </c>
      <c r="AJ27" s="4">
        <v>0</v>
      </c>
    </row>
    <row r="28" spans="1:36" x14ac:dyDescent="0.2">
      <c r="A28" s="7">
        <v>20309</v>
      </c>
      <c r="B28" s="7">
        <v>2</v>
      </c>
      <c r="C28" s="7" t="s">
        <v>219</v>
      </c>
      <c r="D28" s="7" t="s">
        <v>17</v>
      </c>
      <c r="E28" s="4" t="s">
        <v>153</v>
      </c>
      <c r="F28" s="7" t="s">
        <v>176</v>
      </c>
      <c r="G28" s="15">
        <v>2</v>
      </c>
      <c r="H28" s="15">
        <v>2</v>
      </c>
      <c r="I28" s="15" t="s">
        <v>18</v>
      </c>
      <c r="J28" s="7">
        <v>0</v>
      </c>
      <c r="K28" s="7" t="s">
        <v>17</v>
      </c>
      <c r="L28" s="7">
        <v>800001021</v>
      </c>
      <c r="M28" s="7">
        <v>2</v>
      </c>
      <c r="N28" s="7">
        <v>100</v>
      </c>
      <c r="O28" s="7">
        <v>2</v>
      </c>
      <c r="P28" s="7">
        <v>24</v>
      </c>
      <c r="Q28" s="7">
        <v>0</v>
      </c>
      <c r="R28" s="7">
        <v>720</v>
      </c>
      <c r="S28" s="7">
        <v>-3000</v>
      </c>
      <c r="T28" s="7">
        <v>1</v>
      </c>
      <c r="U28" s="7">
        <v>1200</v>
      </c>
      <c r="V28" s="7" t="s">
        <v>143</v>
      </c>
      <c r="W28" s="7" t="s">
        <v>143</v>
      </c>
      <c r="X28" s="7" t="s">
        <v>146</v>
      </c>
      <c r="Y28" s="14">
        <v>20010001</v>
      </c>
      <c r="Z28" s="14">
        <v>0</v>
      </c>
      <c r="AA28" s="7">
        <v>1</v>
      </c>
      <c r="AB28" s="4" t="s">
        <v>157</v>
      </c>
      <c r="AC28" s="7">
        <v>10000</v>
      </c>
      <c r="AD28" s="7">
        <v>10000</v>
      </c>
      <c r="AE28" s="7">
        <v>25010001</v>
      </c>
      <c r="AF28" s="4">
        <v>40</v>
      </c>
      <c r="AG28" s="4">
        <v>0</v>
      </c>
      <c r="AH28" s="4">
        <v>0</v>
      </c>
      <c r="AI28" s="4">
        <v>0</v>
      </c>
      <c r="AJ28" s="4">
        <v>0</v>
      </c>
    </row>
    <row r="29" spans="1:36" x14ac:dyDescent="0.2">
      <c r="A29" s="7">
        <v>20310</v>
      </c>
      <c r="B29" s="7">
        <v>2</v>
      </c>
      <c r="C29" s="7" t="s">
        <v>220</v>
      </c>
      <c r="D29" s="7" t="s">
        <v>17</v>
      </c>
      <c r="E29" s="4" t="s">
        <v>153</v>
      </c>
      <c r="F29" s="7" t="s">
        <v>176</v>
      </c>
      <c r="G29" s="15">
        <v>2</v>
      </c>
      <c r="H29" s="15">
        <v>2</v>
      </c>
      <c r="I29" s="15" t="s">
        <v>18</v>
      </c>
      <c r="J29" s="7">
        <v>0</v>
      </c>
      <c r="K29" s="7" t="s">
        <v>17</v>
      </c>
      <c r="L29" s="7">
        <v>800001021</v>
      </c>
      <c r="M29" s="7">
        <v>2</v>
      </c>
      <c r="N29" s="7">
        <v>100</v>
      </c>
      <c r="O29" s="7">
        <v>2</v>
      </c>
      <c r="P29" s="7">
        <v>27</v>
      </c>
      <c r="Q29" s="7">
        <v>0</v>
      </c>
      <c r="R29" s="7">
        <v>800</v>
      </c>
      <c r="S29" s="7">
        <v>-3000</v>
      </c>
      <c r="T29" s="7">
        <v>1</v>
      </c>
      <c r="U29" s="7">
        <v>1200</v>
      </c>
      <c r="V29" s="7" t="s">
        <v>143</v>
      </c>
      <c r="W29" s="7" t="s">
        <v>143</v>
      </c>
      <c r="X29" s="7" t="s">
        <v>146</v>
      </c>
      <c r="Y29" s="14">
        <v>20010001</v>
      </c>
      <c r="Z29" s="14">
        <v>0</v>
      </c>
      <c r="AA29" s="7">
        <v>1</v>
      </c>
      <c r="AB29" s="4" t="s">
        <v>157</v>
      </c>
      <c r="AC29" s="7">
        <v>10000</v>
      </c>
      <c r="AD29" s="7">
        <v>10000</v>
      </c>
      <c r="AE29" s="7">
        <v>25010001</v>
      </c>
      <c r="AF29" s="4">
        <v>40</v>
      </c>
      <c r="AG29" s="4">
        <v>0</v>
      </c>
      <c r="AH29" s="4">
        <v>0</v>
      </c>
      <c r="AI29" s="4">
        <v>0</v>
      </c>
      <c r="AJ29" s="4">
        <v>0</v>
      </c>
    </row>
    <row r="30" spans="1:36" x14ac:dyDescent="0.2">
      <c r="A30" s="7">
        <v>20401</v>
      </c>
      <c r="B30" s="7">
        <v>2</v>
      </c>
      <c r="C30" s="7" t="s">
        <v>92</v>
      </c>
      <c r="D30" s="7" t="s">
        <v>88</v>
      </c>
      <c r="E30" s="4" t="s">
        <v>153</v>
      </c>
      <c r="F30" s="7" t="s">
        <v>176</v>
      </c>
      <c r="G30" s="15">
        <v>2</v>
      </c>
      <c r="H30" s="15">
        <v>2</v>
      </c>
      <c r="I30" s="15" t="s">
        <v>18</v>
      </c>
      <c r="J30" s="7">
        <v>0</v>
      </c>
      <c r="K30" s="7" t="s">
        <v>98</v>
      </c>
      <c r="L30" s="7">
        <v>800001021</v>
      </c>
      <c r="M30" s="7">
        <v>2</v>
      </c>
      <c r="N30" s="7">
        <v>100</v>
      </c>
      <c r="O30" s="7">
        <v>2</v>
      </c>
      <c r="P30" s="7">
        <v>30</v>
      </c>
      <c r="Q30" s="7">
        <v>0</v>
      </c>
      <c r="R30" s="7">
        <v>880</v>
      </c>
      <c r="S30" s="7">
        <v>-3000</v>
      </c>
      <c r="T30" s="7">
        <v>1</v>
      </c>
      <c r="U30" s="7">
        <v>1200</v>
      </c>
      <c r="V30" s="7" t="s">
        <v>143</v>
      </c>
      <c r="W30" s="7" t="s">
        <v>143</v>
      </c>
      <c r="X30" s="7" t="s">
        <v>146</v>
      </c>
      <c r="Y30" s="14">
        <v>20010001</v>
      </c>
      <c r="Z30" s="14">
        <v>0</v>
      </c>
      <c r="AA30" s="7">
        <v>1</v>
      </c>
      <c r="AB30" s="4" t="s">
        <v>157</v>
      </c>
      <c r="AC30" s="7">
        <v>10000</v>
      </c>
      <c r="AD30" s="7">
        <v>10000</v>
      </c>
      <c r="AE30" s="7">
        <v>25010001</v>
      </c>
      <c r="AF30" s="4">
        <v>40</v>
      </c>
      <c r="AG30" s="4">
        <v>0</v>
      </c>
      <c r="AH30" s="4">
        <v>0</v>
      </c>
      <c r="AI30" s="4">
        <v>0</v>
      </c>
      <c r="AJ30" s="4">
        <v>0</v>
      </c>
    </row>
    <row r="31" spans="1:36" x14ac:dyDescent="0.2">
      <c r="A31" s="7">
        <v>20402</v>
      </c>
      <c r="B31" s="7">
        <v>2</v>
      </c>
      <c r="C31" s="7" t="s">
        <v>92</v>
      </c>
      <c r="D31" s="7" t="s">
        <v>88</v>
      </c>
      <c r="E31" s="4" t="s">
        <v>153</v>
      </c>
      <c r="F31" s="7" t="s">
        <v>176</v>
      </c>
      <c r="G31" s="15">
        <v>2</v>
      </c>
      <c r="H31" s="15">
        <v>2</v>
      </c>
      <c r="I31" s="15" t="s">
        <v>18</v>
      </c>
      <c r="J31" s="7">
        <v>0</v>
      </c>
      <c r="K31" s="7" t="s">
        <v>98</v>
      </c>
      <c r="L31" s="7">
        <v>800001021</v>
      </c>
      <c r="M31" s="7">
        <v>2</v>
      </c>
      <c r="N31" s="7">
        <v>100</v>
      </c>
      <c r="O31" s="7">
        <v>2</v>
      </c>
      <c r="P31" s="7">
        <v>8</v>
      </c>
      <c r="Q31" s="7">
        <v>0</v>
      </c>
      <c r="R31" s="7">
        <v>25</v>
      </c>
      <c r="S31" s="7">
        <v>-3000</v>
      </c>
      <c r="T31" s="7">
        <v>1</v>
      </c>
      <c r="U31" s="7">
        <v>0</v>
      </c>
      <c r="V31" s="7" t="s">
        <v>143</v>
      </c>
      <c r="W31" s="7" t="s">
        <v>143</v>
      </c>
      <c r="X31" s="7" t="s">
        <v>146</v>
      </c>
      <c r="Y31" s="14">
        <v>20010001</v>
      </c>
      <c r="Z31" s="14">
        <v>0</v>
      </c>
      <c r="AA31" s="7">
        <v>1</v>
      </c>
      <c r="AB31" s="4" t="s">
        <v>157</v>
      </c>
      <c r="AC31" s="7">
        <v>10000</v>
      </c>
      <c r="AD31" s="7">
        <v>10000</v>
      </c>
      <c r="AE31" s="7">
        <v>0</v>
      </c>
      <c r="AF31" s="4">
        <v>40</v>
      </c>
      <c r="AG31" s="4">
        <v>0</v>
      </c>
      <c r="AH31" s="4">
        <v>0</v>
      </c>
      <c r="AI31" s="4">
        <v>0</v>
      </c>
      <c r="AJ31" s="4">
        <v>0</v>
      </c>
    </row>
    <row r="32" spans="1:36" x14ac:dyDescent="0.2">
      <c r="A32" s="7">
        <v>20403</v>
      </c>
      <c r="B32" s="7">
        <v>2</v>
      </c>
      <c r="C32" s="7" t="s">
        <v>92</v>
      </c>
      <c r="D32" s="7" t="s">
        <v>88</v>
      </c>
      <c r="E32" s="4" t="s">
        <v>153</v>
      </c>
      <c r="F32" s="7" t="s">
        <v>176</v>
      </c>
      <c r="G32" s="15">
        <v>2</v>
      </c>
      <c r="H32" s="15">
        <v>2</v>
      </c>
      <c r="I32" s="15" t="s">
        <v>18</v>
      </c>
      <c r="J32" s="7">
        <v>0</v>
      </c>
      <c r="K32" s="7" t="s">
        <v>98</v>
      </c>
      <c r="L32" s="7">
        <v>800001021</v>
      </c>
      <c r="M32" s="7">
        <v>2</v>
      </c>
      <c r="N32" s="7">
        <v>100</v>
      </c>
      <c r="O32" s="7">
        <v>2</v>
      </c>
      <c r="P32" s="7">
        <v>8</v>
      </c>
      <c r="Q32" s="7">
        <v>0</v>
      </c>
      <c r="R32" s="7">
        <v>25</v>
      </c>
      <c r="S32" s="7">
        <v>-3000</v>
      </c>
      <c r="T32" s="7">
        <v>1</v>
      </c>
      <c r="U32" s="7">
        <v>0</v>
      </c>
      <c r="V32" s="7" t="s">
        <v>143</v>
      </c>
      <c r="W32" s="7" t="s">
        <v>143</v>
      </c>
      <c r="X32" s="7" t="s">
        <v>146</v>
      </c>
      <c r="Y32" s="14">
        <v>20010001</v>
      </c>
      <c r="Z32" s="14">
        <v>0</v>
      </c>
      <c r="AA32" s="7">
        <v>1</v>
      </c>
      <c r="AB32" s="4" t="s">
        <v>157</v>
      </c>
      <c r="AC32" s="7">
        <v>10000</v>
      </c>
      <c r="AD32" s="7">
        <v>10000</v>
      </c>
      <c r="AE32" s="7">
        <v>0</v>
      </c>
      <c r="AF32" s="4">
        <v>40</v>
      </c>
      <c r="AG32" s="4">
        <v>0</v>
      </c>
      <c r="AH32" s="4">
        <v>0</v>
      </c>
      <c r="AI32" s="4">
        <v>0</v>
      </c>
      <c r="AJ32" s="4">
        <v>0</v>
      </c>
    </row>
    <row r="33" spans="1:36" x14ac:dyDescent="0.2">
      <c r="A33" s="7">
        <v>110201</v>
      </c>
      <c r="B33" s="7">
        <v>1</v>
      </c>
      <c r="C33" s="7" t="s">
        <v>55</v>
      </c>
      <c r="D33" s="7" t="s">
        <v>88</v>
      </c>
      <c r="E33" s="4" t="s">
        <v>153</v>
      </c>
      <c r="F33" s="7" t="s">
        <v>176</v>
      </c>
      <c r="G33" s="15">
        <v>1</v>
      </c>
      <c r="H33" s="15">
        <v>2</v>
      </c>
      <c r="I33" s="15" t="s">
        <v>18</v>
      </c>
      <c r="J33" s="7">
        <v>0</v>
      </c>
      <c r="K33" s="7">
        <v>800001021</v>
      </c>
      <c r="L33" s="7">
        <v>800001021</v>
      </c>
      <c r="M33" s="7">
        <v>1</v>
      </c>
      <c r="N33" s="21">
        <v>120</v>
      </c>
      <c r="O33" s="7">
        <v>1</v>
      </c>
      <c r="P33" s="7">
        <v>8</v>
      </c>
      <c r="Q33" s="7">
        <v>0</v>
      </c>
      <c r="R33" s="7">
        <v>25</v>
      </c>
      <c r="S33" s="7">
        <v>-3000</v>
      </c>
      <c r="T33" s="7">
        <v>1</v>
      </c>
      <c r="U33" s="7">
        <v>0</v>
      </c>
      <c r="V33" s="7" t="s">
        <v>143</v>
      </c>
      <c r="W33" s="7" t="s">
        <v>143</v>
      </c>
      <c r="X33" s="7" t="s">
        <v>143</v>
      </c>
      <c r="Y33" s="14">
        <v>20010001</v>
      </c>
      <c r="Z33" s="14">
        <v>0</v>
      </c>
      <c r="AA33" s="7">
        <v>1</v>
      </c>
      <c r="AB33" s="4" t="s">
        <v>157</v>
      </c>
      <c r="AC33" s="7">
        <v>10000</v>
      </c>
      <c r="AD33" s="7">
        <v>10000</v>
      </c>
      <c r="AE33" s="7">
        <v>0</v>
      </c>
      <c r="AF33" s="4">
        <v>40</v>
      </c>
      <c r="AG33" s="4">
        <v>0</v>
      </c>
      <c r="AH33" s="4">
        <v>0</v>
      </c>
      <c r="AI33" s="4">
        <v>0</v>
      </c>
      <c r="AJ33" s="4">
        <v>0</v>
      </c>
    </row>
    <row r="34" spans="1:36" x14ac:dyDescent="0.2">
      <c r="A34" s="7">
        <v>110301</v>
      </c>
      <c r="B34" s="7">
        <v>1</v>
      </c>
      <c r="C34" s="7" t="s">
        <v>56</v>
      </c>
      <c r="D34" s="7" t="s">
        <v>22</v>
      </c>
      <c r="E34" s="4" t="s">
        <v>153</v>
      </c>
      <c r="F34" s="7" t="s">
        <v>176</v>
      </c>
      <c r="G34" s="15">
        <v>1</v>
      </c>
      <c r="H34" s="15">
        <v>2</v>
      </c>
      <c r="I34" s="15" t="s">
        <v>18</v>
      </c>
      <c r="J34" s="7">
        <v>0</v>
      </c>
      <c r="K34" s="7">
        <v>800001021</v>
      </c>
      <c r="L34" s="7">
        <v>800001021</v>
      </c>
      <c r="M34" s="7">
        <v>1</v>
      </c>
      <c r="N34" s="21">
        <v>310</v>
      </c>
      <c r="O34" s="7">
        <v>2</v>
      </c>
      <c r="P34" s="7">
        <v>8</v>
      </c>
      <c r="Q34" s="7">
        <v>0</v>
      </c>
      <c r="R34" s="7">
        <v>25</v>
      </c>
      <c r="S34" s="7">
        <v>-3000</v>
      </c>
      <c r="T34" s="7">
        <v>1</v>
      </c>
      <c r="U34" s="7">
        <v>0</v>
      </c>
      <c r="V34" s="7" t="s">
        <v>143</v>
      </c>
      <c r="W34" s="7" t="s">
        <v>143</v>
      </c>
      <c r="X34" s="7" t="s">
        <v>143</v>
      </c>
      <c r="Y34" s="14">
        <v>20010001</v>
      </c>
      <c r="Z34" s="14">
        <v>0</v>
      </c>
      <c r="AA34" s="7">
        <v>1</v>
      </c>
      <c r="AB34" s="4" t="s">
        <v>157</v>
      </c>
      <c r="AC34" s="7">
        <v>10000</v>
      </c>
      <c r="AD34" s="7">
        <v>10000</v>
      </c>
      <c r="AE34" s="7">
        <v>0</v>
      </c>
      <c r="AF34" s="4">
        <v>40</v>
      </c>
      <c r="AG34" s="4">
        <v>0</v>
      </c>
      <c r="AH34" s="4">
        <v>0</v>
      </c>
      <c r="AI34" s="4">
        <v>0</v>
      </c>
      <c r="AJ34" s="4">
        <v>0</v>
      </c>
    </row>
    <row r="35" spans="1:36" x14ac:dyDescent="0.2">
      <c r="A35" s="7">
        <v>110302</v>
      </c>
      <c r="B35" s="7">
        <v>1</v>
      </c>
      <c r="C35" s="7" t="s">
        <v>57</v>
      </c>
      <c r="D35" s="7" t="s">
        <v>89</v>
      </c>
      <c r="E35" s="4" t="s">
        <v>153</v>
      </c>
      <c r="F35" s="7" t="s">
        <v>176</v>
      </c>
      <c r="G35" s="15">
        <v>1</v>
      </c>
      <c r="H35" s="15">
        <v>2</v>
      </c>
      <c r="I35" s="15" t="s">
        <v>18</v>
      </c>
      <c r="J35" s="7">
        <v>0</v>
      </c>
      <c r="K35" s="7">
        <v>800001021</v>
      </c>
      <c r="L35" s="7">
        <v>800001021</v>
      </c>
      <c r="M35" s="7">
        <v>1</v>
      </c>
      <c r="N35" s="21">
        <v>700</v>
      </c>
      <c r="O35" s="7">
        <v>2</v>
      </c>
      <c r="P35" s="7">
        <v>8</v>
      </c>
      <c r="Q35" s="7">
        <v>0</v>
      </c>
      <c r="R35" s="7">
        <v>25</v>
      </c>
      <c r="S35" s="7">
        <v>-3000</v>
      </c>
      <c r="T35" s="7">
        <v>1</v>
      </c>
      <c r="U35" s="7">
        <v>0</v>
      </c>
      <c r="V35" s="7" t="s">
        <v>143</v>
      </c>
      <c r="W35" s="7" t="s">
        <v>143</v>
      </c>
      <c r="X35" s="7" t="s">
        <v>143</v>
      </c>
      <c r="Y35" s="14">
        <v>20010001</v>
      </c>
      <c r="Z35" s="14">
        <v>0</v>
      </c>
      <c r="AA35" s="7">
        <v>1</v>
      </c>
      <c r="AB35" s="4" t="s">
        <v>157</v>
      </c>
      <c r="AC35" s="7">
        <v>10000</v>
      </c>
      <c r="AD35" s="7">
        <v>10000</v>
      </c>
      <c r="AE35" s="7">
        <v>0</v>
      </c>
      <c r="AF35" s="4">
        <v>40</v>
      </c>
      <c r="AG35" s="4">
        <v>0</v>
      </c>
      <c r="AH35" s="4">
        <v>0</v>
      </c>
      <c r="AI35" s="4">
        <v>0</v>
      </c>
      <c r="AJ35" s="4">
        <v>0</v>
      </c>
    </row>
    <row r="36" spans="1:36" x14ac:dyDescent="0.2">
      <c r="A36" s="7">
        <v>110303</v>
      </c>
      <c r="B36" s="7">
        <v>1</v>
      </c>
      <c r="C36" s="7" t="s">
        <v>58</v>
      </c>
      <c r="D36" s="7" t="s">
        <v>101</v>
      </c>
      <c r="E36" s="4" t="s">
        <v>153</v>
      </c>
      <c r="F36" s="7" t="s">
        <v>176</v>
      </c>
      <c r="G36" s="15">
        <v>1</v>
      </c>
      <c r="H36" s="15">
        <v>2</v>
      </c>
      <c r="I36" s="15" t="s">
        <v>18</v>
      </c>
      <c r="J36" s="7">
        <v>0</v>
      </c>
      <c r="K36" s="7">
        <v>800001021</v>
      </c>
      <c r="L36" s="7">
        <v>800001021</v>
      </c>
      <c r="M36" s="7">
        <v>1</v>
      </c>
      <c r="N36" s="21">
        <v>2150</v>
      </c>
      <c r="O36" s="7">
        <v>2</v>
      </c>
      <c r="P36" s="7">
        <v>8</v>
      </c>
      <c r="Q36" s="7">
        <v>0</v>
      </c>
      <c r="R36" s="7">
        <v>25</v>
      </c>
      <c r="S36" s="7">
        <v>-3000</v>
      </c>
      <c r="T36" s="7">
        <v>1</v>
      </c>
      <c r="U36" s="7">
        <v>0</v>
      </c>
      <c r="V36" s="7" t="s">
        <v>143</v>
      </c>
      <c r="W36" s="7" t="s">
        <v>143</v>
      </c>
      <c r="X36" s="7" t="s">
        <v>143</v>
      </c>
      <c r="Y36" s="14">
        <v>20010001</v>
      </c>
      <c r="Z36" s="14">
        <v>0</v>
      </c>
      <c r="AA36" s="7">
        <v>1</v>
      </c>
      <c r="AB36" s="4" t="s">
        <v>157</v>
      </c>
      <c r="AC36" s="7">
        <v>10000</v>
      </c>
      <c r="AD36" s="7">
        <v>10000</v>
      </c>
      <c r="AE36" s="7">
        <v>0</v>
      </c>
      <c r="AF36" s="4">
        <v>40</v>
      </c>
      <c r="AG36" s="4">
        <v>0</v>
      </c>
      <c r="AH36" s="4">
        <v>0</v>
      </c>
      <c r="AI36" s="4">
        <v>0</v>
      </c>
      <c r="AJ36" s="4">
        <v>0</v>
      </c>
    </row>
    <row r="37" spans="1:36" x14ac:dyDescent="0.2">
      <c r="A37" s="7">
        <v>110304</v>
      </c>
      <c r="B37" s="7">
        <v>1</v>
      </c>
      <c r="C37" s="7" t="s">
        <v>59</v>
      </c>
      <c r="D37" s="7" t="s">
        <v>41</v>
      </c>
      <c r="E37" s="4" t="s">
        <v>153</v>
      </c>
      <c r="F37" s="7" t="s">
        <v>176</v>
      </c>
      <c r="G37" s="15">
        <v>1</v>
      </c>
      <c r="H37" s="15">
        <v>2</v>
      </c>
      <c r="I37" s="15" t="s">
        <v>18</v>
      </c>
      <c r="J37" s="7">
        <v>0</v>
      </c>
      <c r="K37" s="7">
        <v>800001021</v>
      </c>
      <c r="L37" s="7">
        <v>800001021</v>
      </c>
      <c r="M37" s="7">
        <v>1</v>
      </c>
      <c r="N37" s="21">
        <v>6000</v>
      </c>
      <c r="O37" s="7">
        <v>2</v>
      </c>
      <c r="P37" s="7">
        <v>8</v>
      </c>
      <c r="Q37" s="7">
        <v>0</v>
      </c>
      <c r="R37" s="7">
        <v>25</v>
      </c>
      <c r="S37" s="7">
        <v>-3000</v>
      </c>
      <c r="T37" s="7">
        <v>1</v>
      </c>
      <c r="U37" s="7">
        <v>0</v>
      </c>
      <c r="V37" s="7" t="s">
        <v>143</v>
      </c>
      <c r="W37" s="7" t="s">
        <v>143</v>
      </c>
      <c r="X37" s="7" t="s">
        <v>143</v>
      </c>
      <c r="Y37" s="14">
        <v>20010001</v>
      </c>
      <c r="Z37" s="14">
        <v>0</v>
      </c>
      <c r="AA37" s="7">
        <v>1</v>
      </c>
      <c r="AB37" s="4" t="s">
        <v>157</v>
      </c>
      <c r="AC37" s="7">
        <v>10000</v>
      </c>
      <c r="AD37" s="7">
        <v>10000</v>
      </c>
      <c r="AE37" s="7">
        <v>0</v>
      </c>
      <c r="AF37" s="4">
        <v>40</v>
      </c>
      <c r="AG37" s="4">
        <v>0</v>
      </c>
      <c r="AH37" s="4">
        <v>0</v>
      </c>
      <c r="AI37" s="4">
        <v>0</v>
      </c>
      <c r="AJ37" s="4">
        <v>0</v>
      </c>
    </row>
    <row r="38" spans="1:36" x14ac:dyDescent="0.2">
      <c r="A38" s="7">
        <v>110305</v>
      </c>
      <c r="B38" s="7">
        <v>1</v>
      </c>
      <c r="C38" s="7" t="s">
        <v>60</v>
      </c>
      <c r="D38" s="7" t="s">
        <v>43</v>
      </c>
      <c r="E38" s="4" t="s">
        <v>153</v>
      </c>
      <c r="F38" s="7" t="s">
        <v>176</v>
      </c>
      <c r="G38" s="15">
        <v>1</v>
      </c>
      <c r="H38" s="15">
        <v>2</v>
      </c>
      <c r="I38" s="15" t="s">
        <v>18</v>
      </c>
      <c r="J38" s="7">
        <v>0</v>
      </c>
      <c r="K38" s="7">
        <v>800001021</v>
      </c>
      <c r="L38" s="7">
        <v>800001021</v>
      </c>
      <c r="M38" s="7">
        <v>1</v>
      </c>
      <c r="N38" s="21">
        <v>13200</v>
      </c>
      <c r="O38" s="7">
        <v>2</v>
      </c>
      <c r="P38" s="7">
        <v>8</v>
      </c>
      <c r="Q38" s="7">
        <v>0</v>
      </c>
      <c r="R38" s="7">
        <v>25</v>
      </c>
      <c r="S38" s="7">
        <v>-3000</v>
      </c>
      <c r="T38" s="7">
        <v>1</v>
      </c>
      <c r="U38" s="7">
        <v>0</v>
      </c>
      <c r="V38" s="7" t="s">
        <v>143</v>
      </c>
      <c r="W38" s="7" t="s">
        <v>143</v>
      </c>
      <c r="X38" s="7" t="s">
        <v>143</v>
      </c>
      <c r="Y38" s="14">
        <v>20010001</v>
      </c>
      <c r="Z38" s="14">
        <v>0</v>
      </c>
      <c r="AA38" s="7">
        <v>1</v>
      </c>
      <c r="AB38" s="4" t="s">
        <v>157</v>
      </c>
      <c r="AC38" s="7">
        <v>10000</v>
      </c>
      <c r="AD38" s="7">
        <v>10000</v>
      </c>
      <c r="AE38" s="7">
        <v>0</v>
      </c>
      <c r="AF38" s="4">
        <v>40</v>
      </c>
      <c r="AG38" s="4">
        <v>0</v>
      </c>
      <c r="AH38" s="4">
        <v>0</v>
      </c>
      <c r="AI38" s="4">
        <v>0</v>
      </c>
      <c r="AJ38" s="4">
        <v>0</v>
      </c>
    </row>
    <row r="39" spans="1:36" x14ac:dyDescent="0.2">
      <c r="A39" s="7">
        <v>110306</v>
      </c>
      <c r="B39" s="7">
        <v>1</v>
      </c>
      <c r="C39" s="7" t="s">
        <v>61</v>
      </c>
      <c r="D39" s="7" t="s">
        <v>40</v>
      </c>
      <c r="E39" s="4" t="s">
        <v>153</v>
      </c>
      <c r="F39" s="7" t="s">
        <v>176</v>
      </c>
      <c r="G39" s="15">
        <v>1</v>
      </c>
      <c r="H39" s="15">
        <v>2</v>
      </c>
      <c r="I39" s="15" t="s">
        <v>18</v>
      </c>
      <c r="J39" s="7">
        <v>0</v>
      </c>
      <c r="K39" s="7">
        <v>800001021</v>
      </c>
      <c r="L39" s="7">
        <v>800001021</v>
      </c>
      <c r="M39" s="7">
        <v>1</v>
      </c>
      <c r="N39" s="21">
        <v>34700</v>
      </c>
      <c r="O39" s="7">
        <v>2</v>
      </c>
      <c r="P39" s="7">
        <v>8</v>
      </c>
      <c r="Q39" s="7">
        <v>0</v>
      </c>
      <c r="R39" s="7">
        <v>25</v>
      </c>
      <c r="S39" s="7">
        <v>-3000</v>
      </c>
      <c r="T39" s="7">
        <v>1</v>
      </c>
      <c r="U39" s="7">
        <v>0</v>
      </c>
      <c r="V39" s="7" t="s">
        <v>143</v>
      </c>
      <c r="W39" s="7" t="s">
        <v>143</v>
      </c>
      <c r="X39" s="7" t="s">
        <v>143</v>
      </c>
      <c r="Y39" s="14">
        <v>20010001</v>
      </c>
      <c r="Z39" s="14">
        <v>0</v>
      </c>
      <c r="AA39" s="7">
        <v>1</v>
      </c>
      <c r="AB39" s="4" t="s">
        <v>157</v>
      </c>
      <c r="AC39" s="7">
        <v>10000</v>
      </c>
      <c r="AD39" s="7">
        <v>10000</v>
      </c>
      <c r="AE39" s="7">
        <v>0</v>
      </c>
      <c r="AF39" s="4">
        <v>40</v>
      </c>
      <c r="AG39" s="4">
        <v>0</v>
      </c>
      <c r="AH39" s="4">
        <v>0</v>
      </c>
      <c r="AI39" s="4">
        <v>0</v>
      </c>
      <c r="AJ39" s="4">
        <v>0</v>
      </c>
    </row>
    <row r="40" spans="1:36" x14ac:dyDescent="0.2">
      <c r="A40" s="7">
        <v>110307</v>
      </c>
      <c r="B40" s="7">
        <v>1</v>
      </c>
      <c r="C40" s="7" t="s">
        <v>90</v>
      </c>
      <c r="D40" s="7" t="s">
        <v>17</v>
      </c>
      <c r="E40" s="4" t="s">
        <v>153</v>
      </c>
      <c r="F40" s="7" t="s">
        <v>176</v>
      </c>
      <c r="G40" s="15">
        <v>1</v>
      </c>
      <c r="H40" s="15">
        <v>2</v>
      </c>
      <c r="I40" s="15" t="s">
        <v>18</v>
      </c>
      <c r="J40" s="7">
        <v>0</v>
      </c>
      <c r="K40" s="7">
        <v>800001021</v>
      </c>
      <c r="L40" s="7">
        <v>800001021</v>
      </c>
      <c r="M40" s="7">
        <v>1</v>
      </c>
      <c r="N40" s="21">
        <v>76500</v>
      </c>
      <c r="O40" s="7">
        <v>2</v>
      </c>
      <c r="P40" s="7">
        <v>8</v>
      </c>
      <c r="Q40" s="7">
        <v>0</v>
      </c>
      <c r="R40" s="7">
        <v>25</v>
      </c>
      <c r="S40" s="7">
        <v>-3000</v>
      </c>
      <c r="T40" s="7">
        <v>1</v>
      </c>
      <c r="U40" s="7">
        <v>0</v>
      </c>
      <c r="V40" s="7" t="s">
        <v>143</v>
      </c>
      <c r="W40" s="7" t="s">
        <v>143</v>
      </c>
      <c r="X40" s="7" t="s">
        <v>143</v>
      </c>
      <c r="Y40" s="14">
        <v>20010001</v>
      </c>
      <c r="Z40" s="14">
        <v>0</v>
      </c>
      <c r="AA40" s="7">
        <v>1</v>
      </c>
      <c r="AB40" s="4" t="s">
        <v>157</v>
      </c>
      <c r="AC40" s="7">
        <v>10000</v>
      </c>
      <c r="AD40" s="7">
        <v>10000</v>
      </c>
      <c r="AE40" s="7">
        <v>0</v>
      </c>
      <c r="AF40" s="4">
        <v>40</v>
      </c>
      <c r="AG40" s="4">
        <v>0</v>
      </c>
      <c r="AH40" s="4">
        <v>0</v>
      </c>
      <c r="AI40" s="4">
        <v>0</v>
      </c>
      <c r="AJ40" s="4">
        <v>0</v>
      </c>
    </row>
    <row r="41" spans="1:36" x14ac:dyDescent="0.2">
      <c r="A41" s="7">
        <v>110308</v>
      </c>
      <c r="B41" s="7">
        <v>1</v>
      </c>
      <c r="C41" s="7" t="s">
        <v>62</v>
      </c>
      <c r="D41" s="7" t="s">
        <v>17</v>
      </c>
      <c r="E41" s="4" t="s">
        <v>153</v>
      </c>
      <c r="F41" s="7" t="s">
        <v>176</v>
      </c>
      <c r="G41" s="15">
        <v>1</v>
      </c>
      <c r="H41" s="15">
        <v>2</v>
      </c>
      <c r="I41" s="15" t="s">
        <v>18</v>
      </c>
      <c r="J41" s="7">
        <v>0</v>
      </c>
      <c r="K41" s="7">
        <v>800001021</v>
      </c>
      <c r="L41" s="7">
        <v>800001021</v>
      </c>
      <c r="M41" s="7">
        <v>1</v>
      </c>
      <c r="N41" s="21">
        <v>172000</v>
      </c>
      <c r="O41" s="7">
        <v>2</v>
      </c>
      <c r="P41" s="7">
        <v>8</v>
      </c>
      <c r="Q41" s="7">
        <v>0</v>
      </c>
      <c r="R41" s="7">
        <v>25</v>
      </c>
      <c r="S41" s="7">
        <v>-3000</v>
      </c>
      <c r="T41" s="7">
        <v>1</v>
      </c>
      <c r="U41" s="7">
        <v>0</v>
      </c>
      <c r="V41" s="7" t="s">
        <v>143</v>
      </c>
      <c r="W41" s="7" t="s">
        <v>143</v>
      </c>
      <c r="X41" s="7" t="s">
        <v>143</v>
      </c>
      <c r="Y41" s="14">
        <v>20010001</v>
      </c>
      <c r="Z41" s="14">
        <v>0</v>
      </c>
      <c r="AA41" s="7">
        <v>1</v>
      </c>
      <c r="AB41" s="4" t="s">
        <v>157</v>
      </c>
      <c r="AC41" s="7">
        <v>10000</v>
      </c>
      <c r="AD41" s="7">
        <v>10000</v>
      </c>
      <c r="AE41" s="7">
        <v>0</v>
      </c>
      <c r="AF41" s="4">
        <v>40</v>
      </c>
      <c r="AG41" s="4">
        <v>0</v>
      </c>
      <c r="AH41" s="4">
        <v>0</v>
      </c>
      <c r="AI41" s="4">
        <v>0</v>
      </c>
      <c r="AJ41" s="4">
        <v>0</v>
      </c>
    </row>
    <row r="42" spans="1:36" x14ac:dyDescent="0.2">
      <c r="A42" s="7">
        <v>110309</v>
      </c>
      <c r="B42" s="7">
        <v>1</v>
      </c>
      <c r="C42" s="7" t="s">
        <v>63</v>
      </c>
      <c r="D42" s="7" t="s">
        <v>17</v>
      </c>
      <c r="E42" s="4" t="s">
        <v>153</v>
      </c>
      <c r="F42" s="7" t="s">
        <v>176</v>
      </c>
      <c r="G42" s="15">
        <v>1</v>
      </c>
      <c r="H42" s="15">
        <v>2</v>
      </c>
      <c r="I42" s="15" t="s">
        <v>18</v>
      </c>
      <c r="J42" s="7">
        <v>0</v>
      </c>
      <c r="K42" s="7">
        <v>800001021</v>
      </c>
      <c r="L42" s="7">
        <v>800001021</v>
      </c>
      <c r="M42" s="7">
        <v>1</v>
      </c>
      <c r="N42" s="7">
        <v>100</v>
      </c>
      <c r="O42" s="7">
        <v>2</v>
      </c>
      <c r="P42" s="7">
        <v>8</v>
      </c>
      <c r="Q42" s="7">
        <v>0</v>
      </c>
      <c r="R42" s="7">
        <v>25</v>
      </c>
      <c r="S42" s="7">
        <v>-3000</v>
      </c>
      <c r="T42" s="7">
        <v>1</v>
      </c>
      <c r="U42" s="7">
        <v>0</v>
      </c>
      <c r="V42" s="7" t="s">
        <v>143</v>
      </c>
      <c r="W42" s="7" t="s">
        <v>143</v>
      </c>
      <c r="X42" s="7" t="s">
        <v>143</v>
      </c>
      <c r="Y42" s="14">
        <v>20010001</v>
      </c>
      <c r="Z42" s="14">
        <v>0</v>
      </c>
      <c r="AA42" s="7">
        <v>1</v>
      </c>
      <c r="AB42" s="4" t="s">
        <v>157</v>
      </c>
      <c r="AC42" s="7">
        <v>10000</v>
      </c>
      <c r="AD42" s="7">
        <v>10000</v>
      </c>
      <c r="AE42" s="7">
        <v>0</v>
      </c>
      <c r="AF42" s="4">
        <v>40</v>
      </c>
      <c r="AG42" s="4">
        <v>0</v>
      </c>
      <c r="AH42" s="4">
        <v>0</v>
      </c>
      <c r="AI42" s="4">
        <v>0</v>
      </c>
      <c r="AJ42" s="4">
        <v>0</v>
      </c>
    </row>
    <row r="43" spans="1:36" x14ac:dyDescent="0.2">
      <c r="A43" s="7">
        <v>110310</v>
      </c>
      <c r="B43" s="7">
        <v>1</v>
      </c>
      <c r="C43" s="7" t="s">
        <v>64</v>
      </c>
      <c r="D43" s="7" t="s">
        <v>17</v>
      </c>
      <c r="E43" s="4" t="s">
        <v>153</v>
      </c>
      <c r="F43" s="7" t="s">
        <v>176</v>
      </c>
      <c r="G43" s="15">
        <v>1</v>
      </c>
      <c r="H43" s="15">
        <v>2</v>
      </c>
      <c r="I43" s="15" t="s">
        <v>18</v>
      </c>
      <c r="J43" s="7">
        <v>0</v>
      </c>
      <c r="K43" s="7">
        <v>800001021</v>
      </c>
      <c r="L43" s="7">
        <v>800001021</v>
      </c>
      <c r="M43" s="7">
        <v>1</v>
      </c>
      <c r="N43" s="7">
        <v>100</v>
      </c>
      <c r="O43" s="7">
        <v>2</v>
      </c>
      <c r="P43" s="7">
        <v>8</v>
      </c>
      <c r="Q43" s="7">
        <v>0</v>
      </c>
      <c r="R43" s="7">
        <v>25</v>
      </c>
      <c r="S43" s="7">
        <v>-3000</v>
      </c>
      <c r="T43" s="7">
        <v>1</v>
      </c>
      <c r="U43" s="7">
        <v>0</v>
      </c>
      <c r="V43" s="7" t="s">
        <v>143</v>
      </c>
      <c r="W43" s="7" t="s">
        <v>143</v>
      </c>
      <c r="X43" s="7" t="s">
        <v>143</v>
      </c>
      <c r="Y43" s="14">
        <v>20010001</v>
      </c>
      <c r="Z43" s="14">
        <v>0</v>
      </c>
      <c r="AA43" s="7">
        <v>1</v>
      </c>
      <c r="AB43" s="4" t="s">
        <v>157</v>
      </c>
      <c r="AC43" s="7">
        <v>10000</v>
      </c>
      <c r="AD43" s="7">
        <v>10000</v>
      </c>
      <c r="AE43" s="7">
        <v>0</v>
      </c>
      <c r="AF43" s="4">
        <v>40</v>
      </c>
      <c r="AG43" s="4">
        <v>0</v>
      </c>
      <c r="AH43" s="4">
        <v>0</v>
      </c>
      <c r="AI43" s="4">
        <v>0</v>
      </c>
      <c r="AJ43" s="4">
        <v>0</v>
      </c>
    </row>
    <row r="44" spans="1:36" x14ac:dyDescent="0.2">
      <c r="A44" s="7">
        <v>110401</v>
      </c>
      <c r="B44" s="7">
        <v>1</v>
      </c>
      <c r="C44" s="7" t="s">
        <v>91</v>
      </c>
      <c r="D44" s="7" t="s">
        <v>88</v>
      </c>
      <c r="E44" s="4" t="s">
        <v>153</v>
      </c>
      <c r="F44" s="7" t="s">
        <v>176</v>
      </c>
      <c r="G44" s="15">
        <v>1</v>
      </c>
      <c r="H44" s="15">
        <v>2</v>
      </c>
      <c r="I44" s="15" t="s">
        <v>18</v>
      </c>
      <c r="J44" s="7">
        <v>0</v>
      </c>
      <c r="K44" s="7">
        <v>800001021</v>
      </c>
      <c r="L44" s="7">
        <v>800001021</v>
      </c>
      <c r="M44" s="7">
        <v>1</v>
      </c>
      <c r="N44" s="7">
        <v>100</v>
      </c>
      <c r="O44" s="7">
        <v>2</v>
      </c>
      <c r="P44" s="7">
        <v>8</v>
      </c>
      <c r="Q44" s="7">
        <v>0</v>
      </c>
      <c r="R44" s="7">
        <v>25</v>
      </c>
      <c r="S44" s="7">
        <v>-3000</v>
      </c>
      <c r="T44" s="7">
        <v>1</v>
      </c>
      <c r="U44" s="7">
        <v>0</v>
      </c>
      <c r="V44" s="7" t="s">
        <v>143</v>
      </c>
      <c r="W44" s="7" t="s">
        <v>143</v>
      </c>
      <c r="X44" s="7" t="s">
        <v>143</v>
      </c>
      <c r="Y44" s="14">
        <v>20010001</v>
      </c>
      <c r="Z44" s="14">
        <v>0</v>
      </c>
      <c r="AA44" s="7">
        <v>1</v>
      </c>
      <c r="AB44" s="4" t="s">
        <v>156</v>
      </c>
      <c r="AC44" s="7">
        <v>10000</v>
      </c>
      <c r="AD44" s="7">
        <v>10000</v>
      </c>
      <c r="AE44" s="7">
        <v>0</v>
      </c>
      <c r="AF44" s="4">
        <v>40</v>
      </c>
      <c r="AG44" s="4">
        <v>0</v>
      </c>
      <c r="AH44" s="4">
        <v>0</v>
      </c>
      <c r="AI44" s="4">
        <v>0</v>
      </c>
      <c r="AJ44" s="4">
        <v>0</v>
      </c>
    </row>
    <row r="45" spans="1:36" x14ac:dyDescent="0.2">
      <c r="A45" s="7">
        <v>110402</v>
      </c>
      <c r="B45" s="7">
        <v>1</v>
      </c>
      <c r="C45" s="7" t="s">
        <v>91</v>
      </c>
      <c r="D45" s="7" t="s">
        <v>88</v>
      </c>
      <c r="E45" s="4" t="s">
        <v>153</v>
      </c>
      <c r="F45" s="7" t="s">
        <v>176</v>
      </c>
      <c r="G45" s="15">
        <v>1</v>
      </c>
      <c r="H45" s="15">
        <v>2</v>
      </c>
      <c r="I45" s="15" t="s">
        <v>18</v>
      </c>
      <c r="J45" s="7">
        <v>0</v>
      </c>
      <c r="K45" s="7">
        <v>800001021</v>
      </c>
      <c r="L45" s="7">
        <v>800001021</v>
      </c>
      <c r="M45" s="7">
        <v>1</v>
      </c>
      <c r="N45" s="7">
        <v>100</v>
      </c>
      <c r="O45" s="7">
        <v>2</v>
      </c>
      <c r="P45" s="7">
        <v>8</v>
      </c>
      <c r="Q45" s="7">
        <v>0</v>
      </c>
      <c r="R45" s="7">
        <v>25</v>
      </c>
      <c r="S45" s="7">
        <v>-3000</v>
      </c>
      <c r="T45" s="7">
        <v>1</v>
      </c>
      <c r="U45" s="7">
        <v>0</v>
      </c>
      <c r="V45" s="7" t="s">
        <v>143</v>
      </c>
      <c r="W45" s="7" t="s">
        <v>143</v>
      </c>
      <c r="X45" s="7" t="s">
        <v>143</v>
      </c>
      <c r="Y45" s="14">
        <v>20010001</v>
      </c>
      <c r="Z45" s="14">
        <v>0</v>
      </c>
      <c r="AA45" s="7">
        <v>1</v>
      </c>
      <c r="AB45" s="4" t="s">
        <v>156</v>
      </c>
      <c r="AC45" s="7">
        <v>10000</v>
      </c>
      <c r="AD45" s="7">
        <v>10000</v>
      </c>
      <c r="AE45" s="7">
        <v>0</v>
      </c>
      <c r="AF45" s="4">
        <v>40</v>
      </c>
      <c r="AG45" s="4">
        <v>0</v>
      </c>
      <c r="AH45" s="4">
        <v>0</v>
      </c>
      <c r="AI45" s="4">
        <v>0</v>
      </c>
      <c r="AJ45" s="4">
        <v>0</v>
      </c>
    </row>
    <row r="46" spans="1:36" x14ac:dyDescent="0.2">
      <c r="A46" s="7">
        <v>110403</v>
      </c>
      <c r="B46" s="7">
        <v>1</v>
      </c>
      <c r="C46" s="7" t="s">
        <v>91</v>
      </c>
      <c r="D46" s="7" t="s">
        <v>88</v>
      </c>
      <c r="E46" s="4" t="s">
        <v>153</v>
      </c>
      <c r="F46" s="7" t="s">
        <v>176</v>
      </c>
      <c r="G46" s="15">
        <v>1</v>
      </c>
      <c r="H46" s="15">
        <v>2</v>
      </c>
      <c r="I46" s="15" t="s">
        <v>18</v>
      </c>
      <c r="J46" s="7">
        <v>0</v>
      </c>
      <c r="K46" s="7">
        <v>800001021</v>
      </c>
      <c r="L46" s="7">
        <v>800001021</v>
      </c>
      <c r="M46" s="7">
        <v>1</v>
      </c>
      <c r="N46" s="7">
        <v>100</v>
      </c>
      <c r="O46" s="7">
        <v>2</v>
      </c>
      <c r="P46" s="7">
        <v>8</v>
      </c>
      <c r="Q46" s="7">
        <v>0</v>
      </c>
      <c r="R46" s="7">
        <v>25</v>
      </c>
      <c r="S46" s="7">
        <v>-3000</v>
      </c>
      <c r="T46" s="7">
        <v>1</v>
      </c>
      <c r="U46" s="7">
        <v>0</v>
      </c>
      <c r="V46" s="7" t="s">
        <v>143</v>
      </c>
      <c r="W46" s="7" t="s">
        <v>143</v>
      </c>
      <c r="X46" s="7" t="s">
        <v>143</v>
      </c>
      <c r="Y46" s="14">
        <v>20010001</v>
      </c>
      <c r="Z46" s="14">
        <v>0</v>
      </c>
      <c r="AA46" s="7">
        <v>1</v>
      </c>
      <c r="AB46" s="4" t="s">
        <v>156</v>
      </c>
      <c r="AC46" s="7">
        <v>10000</v>
      </c>
      <c r="AD46" s="7">
        <v>10000</v>
      </c>
      <c r="AE46" s="7">
        <v>0</v>
      </c>
      <c r="AF46" s="4">
        <v>40</v>
      </c>
      <c r="AG46" s="4">
        <v>0</v>
      </c>
      <c r="AH46" s="4">
        <v>0</v>
      </c>
      <c r="AI46" s="4">
        <v>0</v>
      </c>
      <c r="AJ46" s="4">
        <v>0</v>
      </c>
    </row>
    <row r="47" spans="1:36" x14ac:dyDescent="0.2">
      <c r="A47" s="7">
        <v>121101</v>
      </c>
      <c r="B47" s="7">
        <v>12</v>
      </c>
      <c r="C47" s="7" t="s">
        <v>48</v>
      </c>
      <c r="D47" s="7" t="s">
        <v>65</v>
      </c>
      <c r="E47" s="4" t="s">
        <v>153</v>
      </c>
      <c r="F47" s="7">
        <v>1000102</v>
      </c>
      <c r="G47" s="7">
        <v>12</v>
      </c>
      <c r="H47" s="7">
        <v>1</v>
      </c>
      <c r="I47" s="7" t="s">
        <v>18</v>
      </c>
      <c r="J47" s="7">
        <v>0</v>
      </c>
      <c r="K47" s="7" t="s">
        <v>184</v>
      </c>
      <c r="L47" s="7">
        <v>800001011</v>
      </c>
      <c r="M47" s="7">
        <v>12</v>
      </c>
      <c r="N47" s="7">
        <v>70</v>
      </c>
      <c r="O47" s="7">
        <v>0</v>
      </c>
      <c r="P47" s="7">
        <v>10</v>
      </c>
      <c r="Q47" s="7">
        <v>0</v>
      </c>
      <c r="R47" s="7">
        <v>18</v>
      </c>
      <c r="S47" s="7">
        <v>-3000</v>
      </c>
      <c r="T47" s="7">
        <v>1</v>
      </c>
      <c r="U47" s="7">
        <v>0</v>
      </c>
      <c r="V47" s="7" t="s">
        <v>145</v>
      </c>
      <c r="W47" s="7" t="s">
        <v>144</v>
      </c>
      <c r="X47" s="7" t="s">
        <v>201</v>
      </c>
      <c r="Y47" s="14">
        <v>201001011</v>
      </c>
      <c r="Z47" s="14">
        <v>0</v>
      </c>
      <c r="AA47" s="7">
        <v>1</v>
      </c>
      <c r="AB47" s="4" t="s">
        <v>179</v>
      </c>
      <c r="AC47" s="7">
        <v>10000</v>
      </c>
      <c r="AD47" s="7">
        <v>10000</v>
      </c>
      <c r="AE47" s="7">
        <v>25010001</v>
      </c>
      <c r="AF47" s="4">
        <v>40</v>
      </c>
      <c r="AG47" s="4">
        <v>10000</v>
      </c>
      <c r="AH47" s="4">
        <v>10000</v>
      </c>
      <c r="AI47" s="4">
        <v>50</v>
      </c>
      <c r="AJ47" s="4">
        <v>0</v>
      </c>
    </row>
    <row r="48" spans="1:36" x14ac:dyDescent="0.2">
      <c r="A48" s="7">
        <v>121102</v>
      </c>
      <c r="B48" s="7">
        <v>12</v>
      </c>
      <c r="C48" s="7" t="s">
        <v>49</v>
      </c>
      <c r="D48" s="7" t="s">
        <v>67</v>
      </c>
      <c r="E48" s="4" t="s">
        <v>153</v>
      </c>
      <c r="F48" s="7">
        <v>1000102</v>
      </c>
      <c r="G48" s="7">
        <v>12</v>
      </c>
      <c r="H48" s="7">
        <v>1</v>
      </c>
      <c r="I48" s="7" t="s">
        <v>18</v>
      </c>
      <c r="J48" s="7">
        <v>0</v>
      </c>
      <c r="K48" s="7" t="s">
        <v>185</v>
      </c>
      <c r="L48" s="7">
        <v>800001021</v>
      </c>
      <c r="M48" s="7">
        <v>12</v>
      </c>
      <c r="N48" s="7">
        <v>200</v>
      </c>
      <c r="O48" s="7">
        <v>0</v>
      </c>
      <c r="P48" s="7">
        <v>21</v>
      </c>
      <c r="Q48" s="7">
        <v>2</v>
      </c>
      <c r="R48" s="7">
        <v>230</v>
      </c>
      <c r="S48" s="7">
        <v>-3000</v>
      </c>
      <c r="T48" s="7">
        <v>1</v>
      </c>
      <c r="U48" s="7">
        <v>0</v>
      </c>
      <c r="V48" s="7" t="s">
        <v>145</v>
      </c>
      <c r="W48" s="7" t="s">
        <v>144</v>
      </c>
      <c r="X48" s="7" t="s">
        <v>201</v>
      </c>
      <c r="Y48" s="14">
        <v>201002011</v>
      </c>
      <c r="Z48" s="14">
        <v>0</v>
      </c>
      <c r="AA48" s="7">
        <v>1</v>
      </c>
      <c r="AB48" s="4" t="s">
        <v>197</v>
      </c>
      <c r="AC48" s="7">
        <v>10000</v>
      </c>
      <c r="AD48" s="7">
        <v>10000</v>
      </c>
      <c r="AE48" s="7">
        <v>25010001</v>
      </c>
      <c r="AF48" s="4">
        <v>40</v>
      </c>
      <c r="AG48" s="4">
        <v>3000</v>
      </c>
      <c r="AH48" s="4">
        <v>10000</v>
      </c>
      <c r="AI48" s="4">
        <v>10</v>
      </c>
      <c r="AJ48" s="4">
        <v>0</v>
      </c>
    </row>
    <row r="49" spans="1:36" x14ac:dyDescent="0.2">
      <c r="A49" s="12">
        <v>121103</v>
      </c>
      <c r="B49" s="12">
        <v>12</v>
      </c>
      <c r="C49" s="12" t="s">
        <v>50</v>
      </c>
      <c r="D49" s="12" t="s">
        <v>66</v>
      </c>
      <c r="E49" s="6" t="s">
        <v>153</v>
      </c>
      <c r="F49" s="12">
        <v>1000102</v>
      </c>
      <c r="G49" s="12">
        <v>12</v>
      </c>
      <c r="H49" s="12">
        <v>1</v>
      </c>
      <c r="I49" s="12" t="s">
        <v>18</v>
      </c>
      <c r="J49" s="12">
        <v>0</v>
      </c>
      <c r="K49" s="12" t="s">
        <v>186</v>
      </c>
      <c r="L49" s="12">
        <v>800001021</v>
      </c>
      <c r="M49" s="12">
        <v>12</v>
      </c>
      <c r="N49" s="12">
        <v>70</v>
      </c>
      <c r="O49" s="12">
        <v>0</v>
      </c>
      <c r="P49" s="12">
        <v>15</v>
      </c>
      <c r="Q49" s="12">
        <v>1</v>
      </c>
      <c r="R49" s="12">
        <v>300</v>
      </c>
      <c r="S49" s="12">
        <v>-3000</v>
      </c>
      <c r="T49" s="12">
        <v>1</v>
      </c>
      <c r="U49" s="12">
        <v>250</v>
      </c>
      <c r="V49" s="12" t="s">
        <v>145</v>
      </c>
      <c r="W49" s="12" t="s">
        <v>144</v>
      </c>
      <c r="X49" s="12" t="s">
        <v>201</v>
      </c>
      <c r="Y49" s="13">
        <v>20010001</v>
      </c>
      <c r="Z49" s="13">
        <v>0</v>
      </c>
      <c r="AA49" s="12">
        <v>1</v>
      </c>
      <c r="AB49" s="6" t="s">
        <v>179</v>
      </c>
      <c r="AC49" s="12">
        <v>10000</v>
      </c>
      <c r="AD49" s="12">
        <v>10000</v>
      </c>
      <c r="AE49" s="12">
        <v>25010001</v>
      </c>
      <c r="AF49" s="4">
        <v>40</v>
      </c>
      <c r="AG49" s="4">
        <v>0</v>
      </c>
      <c r="AH49" s="4">
        <v>0</v>
      </c>
      <c r="AI49" s="4">
        <v>0</v>
      </c>
      <c r="AJ49" s="4">
        <v>0</v>
      </c>
    </row>
    <row r="50" spans="1:36" x14ac:dyDescent="0.2">
      <c r="A50" s="7">
        <v>121104</v>
      </c>
      <c r="B50" s="7">
        <v>12</v>
      </c>
      <c r="C50" s="7" t="s">
        <v>51</v>
      </c>
      <c r="D50" s="7" t="s">
        <v>68</v>
      </c>
      <c r="E50" s="4" t="s">
        <v>153</v>
      </c>
      <c r="F50" s="7">
        <v>1000010</v>
      </c>
      <c r="G50" s="7">
        <v>12</v>
      </c>
      <c r="H50" s="7">
        <v>1</v>
      </c>
      <c r="I50" s="7" t="s">
        <v>18</v>
      </c>
      <c r="J50" s="7">
        <v>0</v>
      </c>
      <c r="K50" s="7" t="s">
        <v>187</v>
      </c>
      <c r="L50" s="7">
        <v>800001041</v>
      </c>
      <c r="M50" s="7">
        <v>12</v>
      </c>
      <c r="N50" s="7">
        <v>70</v>
      </c>
      <c r="O50" s="7">
        <v>0</v>
      </c>
      <c r="P50" s="7">
        <v>11</v>
      </c>
      <c r="Q50" s="7">
        <v>0</v>
      </c>
      <c r="R50" s="7">
        <v>15</v>
      </c>
      <c r="S50" s="7">
        <v>-3000</v>
      </c>
      <c r="T50" s="7">
        <v>1</v>
      </c>
      <c r="U50" s="7">
        <v>0</v>
      </c>
      <c r="V50" s="7" t="s">
        <v>145</v>
      </c>
      <c r="W50" s="7" t="s">
        <v>144</v>
      </c>
      <c r="X50" s="7" t="s">
        <v>201</v>
      </c>
      <c r="Y50" s="14">
        <v>201004011</v>
      </c>
      <c r="Z50" s="14">
        <v>0</v>
      </c>
      <c r="AA50" s="7">
        <v>1</v>
      </c>
      <c r="AB50" s="4" t="s">
        <v>179</v>
      </c>
      <c r="AC50" s="7">
        <v>10000</v>
      </c>
      <c r="AD50" s="7">
        <v>10000</v>
      </c>
      <c r="AE50" s="7">
        <v>25010001</v>
      </c>
      <c r="AF50" s="4">
        <v>40</v>
      </c>
      <c r="AG50" s="4">
        <v>10000</v>
      </c>
      <c r="AH50" s="4">
        <v>10000</v>
      </c>
      <c r="AI50" s="4">
        <v>80</v>
      </c>
      <c r="AJ50" s="4">
        <v>10</v>
      </c>
    </row>
    <row r="51" spans="1:36" x14ac:dyDescent="0.2">
      <c r="A51" s="7">
        <v>121105</v>
      </c>
      <c r="B51" s="7">
        <v>12</v>
      </c>
      <c r="C51" s="7" t="s">
        <v>52</v>
      </c>
      <c r="D51" s="7" t="s">
        <v>69</v>
      </c>
      <c r="E51" s="4" t="s">
        <v>153</v>
      </c>
      <c r="F51" s="7">
        <v>1000010</v>
      </c>
      <c r="G51" s="7">
        <v>12</v>
      </c>
      <c r="H51" s="7">
        <v>1</v>
      </c>
      <c r="I51" s="7" t="s">
        <v>18</v>
      </c>
      <c r="J51" s="7">
        <v>0</v>
      </c>
      <c r="K51" s="7" t="s">
        <v>188</v>
      </c>
      <c r="L51" s="7">
        <v>800014011</v>
      </c>
      <c r="M51" s="7">
        <v>12</v>
      </c>
      <c r="N51" s="7">
        <v>125</v>
      </c>
      <c r="O51" s="7">
        <v>0</v>
      </c>
      <c r="P51" s="7">
        <v>11</v>
      </c>
      <c r="Q51" s="7">
        <v>1</v>
      </c>
      <c r="R51" s="7">
        <v>48</v>
      </c>
      <c r="S51" s="7">
        <v>-3000</v>
      </c>
      <c r="T51" s="7">
        <v>1</v>
      </c>
      <c r="U51" s="7">
        <v>0</v>
      </c>
      <c r="V51" s="7" t="s">
        <v>145</v>
      </c>
      <c r="W51" s="7" t="s">
        <v>144</v>
      </c>
      <c r="X51" s="7" t="s">
        <v>201</v>
      </c>
      <c r="Y51" s="14">
        <v>214001011</v>
      </c>
      <c r="Z51" s="14">
        <v>0</v>
      </c>
      <c r="AA51" s="7">
        <v>1</v>
      </c>
      <c r="AB51" s="4" t="s">
        <v>198</v>
      </c>
      <c r="AC51" s="7">
        <v>10000</v>
      </c>
      <c r="AD51" s="7">
        <v>10000</v>
      </c>
      <c r="AE51" s="7">
        <v>25010001</v>
      </c>
      <c r="AF51" s="4">
        <v>40</v>
      </c>
      <c r="AG51" s="4">
        <v>10000</v>
      </c>
      <c r="AH51" s="4">
        <v>10000</v>
      </c>
      <c r="AI51" s="4">
        <v>40</v>
      </c>
      <c r="AJ51" s="4">
        <v>0</v>
      </c>
    </row>
    <row r="52" spans="1:36" x14ac:dyDescent="0.2">
      <c r="A52" s="12">
        <v>121106</v>
      </c>
      <c r="B52" s="12">
        <v>12</v>
      </c>
      <c r="C52" s="12" t="s">
        <v>53</v>
      </c>
      <c r="D52" s="12" t="s">
        <v>70</v>
      </c>
      <c r="E52" s="6" t="s">
        <v>153</v>
      </c>
      <c r="F52" s="12">
        <v>1000010</v>
      </c>
      <c r="G52" s="12">
        <v>12</v>
      </c>
      <c r="H52" s="12">
        <v>1</v>
      </c>
      <c r="I52" s="12" t="s">
        <v>18</v>
      </c>
      <c r="J52" s="12">
        <v>0</v>
      </c>
      <c r="K52" s="12" t="s">
        <v>192</v>
      </c>
      <c r="L52" s="12">
        <v>1000010</v>
      </c>
      <c r="M52" s="12">
        <v>12</v>
      </c>
      <c r="N52" s="12">
        <v>100</v>
      </c>
      <c r="O52" s="12">
        <v>0</v>
      </c>
      <c r="P52" s="12">
        <v>15</v>
      </c>
      <c r="Q52" s="12">
        <v>0</v>
      </c>
      <c r="R52" s="12">
        <v>36</v>
      </c>
      <c r="S52" s="12">
        <v>-3000</v>
      </c>
      <c r="T52" s="12">
        <v>1</v>
      </c>
      <c r="U52" s="12">
        <v>0</v>
      </c>
      <c r="V52" s="12" t="s">
        <v>145</v>
      </c>
      <c r="W52" s="12" t="s">
        <v>144</v>
      </c>
      <c r="X52" s="12" t="s">
        <v>147</v>
      </c>
      <c r="Y52" s="13">
        <v>20040001</v>
      </c>
      <c r="Z52" s="13">
        <v>0</v>
      </c>
      <c r="AA52" s="12">
        <v>1</v>
      </c>
      <c r="AB52" s="6" t="s">
        <v>157</v>
      </c>
      <c r="AC52" s="12">
        <v>10000</v>
      </c>
      <c r="AD52" s="12">
        <v>10000</v>
      </c>
      <c r="AE52" s="12">
        <v>25010001</v>
      </c>
      <c r="AF52" s="4">
        <v>40</v>
      </c>
      <c r="AG52" s="4">
        <v>0</v>
      </c>
      <c r="AH52" s="4">
        <v>0</v>
      </c>
      <c r="AI52" s="4">
        <v>0</v>
      </c>
      <c r="AJ52" s="4">
        <v>0</v>
      </c>
    </row>
    <row r="53" spans="1:36" x14ac:dyDescent="0.2">
      <c r="A53" s="12">
        <v>121107</v>
      </c>
      <c r="B53" s="12">
        <v>12</v>
      </c>
      <c r="C53" s="12" t="s">
        <v>54</v>
      </c>
      <c r="D53" s="12" t="s">
        <v>71</v>
      </c>
      <c r="E53" s="6" t="s">
        <v>153</v>
      </c>
      <c r="F53" s="12">
        <v>1000006</v>
      </c>
      <c r="G53" s="12">
        <v>12</v>
      </c>
      <c r="H53" s="12">
        <v>1</v>
      </c>
      <c r="I53" s="12" t="s">
        <v>18</v>
      </c>
      <c r="J53" s="12">
        <v>0</v>
      </c>
      <c r="K53" s="12" t="s">
        <v>94</v>
      </c>
      <c r="L53" s="12">
        <v>1000006</v>
      </c>
      <c r="M53" s="12">
        <v>12</v>
      </c>
      <c r="N53" s="12">
        <v>100</v>
      </c>
      <c r="O53" s="12">
        <v>0</v>
      </c>
      <c r="P53" s="12">
        <v>15</v>
      </c>
      <c r="Q53" s="12">
        <v>0</v>
      </c>
      <c r="R53" s="12">
        <v>36</v>
      </c>
      <c r="S53" s="12">
        <v>-3000</v>
      </c>
      <c r="T53" s="12">
        <v>1</v>
      </c>
      <c r="U53" s="12">
        <v>0</v>
      </c>
      <c r="V53" s="12" t="s">
        <v>145</v>
      </c>
      <c r="W53" s="12" t="s">
        <v>144</v>
      </c>
      <c r="X53" s="12" t="s">
        <v>147</v>
      </c>
      <c r="Y53" s="13">
        <v>20030001</v>
      </c>
      <c r="Z53" s="13">
        <v>0</v>
      </c>
      <c r="AA53" s="12">
        <v>1</v>
      </c>
      <c r="AB53" s="6" t="s">
        <v>157</v>
      </c>
      <c r="AC53" s="12">
        <v>10000</v>
      </c>
      <c r="AD53" s="12">
        <v>10000</v>
      </c>
      <c r="AE53" s="12">
        <v>25010001</v>
      </c>
      <c r="AF53" s="4">
        <v>40</v>
      </c>
      <c r="AG53" s="4">
        <v>0</v>
      </c>
      <c r="AH53" s="4">
        <v>0</v>
      </c>
      <c r="AI53" s="4">
        <v>0</v>
      </c>
      <c r="AJ53" s="4">
        <v>0</v>
      </c>
    </row>
    <row r="54" spans="1:36" x14ac:dyDescent="0.2">
      <c r="A54" s="12">
        <v>121108</v>
      </c>
      <c r="B54" s="12">
        <v>12</v>
      </c>
      <c r="C54" s="12" t="s">
        <v>72</v>
      </c>
      <c r="D54" s="12" t="s">
        <v>73</v>
      </c>
      <c r="E54" s="6" t="s">
        <v>153</v>
      </c>
      <c r="F54" s="12">
        <v>1000006</v>
      </c>
      <c r="G54" s="12">
        <v>12</v>
      </c>
      <c r="H54" s="12">
        <v>1</v>
      </c>
      <c r="I54" s="12" t="s">
        <v>18</v>
      </c>
      <c r="J54" s="12">
        <v>0</v>
      </c>
      <c r="K54" s="12" t="s">
        <v>94</v>
      </c>
      <c r="L54" s="12">
        <v>1000006</v>
      </c>
      <c r="M54" s="12">
        <v>12</v>
      </c>
      <c r="N54" s="12">
        <v>100</v>
      </c>
      <c r="O54" s="12">
        <v>0</v>
      </c>
      <c r="P54" s="12">
        <v>15</v>
      </c>
      <c r="Q54" s="12">
        <v>0</v>
      </c>
      <c r="R54" s="12">
        <v>36</v>
      </c>
      <c r="S54" s="12">
        <v>-3000</v>
      </c>
      <c r="T54" s="12">
        <v>1</v>
      </c>
      <c r="U54" s="12">
        <v>0</v>
      </c>
      <c r="V54" s="12" t="s">
        <v>145</v>
      </c>
      <c r="W54" s="12" t="s">
        <v>144</v>
      </c>
      <c r="X54" s="12" t="s">
        <v>147</v>
      </c>
      <c r="Y54" s="13">
        <v>20030001</v>
      </c>
      <c r="Z54" s="13">
        <v>0</v>
      </c>
      <c r="AA54" s="12">
        <v>1</v>
      </c>
      <c r="AB54" s="6" t="s">
        <v>157</v>
      </c>
      <c r="AC54" s="12">
        <v>10000</v>
      </c>
      <c r="AD54" s="12">
        <v>10000</v>
      </c>
      <c r="AE54" s="12">
        <v>25010001</v>
      </c>
      <c r="AF54" s="4">
        <v>40</v>
      </c>
      <c r="AG54" s="4">
        <v>0</v>
      </c>
      <c r="AH54" s="4">
        <v>0</v>
      </c>
      <c r="AI54" s="4">
        <v>0</v>
      </c>
      <c r="AJ54" s="4">
        <v>0</v>
      </c>
    </row>
    <row r="55" spans="1:36" x14ac:dyDescent="0.2">
      <c r="A55" s="12">
        <v>121109</v>
      </c>
      <c r="B55" s="12">
        <v>12</v>
      </c>
      <c r="C55" s="12" t="s">
        <v>74</v>
      </c>
      <c r="D55" s="12" t="s">
        <v>75</v>
      </c>
      <c r="E55" s="6" t="s">
        <v>153</v>
      </c>
      <c r="F55" s="12">
        <v>1000006</v>
      </c>
      <c r="G55" s="12">
        <v>12</v>
      </c>
      <c r="H55" s="12">
        <v>1</v>
      </c>
      <c r="I55" s="12" t="s">
        <v>18</v>
      </c>
      <c r="J55" s="12">
        <v>0</v>
      </c>
      <c r="K55" s="12" t="s">
        <v>94</v>
      </c>
      <c r="L55" s="12">
        <v>1000006</v>
      </c>
      <c r="M55" s="12">
        <v>12</v>
      </c>
      <c r="N55" s="12">
        <v>100</v>
      </c>
      <c r="O55" s="12">
        <v>0</v>
      </c>
      <c r="P55" s="12">
        <v>15</v>
      </c>
      <c r="Q55" s="12">
        <v>0</v>
      </c>
      <c r="R55" s="12">
        <v>36</v>
      </c>
      <c r="S55" s="12">
        <v>-3000</v>
      </c>
      <c r="T55" s="12">
        <v>1</v>
      </c>
      <c r="U55" s="12">
        <v>0</v>
      </c>
      <c r="V55" s="12" t="s">
        <v>145</v>
      </c>
      <c r="W55" s="12" t="s">
        <v>144</v>
      </c>
      <c r="X55" s="12" t="s">
        <v>147</v>
      </c>
      <c r="Y55" s="13">
        <v>20030001</v>
      </c>
      <c r="Z55" s="13">
        <v>0</v>
      </c>
      <c r="AA55" s="12">
        <v>1</v>
      </c>
      <c r="AB55" s="6" t="s">
        <v>157</v>
      </c>
      <c r="AC55" s="12">
        <v>10000</v>
      </c>
      <c r="AD55" s="12">
        <v>10000</v>
      </c>
      <c r="AE55" s="12">
        <v>25010001</v>
      </c>
      <c r="AF55" s="4">
        <v>40</v>
      </c>
      <c r="AG55" s="4">
        <v>0</v>
      </c>
      <c r="AH55" s="4">
        <v>0</v>
      </c>
      <c r="AI55" s="4">
        <v>0</v>
      </c>
      <c r="AJ55" s="4">
        <v>0</v>
      </c>
    </row>
    <row r="56" spans="1:36" x14ac:dyDescent="0.2">
      <c r="A56" s="12">
        <v>121110</v>
      </c>
      <c r="B56" s="12">
        <v>12</v>
      </c>
      <c r="C56" s="12" t="s">
        <v>76</v>
      </c>
      <c r="D56" s="12" t="s">
        <v>77</v>
      </c>
      <c r="E56" s="6" t="s">
        <v>153</v>
      </c>
      <c r="F56" s="12">
        <v>1000103</v>
      </c>
      <c r="G56" s="12">
        <v>12</v>
      </c>
      <c r="H56" s="12">
        <v>1</v>
      </c>
      <c r="I56" s="12" t="s">
        <v>18</v>
      </c>
      <c r="J56" s="12">
        <v>0</v>
      </c>
      <c r="K56" s="12" t="s">
        <v>96</v>
      </c>
      <c r="L56" s="12">
        <v>1000103</v>
      </c>
      <c r="M56" s="12">
        <v>12</v>
      </c>
      <c r="N56" s="12">
        <v>100</v>
      </c>
      <c r="O56" s="12">
        <v>0</v>
      </c>
      <c r="P56" s="12">
        <v>15</v>
      </c>
      <c r="Q56" s="12">
        <v>0</v>
      </c>
      <c r="R56" s="12">
        <v>36</v>
      </c>
      <c r="S56" s="12">
        <v>-3000</v>
      </c>
      <c r="T56" s="12">
        <v>1</v>
      </c>
      <c r="U56" s="12">
        <v>0</v>
      </c>
      <c r="V56" s="12" t="s">
        <v>145</v>
      </c>
      <c r="W56" s="12" t="s">
        <v>144</v>
      </c>
      <c r="X56" s="12" t="s">
        <v>147</v>
      </c>
      <c r="Y56" s="13">
        <v>20020001</v>
      </c>
      <c r="Z56" s="13">
        <v>0</v>
      </c>
      <c r="AA56" s="12">
        <v>1</v>
      </c>
      <c r="AB56" s="6" t="s">
        <v>157</v>
      </c>
      <c r="AC56" s="12">
        <v>10000</v>
      </c>
      <c r="AD56" s="12">
        <v>10000</v>
      </c>
      <c r="AE56" s="12">
        <v>25010001</v>
      </c>
      <c r="AF56" s="4">
        <v>40</v>
      </c>
      <c r="AG56" s="4">
        <v>0</v>
      </c>
      <c r="AH56" s="4">
        <v>0</v>
      </c>
      <c r="AI56" s="4">
        <v>0</v>
      </c>
      <c r="AJ56" s="4">
        <v>0</v>
      </c>
    </row>
    <row r="57" spans="1:36" x14ac:dyDescent="0.2">
      <c r="A57" s="12">
        <v>121111</v>
      </c>
      <c r="B57" s="12">
        <v>12</v>
      </c>
      <c r="C57" s="12" t="s">
        <v>78</v>
      </c>
      <c r="D57" s="12" t="s">
        <v>79</v>
      </c>
      <c r="E57" s="6" t="s">
        <v>153</v>
      </c>
      <c r="F57" s="12">
        <v>1000103</v>
      </c>
      <c r="G57" s="12">
        <v>12</v>
      </c>
      <c r="H57" s="12">
        <v>1</v>
      </c>
      <c r="I57" s="12" t="s">
        <v>18</v>
      </c>
      <c r="J57" s="12">
        <v>0</v>
      </c>
      <c r="K57" s="12" t="s">
        <v>96</v>
      </c>
      <c r="L57" s="12">
        <v>1000103</v>
      </c>
      <c r="M57" s="12">
        <v>12</v>
      </c>
      <c r="N57" s="12">
        <v>100</v>
      </c>
      <c r="O57" s="12">
        <v>0</v>
      </c>
      <c r="P57" s="12">
        <v>15</v>
      </c>
      <c r="Q57" s="12">
        <v>0</v>
      </c>
      <c r="R57" s="12">
        <v>36</v>
      </c>
      <c r="S57" s="12">
        <v>-3000</v>
      </c>
      <c r="T57" s="12">
        <v>1</v>
      </c>
      <c r="U57" s="12">
        <v>0</v>
      </c>
      <c r="V57" s="12" t="s">
        <v>145</v>
      </c>
      <c r="W57" s="12" t="s">
        <v>144</v>
      </c>
      <c r="X57" s="12" t="s">
        <v>147</v>
      </c>
      <c r="Y57" s="13">
        <v>20020001</v>
      </c>
      <c r="Z57" s="13">
        <v>0</v>
      </c>
      <c r="AA57" s="12">
        <v>1</v>
      </c>
      <c r="AB57" s="6" t="s">
        <v>157</v>
      </c>
      <c r="AC57" s="12">
        <v>10000</v>
      </c>
      <c r="AD57" s="12">
        <v>10000</v>
      </c>
      <c r="AE57" s="12">
        <v>25010001</v>
      </c>
      <c r="AF57" s="4">
        <v>40</v>
      </c>
      <c r="AG57" s="4">
        <v>0</v>
      </c>
      <c r="AH57" s="4">
        <v>0</v>
      </c>
      <c r="AI57" s="4">
        <v>0</v>
      </c>
      <c r="AJ57" s="4">
        <v>0</v>
      </c>
    </row>
    <row r="58" spans="1:36" x14ac:dyDescent="0.2">
      <c r="A58" s="12">
        <v>121112</v>
      </c>
      <c r="B58" s="12">
        <v>12</v>
      </c>
      <c r="C58" s="12" t="s">
        <v>80</v>
      </c>
      <c r="D58" s="12" t="s">
        <v>81</v>
      </c>
      <c r="E58" s="6" t="s">
        <v>153</v>
      </c>
      <c r="F58" s="12">
        <v>1000103</v>
      </c>
      <c r="G58" s="12">
        <v>12</v>
      </c>
      <c r="H58" s="12">
        <v>1</v>
      </c>
      <c r="I58" s="12" t="s">
        <v>18</v>
      </c>
      <c r="J58" s="12">
        <v>0</v>
      </c>
      <c r="K58" s="12" t="s">
        <v>96</v>
      </c>
      <c r="L58" s="12">
        <v>1000103</v>
      </c>
      <c r="M58" s="12">
        <v>12</v>
      </c>
      <c r="N58" s="12">
        <v>100</v>
      </c>
      <c r="O58" s="12">
        <v>0</v>
      </c>
      <c r="P58" s="12">
        <v>15</v>
      </c>
      <c r="Q58" s="12">
        <v>0</v>
      </c>
      <c r="R58" s="12">
        <v>36</v>
      </c>
      <c r="S58" s="12">
        <v>-3000</v>
      </c>
      <c r="T58" s="12">
        <v>1</v>
      </c>
      <c r="U58" s="12">
        <v>0</v>
      </c>
      <c r="V58" s="12" t="s">
        <v>145</v>
      </c>
      <c r="W58" s="12" t="s">
        <v>144</v>
      </c>
      <c r="X58" s="12" t="s">
        <v>147</v>
      </c>
      <c r="Y58" s="13">
        <v>20020001</v>
      </c>
      <c r="Z58" s="13">
        <v>0</v>
      </c>
      <c r="AA58" s="12">
        <v>1</v>
      </c>
      <c r="AB58" s="6" t="s">
        <v>157</v>
      </c>
      <c r="AC58" s="12">
        <v>10000</v>
      </c>
      <c r="AD58" s="12">
        <v>10000</v>
      </c>
      <c r="AE58" s="12">
        <v>25010001</v>
      </c>
      <c r="AF58" s="4">
        <v>40</v>
      </c>
      <c r="AG58" s="4">
        <v>0</v>
      </c>
      <c r="AH58" s="4">
        <v>0</v>
      </c>
      <c r="AI58" s="4">
        <v>0</v>
      </c>
      <c r="AJ58" s="4">
        <v>0</v>
      </c>
    </row>
    <row r="59" spans="1:36" ht="14.25" x14ac:dyDescent="0.2">
      <c r="A59" s="7">
        <v>121113</v>
      </c>
      <c r="B59" s="7">
        <v>12</v>
      </c>
      <c r="C59" s="7" t="s">
        <v>82</v>
      </c>
      <c r="D59" s="7" t="s">
        <v>83</v>
      </c>
      <c r="E59" s="4" t="s">
        <v>153</v>
      </c>
      <c r="F59" s="7">
        <v>1000011</v>
      </c>
      <c r="G59" s="7">
        <v>12</v>
      </c>
      <c r="H59" s="7">
        <v>1</v>
      </c>
      <c r="I59" s="7" t="s">
        <v>18</v>
      </c>
      <c r="J59" s="7">
        <v>0</v>
      </c>
      <c r="K59" s="7" t="s">
        <v>191</v>
      </c>
      <c r="L59" s="7">
        <v>800003021</v>
      </c>
      <c r="M59" s="7">
        <v>12</v>
      </c>
      <c r="N59" s="7">
        <v>500</v>
      </c>
      <c r="O59" s="7">
        <v>0</v>
      </c>
      <c r="P59" s="7">
        <v>38</v>
      </c>
      <c r="Q59" s="7">
        <v>3</v>
      </c>
      <c r="R59" s="16">
        <v>1964</v>
      </c>
      <c r="S59" s="7">
        <v>-3000</v>
      </c>
      <c r="T59" s="7">
        <v>1</v>
      </c>
      <c r="U59" s="7">
        <v>30000</v>
      </c>
      <c r="V59" s="7" t="s">
        <v>145</v>
      </c>
      <c r="W59" s="7" t="s">
        <v>144</v>
      </c>
      <c r="X59" s="7" t="s">
        <v>200</v>
      </c>
      <c r="Y59" s="14">
        <v>203002011</v>
      </c>
      <c r="Z59" s="14">
        <v>0</v>
      </c>
      <c r="AA59" s="7">
        <v>1</v>
      </c>
      <c r="AB59" s="4" t="s">
        <v>199</v>
      </c>
      <c r="AC59" s="7">
        <v>10000</v>
      </c>
      <c r="AD59" s="7">
        <v>10000</v>
      </c>
      <c r="AE59" s="7">
        <v>25010001</v>
      </c>
      <c r="AF59" s="4">
        <v>40</v>
      </c>
      <c r="AG59" s="4">
        <v>1000</v>
      </c>
      <c r="AH59" s="4">
        <v>5000</v>
      </c>
      <c r="AI59" s="4">
        <v>2</v>
      </c>
      <c r="AJ59" s="4">
        <v>0</v>
      </c>
    </row>
    <row r="60" spans="1:36" x14ac:dyDescent="0.2">
      <c r="A60" s="12">
        <v>121114</v>
      </c>
      <c r="B60" s="12">
        <v>12</v>
      </c>
      <c r="C60" s="12" t="s">
        <v>84</v>
      </c>
      <c r="D60" s="12" t="s">
        <v>85</v>
      </c>
      <c r="E60" s="6" t="s">
        <v>153</v>
      </c>
      <c r="F60" s="12">
        <v>1000011</v>
      </c>
      <c r="G60" s="12">
        <v>12</v>
      </c>
      <c r="H60" s="12">
        <v>1</v>
      </c>
      <c r="I60" s="12" t="s">
        <v>18</v>
      </c>
      <c r="J60" s="12">
        <v>0</v>
      </c>
      <c r="K60" s="12" t="s">
        <v>190</v>
      </c>
      <c r="L60" s="12">
        <v>1000011</v>
      </c>
      <c r="M60" s="12">
        <v>12</v>
      </c>
      <c r="N60" s="12">
        <v>100</v>
      </c>
      <c r="O60" s="12">
        <v>0</v>
      </c>
      <c r="P60" s="12">
        <v>15</v>
      </c>
      <c r="Q60" s="12">
        <v>0</v>
      </c>
      <c r="R60" s="12">
        <v>36</v>
      </c>
      <c r="S60" s="12">
        <v>-3000</v>
      </c>
      <c r="T60" s="12">
        <v>1</v>
      </c>
      <c r="U60" s="12">
        <v>0</v>
      </c>
      <c r="V60" s="12" t="s">
        <v>145</v>
      </c>
      <c r="W60" s="12" t="s">
        <v>144</v>
      </c>
      <c r="X60" s="12" t="s">
        <v>147</v>
      </c>
      <c r="Y60" s="13">
        <v>20050001</v>
      </c>
      <c r="Z60" s="13">
        <v>0</v>
      </c>
      <c r="AA60" s="12">
        <v>1</v>
      </c>
      <c r="AB60" s="6" t="s">
        <v>157</v>
      </c>
      <c r="AC60" s="12">
        <v>10000</v>
      </c>
      <c r="AD60" s="12">
        <v>10000</v>
      </c>
      <c r="AE60" s="12">
        <v>0</v>
      </c>
      <c r="AF60" s="4">
        <v>40</v>
      </c>
      <c r="AG60" s="4">
        <v>0</v>
      </c>
      <c r="AH60" s="4">
        <v>0</v>
      </c>
      <c r="AI60" s="4">
        <v>0</v>
      </c>
      <c r="AJ60" s="4">
        <v>0</v>
      </c>
    </row>
    <row r="61" spans="1:36" x14ac:dyDescent="0.2">
      <c r="A61" s="12">
        <v>121115</v>
      </c>
      <c r="B61" s="12">
        <v>12</v>
      </c>
      <c r="C61" s="12" t="s">
        <v>86</v>
      </c>
      <c r="D61" s="12" t="s">
        <v>87</v>
      </c>
      <c r="E61" s="6" t="s">
        <v>153</v>
      </c>
      <c r="F61" s="12">
        <v>1000011</v>
      </c>
      <c r="G61" s="12">
        <v>12</v>
      </c>
      <c r="H61" s="12">
        <v>1</v>
      </c>
      <c r="I61" s="12" t="s">
        <v>18</v>
      </c>
      <c r="J61" s="12">
        <v>0</v>
      </c>
      <c r="K61" s="12" t="s">
        <v>93</v>
      </c>
      <c r="L61" s="12">
        <v>1000011</v>
      </c>
      <c r="M61" s="12">
        <v>12</v>
      </c>
      <c r="N61" s="12">
        <v>100</v>
      </c>
      <c r="O61" s="12">
        <v>0</v>
      </c>
      <c r="P61" s="12">
        <v>15</v>
      </c>
      <c r="Q61" s="12">
        <v>0</v>
      </c>
      <c r="R61" s="12">
        <v>36</v>
      </c>
      <c r="S61" s="12">
        <v>-3000</v>
      </c>
      <c r="T61" s="12">
        <v>1</v>
      </c>
      <c r="U61" s="12">
        <v>0</v>
      </c>
      <c r="V61" s="12" t="s">
        <v>145</v>
      </c>
      <c r="W61" s="12" t="s">
        <v>144</v>
      </c>
      <c r="X61" s="12" t="s">
        <v>147</v>
      </c>
      <c r="Y61" s="13">
        <v>20050001</v>
      </c>
      <c r="Z61" s="13">
        <v>0</v>
      </c>
      <c r="AA61" s="12">
        <v>1</v>
      </c>
      <c r="AB61" s="6" t="s">
        <v>157</v>
      </c>
      <c r="AC61" s="12">
        <v>10000</v>
      </c>
      <c r="AD61" s="12">
        <v>10000</v>
      </c>
      <c r="AE61" s="12">
        <v>0</v>
      </c>
      <c r="AF61" s="4">
        <v>40</v>
      </c>
      <c r="AG61" s="4">
        <v>0</v>
      </c>
      <c r="AH61" s="4">
        <v>0</v>
      </c>
      <c r="AI61" s="4">
        <v>0</v>
      </c>
      <c r="AJ61" s="4">
        <v>0</v>
      </c>
    </row>
    <row r="62" spans="1:36" x14ac:dyDescent="0.2">
      <c r="A62" s="7">
        <v>999001</v>
      </c>
      <c r="B62" s="7">
        <v>1</v>
      </c>
      <c r="C62" s="7" t="s">
        <v>193</v>
      </c>
      <c r="D62" s="7"/>
      <c r="E62" s="4" t="s">
        <v>153</v>
      </c>
      <c r="F62" s="7">
        <v>1000010</v>
      </c>
      <c r="G62" s="7">
        <v>1</v>
      </c>
      <c r="H62" s="7">
        <v>1</v>
      </c>
      <c r="I62" s="7" t="s">
        <v>18</v>
      </c>
      <c r="J62" s="7">
        <v>0</v>
      </c>
      <c r="K62" s="7" t="s">
        <v>187</v>
      </c>
      <c r="L62" s="7">
        <v>800001041</v>
      </c>
      <c r="M62" s="7">
        <v>1</v>
      </c>
      <c r="N62" s="7">
        <v>100</v>
      </c>
      <c r="O62" s="7">
        <v>0</v>
      </c>
      <c r="P62" s="7">
        <v>5</v>
      </c>
      <c r="Q62" s="7">
        <v>0</v>
      </c>
      <c r="R62" s="7">
        <v>10000</v>
      </c>
      <c r="S62" s="7">
        <v>-3000</v>
      </c>
      <c r="T62" s="7">
        <v>1</v>
      </c>
      <c r="U62" s="7">
        <v>100</v>
      </c>
      <c r="V62" s="7" t="s">
        <v>145</v>
      </c>
      <c r="W62" s="7" t="s">
        <v>144</v>
      </c>
      <c r="X62" s="7" t="s">
        <v>189</v>
      </c>
      <c r="Y62" s="14">
        <v>201004011</v>
      </c>
      <c r="Z62" s="14">
        <v>0</v>
      </c>
      <c r="AA62" s="7">
        <v>1</v>
      </c>
      <c r="AB62" s="4" t="s">
        <v>157</v>
      </c>
      <c r="AC62" s="7">
        <v>10000</v>
      </c>
      <c r="AD62" s="7">
        <v>10000</v>
      </c>
      <c r="AE62" s="7">
        <v>0</v>
      </c>
      <c r="AF62" s="4">
        <v>40</v>
      </c>
      <c r="AG62" s="4">
        <v>3000</v>
      </c>
      <c r="AH62" s="4">
        <v>6000</v>
      </c>
      <c r="AI62" s="4">
        <v>0</v>
      </c>
      <c r="AJ62" s="4">
        <v>0</v>
      </c>
    </row>
    <row r="63" spans="1:36" x14ac:dyDescent="0.2">
      <c r="A63" s="7">
        <v>999002</v>
      </c>
      <c r="B63" s="7">
        <v>1</v>
      </c>
      <c r="C63" s="7" t="s">
        <v>194</v>
      </c>
      <c r="D63" s="7"/>
      <c r="E63" s="4" t="s">
        <v>153</v>
      </c>
      <c r="F63" s="7">
        <v>1000102</v>
      </c>
      <c r="G63" s="7">
        <v>1</v>
      </c>
      <c r="H63" s="7">
        <v>1</v>
      </c>
      <c r="I63" s="7" t="s">
        <v>18</v>
      </c>
      <c r="J63" s="7">
        <v>0</v>
      </c>
      <c r="K63" s="7" t="s">
        <v>185</v>
      </c>
      <c r="L63" s="7">
        <v>800001021</v>
      </c>
      <c r="M63" s="7">
        <v>1</v>
      </c>
      <c r="N63" s="7">
        <v>100</v>
      </c>
      <c r="O63" s="7">
        <v>0</v>
      </c>
      <c r="P63" s="7">
        <v>5</v>
      </c>
      <c r="Q63" s="7">
        <v>0</v>
      </c>
      <c r="R63" s="7">
        <v>10000</v>
      </c>
      <c r="S63" s="7">
        <v>-3000</v>
      </c>
      <c r="T63" s="7">
        <v>1</v>
      </c>
      <c r="U63" s="7">
        <v>100</v>
      </c>
      <c r="V63" s="7" t="s">
        <v>145</v>
      </c>
      <c r="W63" s="7" t="s">
        <v>144</v>
      </c>
      <c r="X63" s="7" t="s">
        <v>189</v>
      </c>
      <c r="Y63" s="14">
        <v>201002011</v>
      </c>
      <c r="Z63" s="14">
        <v>0</v>
      </c>
      <c r="AA63" s="7">
        <v>1</v>
      </c>
      <c r="AB63" s="4" t="s">
        <v>157</v>
      </c>
      <c r="AC63" s="7">
        <v>10000</v>
      </c>
      <c r="AD63" s="7">
        <v>10000</v>
      </c>
      <c r="AE63" s="7">
        <v>0</v>
      </c>
      <c r="AF63" s="4">
        <v>40</v>
      </c>
      <c r="AG63" s="4">
        <v>3000</v>
      </c>
      <c r="AH63" s="4">
        <v>6000</v>
      </c>
      <c r="AI63" s="4">
        <v>0</v>
      </c>
      <c r="AJ63" s="4">
        <v>0</v>
      </c>
    </row>
    <row r="64" spans="1:36" x14ac:dyDescent="0.2">
      <c r="A64" s="7">
        <v>999003</v>
      </c>
      <c r="B64" s="7">
        <v>1</v>
      </c>
      <c r="C64" s="7" t="s">
        <v>203</v>
      </c>
      <c r="D64" s="7"/>
      <c r="E64" s="4" t="s">
        <v>153</v>
      </c>
      <c r="F64" s="7">
        <v>1000102</v>
      </c>
      <c r="G64" s="7">
        <v>1</v>
      </c>
      <c r="H64" s="7">
        <v>1</v>
      </c>
      <c r="I64" s="7" t="s">
        <v>18</v>
      </c>
      <c r="J64" s="7">
        <v>0</v>
      </c>
      <c r="K64" s="7" t="s">
        <v>187</v>
      </c>
      <c r="L64" s="7">
        <v>800001041</v>
      </c>
      <c r="M64" s="7">
        <v>1</v>
      </c>
      <c r="N64" s="7">
        <v>100</v>
      </c>
      <c r="O64" s="7">
        <v>0</v>
      </c>
      <c r="P64" s="7">
        <v>5</v>
      </c>
      <c r="Q64" s="7">
        <v>0</v>
      </c>
      <c r="R64" s="7">
        <v>10</v>
      </c>
      <c r="S64" s="7">
        <v>-3000</v>
      </c>
      <c r="T64" s="7">
        <v>1</v>
      </c>
      <c r="U64" s="7">
        <v>100</v>
      </c>
      <c r="V64" s="7" t="s">
        <v>145</v>
      </c>
      <c r="W64" s="7" t="s">
        <v>144</v>
      </c>
      <c r="X64" s="7" t="s">
        <v>189</v>
      </c>
      <c r="Y64" s="14">
        <v>201002011</v>
      </c>
      <c r="Z64" s="14">
        <v>0</v>
      </c>
      <c r="AA64" s="7">
        <v>1</v>
      </c>
      <c r="AB64" s="4" t="s">
        <v>157</v>
      </c>
      <c r="AC64" s="7">
        <v>10000</v>
      </c>
      <c r="AD64" s="7">
        <v>10000</v>
      </c>
      <c r="AE64" s="7">
        <v>0</v>
      </c>
      <c r="AF64" s="4">
        <v>40</v>
      </c>
      <c r="AG64" s="4">
        <v>3000</v>
      </c>
      <c r="AH64" s="4">
        <v>6000</v>
      </c>
      <c r="AI64" s="4">
        <v>0</v>
      </c>
      <c r="AJ64" s="4">
        <v>0</v>
      </c>
    </row>
    <row r="65" spans="1:36" x14ac:dyDescent="0.2">
      <c r="A65" s="7">
        <v>999004</v>
      </c>
      <c r="B65" s="7">
        <v>1</v>
      </c>
      <c r="C65" s="7" t="s">
        <v>202</v>
      </c>
      <c r="D65" s="7"/>
      <c r="E65" s="4" t="s">
        <v>153</v>
      </c>
      <c r="F65" s="7">
        <v>1000102</v>
      </c>
      <c r="G65" s="7">
        <v>1</v>
      </c>
      <c r="H65" s="7">
        <v>1</v>
      </c>
      <c r="I65" s="7" t="s">
        <v>18</v>
      </c>
      <c r="J65" s="7">
        <v>0</v>
      </c>
      <c r="K65" s="7" t="s">
        <v>185</v>
      </c>
      <c r="L65" s="7">
        <v>800001021</v>
      </c>
      <c r="M65" s="7">
        <v>1</v>
      </c>
      <c r="N65" s="7">
        <v>100</v>
      </c>
      <c r="O65" s="7">
        <v>0</v>
      </c>
      <c r="P65" s="7">
        <v>5</v>
      </c>
      <c r="Q65" s="7">
        <v>0</v>
      </c>
      <c r="R65" s="7">
        <v>10</v>
      </c>
      <c r="S65" s="7">
        <v>-3000</v>
      </c>
      <c r="T65" s="7">
        <v>1</v>
      </c>
      <c r="U65" s="7">
        <v>100</v>
      </c>
      <c r="V65" s="7" t="s">
        <v>145</v>
      </c>
      <c r="W65" s="7" t="s">
        <v>144</v>
      </c>
      <c r="X65" s="7" t="s">
        <v>189</v>
      </c>
      <c r="Y65" s="14">
        <v>201002011</v>
      </c>
      <c r="Z65" s="14">
        <v>0</v>
      </c>
      <c r="AA65" s="7">
        <v>1</v>
      </c>
      <c r="AB65" s="4" t="s">
        <v>157</v>
      </c>
      <c r="AC65" s="7">
        <v>10000</v>
      </c>
      <c r="AD65" s="7">
        <v>10000</v>
      </c>
      <c r="AE65" s="7">
        <v>0</v>
      </c>
      <c r="AF65" s="4">
        <v>40</v>
      </c>
      <c r="AG65" s="4">
        <v>3000</v>
      </c>
      <c r="AH65" s="4">
        <v>6000</v>
      </c>
      <c r="AI65" s="4">
        <v>0</v>
      </c>
      <c r="AJ65" s="4">
        <v>0</v>
      </c>
    </row>
    <row r="66" spans="1:36" ht="14.25" x14ac:dyDescent="0.2">
      <c r="A66" s="17">
        <v>9999001</v>
      </c>
      <c r="B66" s="17">
        <v>21</v>
      </c>
      <c r="C66" s="17" t="s">
        <v>210</v>
      </c>
      <c r="D66" s="17" t="s">
        <v>65</v>
      </c>
      <c r="E66" s="17" t="s">
        <v>153</v>
      </c>
      <c r="F66" s="17">
        <v>1000102</v>
      </c>
      <c r="G66" s="17">
        <v>12</v>
      </c>
      <c r="H66" s="17">
        <v>1</v>
      </c>
      <c r="I66" s="18">
        <v>0</v>
      </c>
      <c r="J66" s="17">
        <v>0</v>
      </c>
      <c r="K66" s="17" t="s">
        <v>211</v>
      </c>
      <c r="L66" s="17">
        <v>800001011</v>
      </c>
      <c r="M66" s="17">
        <v>12</v>
      </c>
      <c r="N66" s="17">
        <v>70</v>
      </c>
      <c r="O66" s="17">
        <v>0</v>
      </c>
      <c r="P66" s="17">
        <v>7</v>
      </c>
      <c r="Q66" s="17">
        <v>0</v>
      </c>
      <c r="R66" s="17">
        <v>300</v>
      </c>
      <c r="S66" s="17">
        <v>-3000</v>
      </c>
      <c r="T66" s="17">
        <v>1</v>
      </c>
      <c r="U66" s="17">
        <v>0</v>
      </c>
      <c r="V66" s="17" t="s">
        <v>145</v>
      </c>
      <c r="W66" s="17" t="s">
        <v>144</v>
      </c>
      <c r="X66" s="17" t="s">
        <v>201</v>
      </c>
      <c r="Y66" s="19">
        <v>201001011</v>
      </c>
      <c r="Z66" s="19">
        <v>0</v>
      </c>
      <c r="AA66" s="17">
        <v>1</v>
      </c>
      <c r="AB66" s="17" t="s">
        <v>179</v>
      </c>
      <c r="AC66" s="17">
        <v>10000</v>
      </c>
      <c r="AD66" s="17">
        <v>10000</v>
      </c>
      <c r="AE66" s="17">
        <v>25010001</v>
      </c>
      <c r="AF66" s="17">
        <v>40</v>
      </c>
      <c r="AG66" s="17">
        <v>10000</v>
      </c>
      <c r="AH66" s="17">
        <v>10000</v>
      </c>
      <c r="AI66" s="17">
        <v>50</v>
      </c>
      <c r="AJ66" s="17">
        <v>0</v>
      </c>
    </row>
    <row r="67" spans="1:36" ht="14.25" x14ac:dyDescent="0.2">
      <c r="A67" s="17">
        <v>9999002</v>
      </c>
      <c r="B67" s="17">
        <v>21</v>
      </c>
      <c r="C67" s="17" t="s">
        <v>212</v>
      </c>
      <c r="D67" s="17" t="s">
        <v>67</v>
      </c>
      <c r="E67" s="17" t="s">
        <v>153</v>
      </c>
      <c r="F67" s="17">
        <v>1000102</v>
      </c>
      <c r="G67" s="17">
        <v>12</v>
      </c>
      <c r="H67" s="17">
        <v>1</v>
      </c>
      <c r="I67" s="18">
        <v>0</v>
      </c>
      <c r="J67" s="17">
        <v>0</v>
      </c>
      <c r="K67" s="17" t="s">
        <v>185</v>
      </c>
      <c r="L67" s="17">
        <v>800001021</v>
      </c>
      <c r="M67" s="17">
        <v>12</v>
      </c>
      <c r="N67" s="17">
        <v>200</v>
      </c>
      <c r="O67" s="17">
        <v>0</v>
      </c>
      <c r="P67" s="17">
        <v>15</v>
      </c>
      <c r="Q67" s="17">
        <v>2</v>
      </c>
      <c r="R67" s="17">
        <v>300</v>
      </c>
      <c r="S67" s="17">
        <v>-3000</v>
      </c>
      <c r="T67" s="17">
        <v>1</v>
      </c>
      <c r="U67" s="17">
        <v>250</v>
      </c>
      <c r="V67" s="17" t="s">
        <v>145</v>
      </c>
      <c r="W67" s="17" t="s">
        <v>144</v>
      </c>
      <c r="X67" s="17" t="s">
        <v>201</v>
      </c>
      <c r="Y67" s="19">
        <v>201002011</v>
      </c>
      <c r="Z67" s="19">
        <v>0</v>
      </c>
      <c r="AA67" s="17">
        <v>1</v>
      </c>
      <c r="AB67" s="17" t="s">
        <v>197</v>
      </c>
      <c r="AC67" s="17">
        <v>10000</v>
      </c>
      <c r="AD67" s="17">
        <v>10000</v>
      </c>
      <c r="AE67" s="17">
        <v>25010001</v>
      </c>
      <c r="AF67" s="17">
        <v>40</v>
      </c>
      <c r="AG67" s="17">
        <v>3000</v>
      </c>
      <c r="AH67" s="17">
        <v>10000</v>
      </c>
      <c r="AI67" s="17">
        <v>10</v>
      </c>
      <c r="AJ67" s="17">
        <v>0</v>
      </c>
    </row>
    <row r="68" spans="1:36" ht="14.25" x14ac:dyDescent="0.2">
      <c r="A68" s="17">
        <v>9999004</v>
      </c>
      <c r="B68" s="17">
        <v>21</v>
      </c>
      <c r="C68" s="17" t="s">
        <v>213</v>
      </c>
      <c r="D68" s="17" t="s">
        <v>68</v>
      </c>
      <c r="E68" s="17" t="s">
        <v>153</v>
      </c>
      <c r="F68" s="17">
        <v>1000010</v>
      </c>
      <c r="G68" s="17">
        <v>12</v>
      </c>
      <c r="H68" s="17">
        <v>1</v>
      </c>
      <c r="I68" s="18">
        <v>0</v>
      </c>
      <c r="J68" s="17">
        <v>0</v>
      </c>
      <c r="K68" s="17" t="s">
        <v>214</v>
      </c>
      <c r="L68" s="17">
        <v>800001041</v>
      </c>
      <c r="M68" s="17">
        <v>12</v>
      </c>
      <c r="N68" s="17">
        <v>70</v>
      </c>
      <c r="O68" s="17">
        <v>0</v>
      </c>
      <c r="P68" s="17">
        <v>9</v>
      </c>
      <c r="Q68" s="17">
        <v>0</v>
      </c>
      <c r="R68" s="17">
        <v>300</v>
      </c>
      <c r="S68" s="17">
        <v>-3000</v>
      </c>
      <c r="T68" s="17">
        <v>1</v>
      </c>
      <c r="U68" s="17">
        <v>0</v>
      </c>
      <c r="V68" s="17" t="s">
        <v>145</v>
      </c>
      <c r="W68" s="17" t="s">
        <v>144</v>
      </c>
      <c r="X68" s="17" t="s">
        <v>201</v>
      </c>
      <c r="Y68" s="19">
        <v>201004011</v>
      </c>
      <c r="Z68" s="19">
        <v>0</v>
      </c>
      <c r="AA68" s="17">
        <v>1</v>
      </c>
      <c r="AB68" s="17" t="s">
        <v>179</v>
      </c>
      <c r="AC68" s="17">
        <v>10000</v>
      </c>
      <c r="AD68" s="17">
        <v>10000</v>
      </c>
      <c r="AE68" s="17">
        <v>25010001</v>
      </c>
      <c r="AF68" s="17">
        <v>40</v>
      </c>
      <c r="AG68" s="17">
        <v>10000</v>
      </c>
      <c r="AH68" s="17">
        <v>10000</v>
      </c>
      <c r="AI68" s="17">
        <v>80</v>
      </c>
      <c r="AJ68" s="17">
        <v>10</v>
      </c>
    </row>
    <row r="69" spans="1:36" ht="14.25" x14ac:dyDescent="0.2">
      <c r="A69" s="17">
        <v>9999005</v>
      </c>
      <c r="B69" s="17">
        <v>21</v>
      </c>
      <c r="C69" s="17" t="s">
        <v>215</v>
      </c>
      <c r="D69" s="17" t="s">
        <v>69</v>
      </c>
      <c r="E69" s="17" t="s">
        <v>153</v>
      </c>
      <c r="F69" s="17">
        <v>1000010</v>
      </c>
      <c r="G69" s="17">
        <v>12</v>
      </c>
      <c r="H69" s="17">
        <v>1</v>
      </c>
      <c r="I69" s="18">
        <v>0</v>
      </c>
      <c r="J69" s="17">
        <v>0</v>
      </c>
      <c r="K69" s="17" t="s">
        <v>216</v>
      </c>
      <c r="L69" s="17">
        <v>800014011</v>
      </c>
      <c r="M69" s="17">
        <v>12</v>
      </c>
      <c r="N69" s="17">
        <v>125</v>
      </c>
      <c r="O69" s="17">
        <v>0</v>
      </c>
      <c r="P69" s="17">
        <v>8</v>
      </c>
      <c r="Q69" s="17">
        <v>1</v>
      </c>
      <c r="R69" s="17">
        <v>300</v>
      </c>
      <c r="S69" s="17">
        <v>-3000</v>
      </c>
      <c r="T69" s="17">
        <v>1</v>
      </c>
      <c r="U69" s="17">
        <v>0</v>
      </c>
      <c r="V69" s="17" t="s">
        <v>145</v>
      </c>
      <c r="W69" s="17" t="s">
        <v>144</v>
      </c>
      <c r="X69" s="17" t="s">
        <v>201</v>
      </c>
      <c r="Y69" s="19">
        <v>214001011</v>
      </c>
      <c r="Z69" s="19">
        <v>0</v>
      </c>
      <c r="AA69" s="17">
        <v>1</v>
      </c>
      <c r="AB69" s="17" t="s">
        <v>198</v>
      </c>
      <c r="AC69" s="17">
        <v>10000</v>
      </c>
      <c r="AD69" s="17">
        <v>10000</v>
      </c>
      <c r="AE69" s="17">
        <v>25010001</v>
      </c>
      <c r="AF69" s="17">
        <v>40</v>
      </c>
      <c r="AG69" s="17">
        <v>10000</v>
      </c>
      <c r="AH69" s="17">
        <v>10000</v>
      </c>
      <c r="AI69" s="17">
        <v>40</v>
      </c>
      <c r="AJ69" s="17">
        <v>0</v>
      </c>
    </row>
    <row r="70" spans="1:36" ht="14.25" x14ac:dyDescent="0.2">
      <c r="A70" s="17">
        <v>9999013</v>
      </c>
      <c r="B70" s="17">
        <v>21</v>
      </c>
      <c r="C70" s="17" t="s">
        <v>82</v>
      </c>
      <c r="D70" s="17" t="s">
        <v>83</v>
      </c>
      <c r="E70" s="17" t="s">
        <v>153</v>
      </c>
      <c r="F70" s="17">
        <v>1000011</v>
      </c>
      <c r="G70" s="17">
        <v>12</v>
      </c>
      <c r="H70" s="17">
        <v>1</v>
      </c>
      <c r="I70" s="18">
        <v>0</v>
      </c>
      <c r="J70" s="17">
        <v>0</v>
      </c>
      <c r="K70" s="17" t="s">
        <v>217</v>
      </c>
      <c r="L70" s="17">
        <v>800003021</v>
      </c>
      <c r="M70" s="17">
        <v>12</v>
      </c>
      <c r="N70" s="17">
        <v>500</v>
      </c>
      <c r="O70" s="17">
        <v>0</v>
      </c>
      <c r="P70" s="17">
        <v>30</v>
      </c>
      <c r="Q70" s="17">
        <v>4</v>
      </c>
      <c r="R70" s="17">
        <v>1760</v>
      </c>
      <c r="S70" s="17">
        <v>-3000</v>
      </c>
      <c r="T70" s="17">
        <v>1</v>
      </c>
      <c r="U70" s="17">
        <v>30000</v>
      </c>
      <c r="V70" s="17" t="s">
        <v>145</v>
      </c>
      <c r="W70" s="17" t="s">
        <v>144</v>
      </c>
      <c r="X70" s="17" t="s">
        <v>200</v>
      </c>
      <c r="Y70" s="19">
        <v>203002011</v>
      </c>
      <c r="Z70" s="19">
        <v>0</v>
      </c>
      <c r="AA70" s="17">
        <v>1</v>
      </c>
      <c r="AB70" s="17" t="s">
        <v>199</v>
      </c>
      <c r="AC70" s="17">
        <v>10000</v>
      </c>
      <c r="AD70" s="17">
        <v>10000</v>
      </c>
      <c r="AE70" s="17">
        <v>25010001</v>
      </c>
      <c r="AF70" s="17">
        <v>40</v>
      </c>
      <c r="AG70" s="17">
        <v>1000</v>
      </c>
      <c r="AH70" s="17">
        <v>5000</v>
      </c>
      <c r="AI70" s="17">
        <v>2</v>
      </c>
      <c r="AJ70" s="17">
        <v>0</v>
      </c>
    </row>
  </sheetData>
  <sortState xmlns:xlrd2="http://schemas.microsoft.com/office/spreadsheetml/2017/richdata2" ref="A5:AD61">
    <sortCondition ref="A5:A61"/>
  </sortState>
  <phoneticPr fontId="2" type="noConversion"/>
  <conditionalFormatting sqref="A1:A65 A71:A1048576">
    <cfRule type="duplicateValues" dxfId="0" priority="3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BA41-0095-4A05-9010-CE7F69065EB5}">
  <sheetPr codeName="Sheet4"/>
  <dimension ref="I1:S28"/>
  <sheetViews>
    <sheetView topLeftCell="F1" workbookViewId="0">
      <selection activeCell="I3" sqref="I3"/>
    </sheetView>
  </sheetViews>
  <sheetFormatPr defaultColWidth="9" defaultRowHeight="13.5" x14ac:dyDescent="0.2"/>
  <cols>
    <col min="1" max="16384" width="9" style="2"/>
  </cols>
  <sheetData>
    <row r="1" spans="9:19" x14ac:dyDescent="0.15">
      <c r="I1" s="2">
        <v>1</v>
      </c>
      <c r="J1" s="2">
        <v>10101</v>
      </c>
      <c r="K1" s="3">
        <v>10192</v>
      </c>
      <c r="L1" s="3">
        <v>65750</v>
      </c>
      <c r="M1" s="2">
        <f t="shared" ref="M1:M28" si="0">VLOOKUP(I1,$Q$1:$S$10,2,FALSE)</f>
        <v>10000</v>
      </c>
      <c r="N1" s="2">
        <f t="shared" ref="N1:N28" si="1">VLOOKUP(I1,$Q$1:$S$10,3,FALSE)</f>
        <v>65000</v>
      </c>
      <c r="Q1" s="2">
        <v>1</v>
      </c>
      <c r="R1" s="2">
        <v>10000</v>
      </c>
      <c r="S1" s="2">
        <v>65000</v>
      </c>
    </row>
    <row r="2" spans="9:19" x14ac:dyDescent="0.15">
      <c r="I2" s="2">
        <v>2</v>
      </c>
      <c r="J2" s="2">
        <v>20101</v>
      </c>
      <c r="K2" s="3">
        <v>10192</v>
      </c>
      <c r="L2" s="3">
        <v>85470</v>
      </c>
      <c r="M2" s="2">
        <f t="shared" si="0"/>
        <v>10000</v>
      </c>
      <c r="N2" s="2">
        <f t="shared" si="1"/>
        <v>85000</v>
      </c>
      <c r="Q2" s="2">
        <v>2</v>
      </c>
      <c r="R2" s="2">
        <v>10000</v>
      </c>
      <c r="S2" s="2">
        <v>85000</v>
      </c>
    </row>
    <row r="3" spans="9:19" x14ac:dyDescent="0.15">
      <c r="I3" s="2">
        <v>2</v>
      </c>
      <c r="J3" s="2">
        <v>20104</v>
      </c>
      <c r="K3" s="3">
        <v>10192</v>
      </c>
      <c r="L3" s="3">
        <v>85470</v>
      </c>
      <c r="M3" s="2">
        <f t="shared" si="0"/>
        <v>10000</v>
      </c>
      <c r="N3" s="2">
        <f t="shared" si="1"/>
        <v>85000</v>
      </c>
      <c r="Q3" s="2">
        <v>3</v>
      </c>
      <c r="R3" s="2">
        <v>10000</v>
      </c>
      <c r="S3" s="2">
        <v>110000</v>
      </c>
    </row>
    <row r="4" spans="9:19" x14ac:dyDescent="0.15">
      <c r="I4" s="2">
        <v>3</v>
      </c>
      <c r="J4" s="2">
        <v>30102</v>
      </c>
      <c r="K4" s="3">
        <v>10192</v>
      </c>
      <c r="L4" s="3">
        <v>111110</v>
      </c>
      <c r="M4" s="2">
        <f t="shared" si="0"/>
        <v>10000</v>
      </c>
      <c r="N4" s="2">
        <f t="shared" si="1"/>
        <v>110000</v>
      </c>
      <c r="Q4" s="2">
        <v>4</v>
      </c>
      <c r="R4" s="2">
        <v>10000</v>
      </c>
      <c r="S4" s="2">
        <v>140000</v>
      </c>
    </row>
    <row r="5" spans="9:19" x14ac:dyDescent="0.15">
      <c r="I5" s="2">
        <v>3</v>
      </c>
      <c r="J5" s="2">
        <v>30104</v>
      </c>
      <c r="K5" s="3">
        <v>10192</v>
      </c>
      <c r="L5" s="3">
        <v>111110</v>
      </c>
      <c r="M5" s="2">
        <f t="shared" si="0"/>
        <v>10000</v>
      </c>
      <c r="N5" s="2">
        <f t="shared" si="1"/>
        <v>110000</v>
      </c>
      <c r="Q5" s="2">
        <v>5</v>
      </c>
      <c r="R5" s="2">
        <v>15000</v>
      </c>
      <c r="S5" s="2">
        <v>180000</v>
      </c>
    </row>
    <row r="6" spans="9:19" x14ac:dyDescent="0.15">
      <c r="I6" s="2">
        <v>4</v>
      </c>
      <c r="J6" s="2">
        <v>40101</v>
      </c>
      <c r="K6" s="3">
        <v>10192</v>
      </c>
      <c r="L6" s="3">
        <v>153840</v>
      </c>
      <c r="M6" s="2">
        <f t="shared" si="0"/>
        <v>10000</v>
      </c>
      <c r="N6" s="2">
        <f t="shared" si="1"/>
        <v>140000</v>
      </c>
      <c r="Q6" s="2">
        <v>6</v>
      </c>
      <c r="R6" s="2">
        <v>25000</v>
      </c>
      <c r="S6" s="2">
        <v>350000</v>
      </c>
    </row>
    <row r="7" spans="9:19" x14ac:dyDescent="0.15">
      <c r="I7" s="2">
        <v>4</v>
      </c>
      <c r="J7" s="2">
        <v>40104</v>
      </c>
      <c r="K7" s="3">
        <v>10192</v>
      </c>
      <c r="L7" s="3">
        <v>153840</v>
      </c>
      <c r="M7" s="2">
        <f t="shared" si="0"/>
        <v>10000</v>
      </c>
      <c r="N7" s="2">
        <f t="shared" si="1"/>
        <v>140000</v>
      </c>
      <c r="Q7" s="2">
        <v>7</v>
      </c>
      <c r="R7" s="2">
        <v>40000</v>
      </c>
      <c r="S7" s="2">
        <v>500000</v>
      </c>
    </row>
    <row r="8" spans="9:19" x14ac:dyDescent="0.15">
      <c r="I8" s="2">
        <v>5</v>
      </c>
      <c r="J8" s="2">
        <v>50101</v>
      </c>
      <c r="K8" s="3">
        <v>23096</v>
      </c>
      <c r="L8" s="3">
        <v>213650</v>
      </c>
      <c r="M8" s="2">
        <f t="shared" si="0"/>
        <v>15000</v>
      </c>
      <c r="N8" s="2">
        <f t="shared" si="1"/>
        <v>180000</v>
      </c>
      <c r="Q8" s="2">
        <v>8</v>
      </c>
      <c r="R8" s="2">
        <v>55000</v>
      </c>
      <c r="S8" s="2">
        <v>800000</v>
      </c>
    </row>
    <row r="9" spans="9:19" x14ac:dyDescent="0.15">
      <c r="I9" s="2">
        <v>5</v>
      </c>
      <c r="J9" s="2">
        <v>50104</v>
      </c>
      <c r="K9" s="3">
        <v>23096</v>
      </c>
      <c r="L9" s="3">
        <v>213650</v>
      </c>
      <c r="M9" s="2">
        <f t="shared" si="0"/>
        <v>15000</v>
      </c>
      <c r="N9" s="2">
        <f t="shared" si="1"/>
        <v>180000</v>
      </c>
      <c r="Q9" s="2">
        <v>9</v>
      </c>
      <c r="R9" s="2">
        <v>70000</v>
      </c>
      <c r="S9" s="2">
        <v>1400000</v>
      </c>
    </row>
    <row r="10" spans="9:19" x14ac:dyDescent="0.15">
      <c r="I10" s="2">
        <v>6</v>
      </c>
      <c r="J10" s="2">
        <v>60101</v>
      </c>
      <c r="K10" s="3">
        <v>34124</v>
      </c>
      <c r="L10" s="3">
        <v>438210</v>
      </c>
      <c r="M10" s="2">
        <f t="shared" si="0"/>
        <v>25000</v>
      </c>
      <c r="N10" s="2">
        <f t="shared" si="1"/>
        <v>350000</v>
      </c>
      <c r="Q10" s="2">
        <v>10</v>
      </c>
      <c r="R10" s="2">
        <v>90000</v>
      </c>
      <c r="S10" s="2">
        <v>3000000</v>
      </c>
    </row>
    <row r="11" spans="9:19" x14ac:dyDescent="0.15">
      <c r="I11" s="2">
        <v>6</v>
      </c>
      <c r="J11" s="2">
        <v>60102</v>
      </c>
      <c r="K11" s="3">
        <v>34124</v>
      </c>
      <c r="L11" s="3">
        <v>438210</v>
      </c>
      <c r="M11" s="2">
        <f t="shared" si="0"/>
        <v>25000</v>
      </c>
      <c r="N11" s="2">
        <f t="shared" si="1"/>
        <v>350000</v>
      </c>
    </row>
    <row r="12" spans="9:19" x14ac:dyDescent="0.15">
      <c r="I12" s="2">
        <v>6</v>
      </c>
      <c r="J12" s="2">
        <v>60104</v>
      </c>
      <c r="K12" s="3">
        <v>34124</v>
      </c>
      <c r="L12" s="3">
        <v>438210</v>
      </c>
      <c r="M12" s="2">
        <f t="shared" si="0"/>
        <v>25000</v>
      </c>
      <c r="N12" s="2">
        <f t="shared" si="1"/>
        <v>350000</v>
      </c>
    </row>
    <row r="13" spans="9:19" x14ac:dyDescent="0.15">
      <c r="I13" s="2">
        <v>7</v>
      </c>
      <c r="J13" s="2">
        <v>70101</v>
      </c>
      <c r="K13" s="3">
        <v>51097</v>
      </c>
      <c r="L13" s="3">
        <v>579690</v>
      </c>
      <c r="M13" s="2">
        <f t="shared" si="0"/>
        <v>40000</v>
      </c>
      <c r="N13" s="2">
        <f t="shared" si="1"/>
        <v>500000</v>
      </c>
    </row>
    <row r="14" spans="9:19" x14ac:dyDescent="0.15">
      <c r="I14" s="2">
        <v>7</v>
      </c>
      <c r="J14" s="2">
        <v>70102</v>
      </c>
      <c r="K14" s="3">
        <v>51097</v>
      </c>
      <c r="L14" s="3">
        <v>579690</v>
      </c>
      <c r="M14" s="2">
        <f t="shared" si="0"/>
        <v>40000</v>
      </c>
      <c r="N14" s="2">
        <f t="shared" si="1"/>
        <v>500000</v>
      </c>
    </row>
    <row r="15" spans="9:19" x14ac:dyDescent="0.15">
      <c r="I15" s="2">
        <v>7</v>
      </c>
      <c r="J15" s="2">
        <v>70104</v>
      </c>
      <c r="K15" s="3">
        <v>51097</v>
      </c>
      <c r="L15" s="3">
        <v>579690</v>
      </c>
      <c r="M15" s="2">
        <f t="shared" si="0"/>
        <v>40000</v>
      </c>
      <c r="N15" s="2">
        <f t="shared" si="1"/>
        <v>500000</v>
      </c>
    </row>
    <row r="16" spans="9:19" x14ac:dyDescent="0.15">
      <c r="I16" s="2">
        <v>7</v>
      </c>
      <c r="J16" s="2">
        <v>70114</v>
      </c>
      <c r="K16" s="3">
        <v>51097</v>
      </c>
      <c r="L16" s="3">
        <v>579690</v>
      </c>
      <c r="M16" s="2">
        <f t="shared" si="0"/>
        <v>40000</v>
      </c>
      <c r="N16" s="2">
        <f t="shared" si="1"/>
        <v>500000</v>
      </c>
    </row>
    <row r="17" spans="9:14" x14ac:dyDescent="0.15">
      <c r="I17" s="2">
        <v>8</v>
      </c>
      <c r="J17" s="2">
        <v>80101</v>
      </c>
      <c r="K17" s="3">
        <v>64706</v>
      </c>
      <c r="L17" s="3">
        <v>1027570</v>
      </c>
      <c r="M17" s="2">
        <f t="shared" si="0"/>
        <v>55000</v>
      </c>
      <c r="N17" s="2">
        <f t="shared" si="1"/>
        <v>800000</v>
      </c>
    </row>
    <row r="18" spans="9:14" x14ac:dyDescent="0.15">
      <c r="I18" s="2">
        <v>8</v>
      </c>
      <c r="J18" s="2">
        <v>80103</v>
      </c>
      <c r="K18" s="3">
        <v>64706</v>
      </c>
      <c r="L18" s="3">
        <v>1027570</v>
      </c>
      <c r="M18" s="2">
        <f t="shared" si="0"/>
        <v>55000</v>
      </c>
      <c r="N18" s="2">
        <f t="shared" si="1"/>
        <v>800000</v>
      </c>
    </row>
    <row r="19" spans="9:14" x14ac:dyDescent="0.15">
      <c r="I19" s="2">
        <v>8</v>
      </c>
      <c r="J19" s="2">
        <v>80104</v>
      </c>
      <c r="K19" s="3">
        <v>64706</v>
      </c>
      <c r="L19" s="3">
        <v>1027570</v>
      </c>
      <c r="M19" s="2">
        <f t="shared" si="0"/>
        <v>55000</v>
      </c>
      <c r="N19" s="2">
        <f t="shared" si="1"/>
        <v>800000</v>
      </c>
    </row>
    <row r="20" spans="9:14" x14ac:dyDescent="0.15">
      <c r="I20" s="2">
        <v>8</v>
      </c>
      <c r="J20" s="2">
        <v>80114</v>
      </c>
      <c r="K20" s="3">
        <v>64706</v>
      </c>
      <c r="L20" s="3">
        <v>1027570</v>
      </c>
      <c r="M20" s="2">
        <f t="shared" si="0"/>
        <v>55000</v>
      </c>
      <c r="N20" s="2">
        <f t="shared" si="1"/>
        <v>800000</v>
      </c>
    </row>
    <row r="21" spans="9:14" x14ac:dyDescent="0.15">
      <c r="I21" s="2">
        <v>9</v>
      </c>
      <c r="J21" s="2">
        <v>90102</v>
      </c>
      <c r="K21" s="3">
        <v>80251</v>
      </c>
      <c r="L21" s="3">
        <v>1764410</v>
      </c>
      <c r="M21" s="2">
        <f t="shared" si="0"/>
        <v>70000</v>
      </c>
      <c r="N21" s="2">
        <f t="shared" si="1"/>
        <v>1400000</v>
      </c>
    </row>
    <row r="22" spans="9:14" x14ac:dyDescent="0.15">
      <c r="I22" s="2">
        <v>9</v>
      </c>
      <c r="J22" s="2">
        <v>90103</v>
      </c>
      <c r="K22" s="3">
        <v>80251</v>
      </c>
      <c r="L22" s="3">
        <v>1764410</v>
      </c>
      <c r="M22" s="2">
        <f t="shared" si="0"/>
        <v>70000</v>
      </c>
      <c r="N22" s="2">
        <f t="shared" si="1"/>
        <v>1400000</v>
      </c>
    </row>
    <row r="23" spans="9:14" x14ac:dyDescent="0.15">
      <c r="I23" s="2">
        <v>9</v>
      </c>
      <c r="J23" s="2">
        <v>90105</v>
      </c>
      <c r="K23" s="3">
        <v>80251</v>
      </c>
      <c r="L23" s="3">
        <v>1764410</v>
      </c>
      <c r="M23" s="2">
        <f t="shared" si="0"/>
        <v>70000</v>
      </c>
      <c r="N23" s="2">
        <f t="shared" si="1"/>
        <v>1400000</v>
      </c>
    </row>
    <row r="24" spans="9:14" x14ac:dyDescent="0.15">
      <c r="I24" s="2">
        <v>9</v>
      </c>
      <c r="J24" s="2">
        <v>90113</v>
      </c>
      <c r="K24" s="3">
        <v>80251</v>
      </c>
      <c r="L24" s="3">
        <v>1764410</v>
      </c>
      <c r="M24" s="2">
        <f t="shared" si="0"/>
        <v>70000</v>
      </c>
      <c r="N24" s="2">
        <f t="shared" si="1"/>
        <v>1400000</v>
      </c>
    </row>
    <row r="25" spans="9:14" x14ac:dyDescent="0.15">
      <c r="I25" s="2">
        <v>10</v>
      </c>
      <c r="J25" s="2">
        <v>100101</v>
      </c>
      <c r="K25" s="3">
        <v>105208</v>
      </c>
      <c r="L25" s="3">
        <v>3304130</v>
      </c>
      <c r="M25" s="2">
        <f t="shared" si="0"/>
        <v>90000</v>
      </c>
      <c r="N25" s="2">
        <f t="shared" si="1"/>
        <v>3000000</v>
      </c>
    </row>
    <row r="26" spans="9:14" x14ac:dyDescent="0.15">
      <c r="I26" s="2">
        <v>10</v>
      </c>
      <c r="J26" s="2">
        <v>100103</v>
      </c>
      <c r="K26" s="3">
        <v>105208</v>
      </c>
      <c r="L26" s="3">
        <v>3304130</v>
      </c>
      <c r="M26" s="2">
        <f t="shared" si="0"/>
        <v>90000</v>
      </c>
      <c r="N26" s="2">
        <f t="shared" si="1"/>
        <v>3000000</v>
      </c>
    </row>
    <row r="27" spans="9:14" x14ac:dyDescent="0.15">
      <c r="I27" s="2">
        <v>10</v>
      </c>
      <c r="J27" s="2">
        <v>100104</v>
      </c>
      <c r="K27" s="3">
        <v>105208</v>
      </c>
      <c r="L27" s="3">
        <v>3304130</v>
      </c>
      <c r="M27" s="2">
        <f t="shared" si="0"/>
        <v>90000</v>
      </c>
      <c r="N27" s="2">
        <f t="shared" si="1"/>
        <v>3000000</v>
      </c>
    </row>
    <row r="28" spans="9:14" x14ac:dyDescent="0.15">
      <c r="I28" s="2">
        <v>10</v>
      </c>
      <c r="J28" s="2">
        <v>100114</v>
      </c>
      <c r="K28" s="3">
        <v>105208</v>
      </c>
      <c r="L28" s="3">
        <v>3304130</v>
      </c>
      <c r="M28" s="2">
        <f t="shared" si="0"/>
        <v>90000</v>
      </c>
      <c r="N28" s="2">
        <f t="shared" si="1"/>
        <v>3000000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A6:O22"/>
  <sheetViews>
    <sheetView workbookViewId="0">
      <selection activeCell="J11" sqref="J11"/>
    </sheetView>
  </sheetViews>
  <sheetFormatPr defaultColWidth="9" defaultRowHeight="13.5" x14ac:dyDescent="0.15"/>
  <cols>
    <col min="1" max="1" width="9" style="1"/>
    <col min="2" max="2" width="8.625" style="1" bestFit="1" customWidth="1"/>
    <col min="3" max="3" width="9.5" style="1" bestFit="1" customWidth="1"/>
    <col min="4" max="4" width="8.125" style="1" bestFit="1" customWidth="1"/>
    <col min="5" max="5" width="7.125" style="1" bestFit="1" customWidth="1"/>
    <col min="6" max="6" width="2.5" style="1" bestFit="1" customWidth="1"/>
    <col min="7" max="7" width="14.25" style="1" bestFit="1" customWidth="1"/>
    <col min="8" max="9" width="9" style="1"/>
    <col min="10" max="10" width="7.5" style="1" bestFit="1" customWidth="1"/>
    <col min="11" max="11" width="9" style="1"/>
    <col min="12" max="12" width="7.125" style="1" bestFit="1" customWidth="1"/>
    <col min="13" max="13" width="2.5" style="1" bestFit="1" customWidth="1"/>
    <col min="14" max="14" width="17.375" style="1" bestFit="1" customWidth="1"/>
    <col min="15" max="15" width="6" style="1" bestFit="1" customWidth="1"/>
    <col min="16" max="16384" width="9" style="1"/>
  </cols>
  <sheetData>
    <row r="6" spans="1:15" ht="14.25" x14ac:dyDescent="0.2">
      <c r="B6" t="s">
        <v>164</v>
      </c>
      <c r="C6" t="s">
        <v>172</v>
      </c>
      <c r="D6"/>
      <c r="E6"/>
      <c r="F6"/>
      <c r="G6" t="s">
        <v>171</v>
      </c>
      <c r="J6" t="s">
        <v>170</v>
      </c>
      <c r="K6"/>
      <c r="L6"/>
      <c r="M6"/>
      <c r="N6" s="1" t="s">
        <v>175</v>
      </c>
    </row>
    <row r="7" spans="1:15" ht="14.25" x14ac:dyDescent="0.2">
      <c r="A7" s="12" t="s">
        <v>94</v>
      </c>
      <c r="B7">
        <v>1000003</v>
      </c>
      <c r="C7">
        <f>VLOOKUP(F7,$M$7:$N$16,2,FALSE)</f>
        <v>20030001</v>
      </c>
      <c r="D7" t="s">
        <v>23</v>
      </c>
      <c r="E7" t="str">
        <f t="shared" ref="E7:E14" si="0">LEFT(D7,3)</f>
        <v>乌龟怪</v>
      </c>
      <c r="F7">
        <f>VLOOKUP(E7,备注资源组与动作id!$L$7:$M$16,2,FALSE)</f>
        <v>3</v>
      </c>
      <c r="G7" t="s">
        <v>163</v>
      </c>
      <c r="J7">
        <v>990101</v>
      </c>
      <c r="K7" t="s">
        <v>165</v>
      </c>
      <c r="L7" t="s">
        <v>169</v>
      </c>
      <c r="M7">
        <v>1</v>
      </c>
      <c r="N7" s="8">
        <v>20010001</v>
      </c>
      <c r="O7" s="9" t="s">
        <v>169</v>
      </c>
    </row>
    <row r="8" spans="1:15" ht="14.25" x14ac:dyDescent="0.2">
      <c r="A8" s="12" t="s">
        <v>94</v>
      </c>
      <c r="B8">
        <v>1000004</v>
      </c>
      <c r="C8">
        <f t="shared" ref="C8:C22" si="1">VLOOKUP(F8,$M$7:$N$16,2,FALSE)</f>
        <v>20030001</v>
      </c>
      <c r="D8" t="s">
        <v>24</v>
      </c>
      <c r="E8" t="str">
        <f t="shared" si="0"/>
        <v>乌龟怪</v>
      </c>
      <c r="F8">
        <f>VLOOKUP(E8,备注资源组与动作id!$L$7:$M$16,2,FALSE)</f>
        <v>3</v>
      </c>
      <c r="G8" t="s">
        <v>163</v>
      </c>
      <c r="J8">
        <v>990102</v>
      </c>
      <c r="K8" t="s">
        <v>165</v>
      </c>
      <c r="L8" t="s">
        <v>169</v>
      </c>
      <c r="M8">
        <v>1</v>
      </c>
      <c r="N8" s="8">
        <v>20010002</v>
      </c>
      <c r="O8" s="9" t="s">
        <v>169</v>
      </c>
    </row>
    <row r="9" spans="1:15" ht="14.25" x14ac:dyDescent="0.2">
      <c r="A9" s="12" t="s">
        <v>94</v>
      </c>
      <c r="B9">
        <v>1000005</v>
      </c>
      <c r="C9">
        <f t="shared" si="1"/>
        <v>20030001</v>
      </c>
      <c r="D9" t="s">
        <v>25</v>
      </c>
      <c r="E9" t="str">
        <f t="shared" si="0"/>
        <v>乌龟怪</v>
      </c>
      <c r="F9">
        <f>VLOOKUP(E9,备注资源组与动作id!$L$7:$M$16,2,FALSE)</f>
        <v>3</v>
      </c>
      <c r="G9" t="s">
        <v>163</v>
      </c>
      <c r="J9">
        <v>990201</v>
      </c>
      <c r="K9" t="s">
        <v>165</v>
      </c>
      <c r="L9" t="s">
        <v>168</v>
      </c>
      <c r="M9">
        <v>2</v>
      </c>
      <c r="N9" s="8">
        <v>20020001</v>
      </c>
      <c r="O9" s="9" t="s">
        <v>173</v>
      </c>
    </row>
    <row r="10" spans="1:15" ht="14.25" x14ac:dyDescent="0.2">
      <c r="A10" s="12" t="s">
        <v>94</v>
      </c>
      <c r="B10">
        <v>1000006</v>
      </c>
      <c r="C10">
        <f t="shared" si="1"/>
        <v>20030001</v>
      </c>
      <c r="D10" t="s">
        <v>26</v>
      </c>
      <c r="E10" t="str">
        <f t="shared" si="0"/>
        <v>乌龟怪</v>
      </c>
      <c r="F10">
        <f>VLOOKUP(E10,备注资源组与动作id!$L$7:$M$16,2,FALSE)</f>
        <v>3</v>
      </c>
      <c r="G10" t="s">
        <v>163</v>
      </c>
      <c r="J10">
        <v>990202</v>
      </c>
      <c r="K10" t="s">
        <v>165</v>
      </c>
      <c r="L10" t="s">
        <v>168</v>
      </c>
      <c r="M10">
        <v>2</v>
      </c>
      <c r="N10" s="8">
        <v>20020002</v>
      </c>
      <c r="O10" s="9" t="s">
        <v>173</v>
      </c>
    </row>
    <row r="11" spans="1:15" ht="14.25" x14ac:dyDescent="0.2">
      <c r="A11" s="7" t="s">
        <v>95</v>
      </c>
      <c r="B11">
        <v>1000007</v>
      </c>
      <c r="C11">
        <f t="shared" si="1"/>
        <v>20040001</v>
      </c>
      <c r="D11" t="s">
        <v>27</v>
      </c>
      <c r="E11" t="str">
        <f t="shared" si="0"/>
        <v>野狼怪</v>
      </c>
      <c r="F11">
        <f>VLOOKUP(E11,备注资源组与动作id!$L$7:$M$16,2,FALSE)</f>
        <v>4</v>
      </c>
      <c r="G11" t="s">
        <v>162</v>
      </c>
      <c r="J11">
        <v>990301</v>
      </c>
      <c r="K11" t="s">
        <v>165</v>
      </c>
      <c r="L11" t="s">
        <v>167</v>
      </c>
      <c r="M11">
        <v>3</v>
      </c>
      <c r="N11" s="8">
        <v>20030001</v>
      </c>
      <c r="O11" s="9" t="s">
        <v>167</v>
      </c>
    </row>
    <row r="12" spans="1:15" ht="14.25" x14ac:dyDescent="0.2">
      <c r="A12" s="7" t="s">
        <v>95</v>
      </c>
      <c r="B12">
        <v>1000008</v>
      </c>
      <c r="C12">
        <f t="shared" si="1"/>
        <v>20040001</v>
      </c>
      <c r="D12" t="s">
        <v>28</v>
      </c>
      <c r="E12" t="str">
        <f t="shared" si="0"/>
        <v>野狼怪</v>
      </c>
      <c r="F12">
        <f>VLOOKUP(E12,备注资源组与动作id!$L$7:$M$16,2,FALSE)</f>
        <v>4</v>
      </c>
      <c r="G12" t="s">
        <v>162</v>
      </c>
      <c r="J12">
        <v>990302</v>
      </c>
      <c r="K12" t="s">
        <v>165</v>
      </c>
      <c r="L12" t="s">
        <v>167</v>
      </c>
      <c r="M12">
        <v>3</v>
      </c>
      <c r="N12" s="8">
        <v>20030002</v>
      </c>
      <c r="O12" s="9" t="s">
        <v>167</v>
      </c>
    </row>
    <row r="13" spans="1:15" ht="14.25" x14ac:dyDescent="0.2">
      <c r="A13" s="7" t="s">
        <v>95</v>
      </c>
      <c r="B13">
        <v>1000009</v>
      </c>
      <c r="C13">
        <f t="shared" si="1"/>
        <v>20040001</v>
      </c>
      <c r="D13" t="s">
        <v>29</v>
      </c>
      <c r="E13" t="str">
        <f t="shared" si="0"/>
        <v>野狼怪</v>
      </c>
      <c r="F13">
        <f>VLOOKUP(E13,备注资源组与动作id!$L$7:$M$16,2,FALSE)</f>
        <v>4</v>
      </c>
      <c r="G13" t="s">
        <v>162</v>
      </c>
      <c r="J13">
        <v>990401</v>
      </c>
      <c r="K13" t="s">
        <v>165</v>
      </c>
      <c r="L13" t="s">
        <v>166</v>
      </c>
      <c r="M13">
        <v>4</v>
      </c>
      <c r="N13" s="8">
        <v>20040001</v>
      </c>
      <c r="O13" s="9" t="s">
        <v>174</v>
      </c>
    </row>
    <row r="14" spans="1:15" ht="14.25" x14ac:dyDescent="0.2">
      <c r="A14" s="7" t="s">
        <v>95</v>
      </c>
      <c r="B14">
        <v>1000010</v>
      </c>
      <c r="C14">
        <f t="shared" si="1"/>
        <v>20040001</v>
      </c>
      <c r="D14" t="s">
        <v>30</v>
      </c>
      <c r="E14" t="str">
        <f t="shared" si="0"/>
        <v>野狼怪</v>
      </c>
      <c r="F14">
        <f>VLOOKUP(E14,备注资源组与动作id!$L$7:$M$16,2,FALSE)</f>
        <v>4</v>
      </c>
      <c r="G14" t="s">
        <v>162</v>
      </c>
      <c r="J14">
        <v>990402</v>
      </c>
      <c r="K14" t="s">
        <v>165</v>
      </c>
      <c r="L14" t="s">
        <v>166</v>
      </c>
      <c r="M14">
        <v>4</v>
      </c>
      <c r="N14" s="8">
        <v>20040002</v>
      </c>
      <c r="O14" s="9" t="s">
        <v>174</v>
      </c>
    </row>
    <row r="15" spans="1:15" ht="14.25" x14ac:dyDescent="0.2">
      <c r="A15" s="12" t="s">
        <v>93</v>
      </c>
      <c r="B15">
        <v>1000011</v>
      </c>
      <c r="C15">
        <f t="shared" si="1"/>
        <v>20050001</v>
      </c>
      <c r="D15" t="s">
        <v>36</v>
      </c>
      <c r="E15" t="s">
        <v>161</v>
      </c>
      <c r="F15">
        <f>VLOOKUP(E15,备注资源组与动作id!$L$7:$M$16,2,FALSE)</f>
        <v>5</v>
      </c>
      <c r="G15" t="s">
        <v>160</v>
      </c>
      <c r="J15">
        <v>990501</v>
      </c>
      <c r="K15" t="s">
        <v>165</v>
      </c>
      <c r="L15" t="s">
        <v>161</v>
      </c>
      <c r="M15">
        <v>5</v>
      </c>
      <c r="N15" s="8">
        <v>20050001</v>
      </c>
      <c r="O15" s="9" t="s">
        <v>161</v>
      </c>
    </row>
    <row r="16" spans="1:15" ht="14.25" x14ac:dyDescent="0.2">
      <c r="A16" s="12" t="s">
        <v>93</v>
      </c>
      <c r="B16">
        <v>1000012</v>
      </c>
      <c r="C16">
        <f t="shared" si="1"/>
        <v>20050001</v>
      </c>
      <c r="D16" t="s">
        <v>37</v>
      </c>
      <c r="E16" t="s">
        <v>161</v>
      </c>
      <c r="F16">
        <f>VLOOKUP(E16,备注资源组与动作id!$L$7:$M$16,2,FALSE)</f>
        <v>5</v>
      </c>
      <c r="G16" t="s">
        <v>160</v>
      </c>
      <c r="J16">
        <v>990502</v>
      </c>
      <c r="K16" t="s">
        <v>165</v>
      </c>
      <c r="L16" t="s">
        <v>161</v>
      </c>
      <c r="M16">
        <v>5</v>
      </c>
      <c r="N16" s="8">
        <v>20050002</v>
      </c>
      <c r="O16" s="9" t="s">
        <v>161</v>
      </c>
    </row>
    <row r="17" spans="1:7" ht="14.25" x14ac:dyDescent="0.2">
      <c r="A17" s="12" t="s">
        <v>93</v>
      </c>
      <c r="B17">
        <v>1000013</v>
      </c>
      <c r="C17">
        <f t="shared" si="1"/>
        <v>20050001</v>
      </c>
      <c r="D17" t="s">
        <v>38</v>
      </c>
      <c r="E17" t="s">
        <v>161</v>
      </c>
      <c r="F17">
        <f>VLOOKUP(E17,备注资源组与动作id!$L$7:$M$16,2,FALSE)</f>
        <v>5</v>
      </c>
      <c r="G17" t="s">
        <v>160</v>
      </c>
    </row>
    <row r="18" spans="1:7" ht="14.25" x14ac:dyDescent="0.2">
      <c r="A18" s="12" t="s">
        <v>93</v>
      </c>
      <c r="B18">
        <v>1000014</v>
      </c>
      <c r="C18">
        <f t="shared" si="1"/>
        <v>20050001</v>
      </c>
      <c r="D18" t="s">
        <v>39</v>
      </c>
      <c r="E18" t="s">
        <v>161</v>
      </c>
      <c r="F18">
        <f>VLOOKUP(E18,备注资源组与动作id!$L$7:$M$16,2,FALSE)</f>
        <v>5</v>
      </c>
      <c r="G18" t="s">
        <v>160</v>
      </c>
    </row>
    <row r="19" spans="1:7" ht="14.25" x14ac:dyDescent="0.2">
      <c r="A19" s="12" t="s">
        <v>97</v>
      </c>
      <c r="B19">
        <v>1000101</v>
      </c>
      <c r="C19">
        <f t="shared" si="1"/>
        <v>20010001</v>
      </c>
      <c r="D19" t="s">
        <v>44</v>
      </c>
      <c r="E19" t="str">
        <f>LEFT(D19,3)</f>
        <v>蜥蜴怪</v>
      </c>
      <c r="F19">
        <f>VLOOKUP(E19,备注资源组与动作id!$L$7:$M$16,2,FALSE)</f>
        <v>1</v>
      </c>
      <c r="G19" t="s">
        <v>159</v>
      </c>
    </row>
    <row r="20" spans="1:7" ht="14.25" x14ac:dyDescent="0.2">
      <c r="A20" s="12" t="s">
        <v>97</v>
      </c>
      <c r="B20">
        <v>1000102</v>
      </c>
      <c r="C20">
        <f t="shared" si="1"/>
        <v>20010001</v>
      </c>
      <c r="D20" t="s">
        <v>45</v>
      </c>
      <c r="E20" t="str">
        <f>LEFT(D20,3)</f>
        <v>蜥蜴怪</v>
      </c>
      <c r="F20">
        <f>VLOOKUP(E20,备注资源组与动作id!$L$7:$M$16,2,FALSE)</f>
        <v>1</v>
      </c>
      <c r="G20" t="s">
        <v>159</v>
      </c>
    </row>
    <row r="21" spans="1:7" ht="14.25" x14ac:dyDescent="0.2">
      <c r="A21" s="12" t="s">
        <v>96</v>
      </c>
      <c r="B21">
        <v>1000103</v>
      </c>
      <c r="C21">
        <f t="shared" si="1"/>
        <v>20020001</v>
      </c>
      <c r="D21" t="s">
        <v>46</v>
      </c>
      <c r="E21" t="str">
        <f>LEFT(D21,3)</f>
        <v>青蛙怪</v>
      </c>
      <c r="F21">
        <f>VLOOKUP(E21,备注资源组与动作id!$L$7:$M$16,2,FALSE)</f>
        <v>2</v>
      </c>
      <c r="G21" t="s">
        <v>158</v>
      </c>
    </row>
    <row r="22" spans="1:7" ht="14.25" x14ac:dyDescent="0.2">
      <c r="A22" s="12" t="s">
        <v>96</v>
      </c>
      <c r="B22">
        <v>1000104</v>
      </c>
      <c r="C22">
        <f t="shared" si="1"/>
        <v>20020001</v>
      </c>
      <c r="D22" t="s">
        <v>47</v>
      </c>
      <c r="E22" t="str">
        <f>LEFT(D22,3)</f>
        <v>青蛙怪</v>
      </c>
      <c r="F22">
        <f>VLOOKUP(E22,备注资源组与动作id!$L$7:$M$16,2,FALSE)</f>
        <v>2</v>
      </c>
      <c r="G22" t="s">
        <v>158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407E-9A4B-4C61-8BF6-F6C1AE909999}">
  <sheetPr codeName="Sheet3"/>
  <dimension ref="B2:K162"/>
  <sheetViews>
    <sheetView workbookViewId="0">
      <pane ySplit="2" topLeftCell="A3" activePane="bottomLeft" state="frozen"/>
      <selection pane="bottomLeft" activeCell="I8" sqref="I8"/>
    </sheetView>
  </sheetViews>
  <sheetFormatPr defaultRowHeight="14.25" x14ac:dyDescent="0.2"/>
  <sheetData>
    <row r="2" spans="2:11" x14ac:dyDescent="0.2">
      <c r="C2" t="s">
        <v>111</v>
      </c>
      <c r="D2" t="s">
        <v>112</v>
      </c>
      <c r="E2" t="s">
        <v>113</v>
      </c>
      <c r="F2" t="s">
        <v>111</v>
      </c>
      <c r="G2" t="s">
        <v>112</v>
      </c>
      <c r="H2" t="s">
        <v>113</v>
      </c>
      <c r="I2" t="s">
        <v>111</v>
      </c>
      <c r="J2" t="s">
        <v>112</v>
      </c>
      <c r="K2" t="s">
        <v>113</v>
      </c>
    </row>
    <row r="3" spans="2:11" x14ac:dyDescent="0.2">
      <c r="B3">
        <v>1</v>
      </c>
      <c r="C3">
        <f>B3</f>
        <v>1</v>
      </c>
      <c r="D3">
        <f>C3*2</f>
        <v>2</v>
      </c>
      <c r="E3">
        <v>10</v>
      </c>
      <c r="F3" t="str">
        <f>$B3&amp;":"&amp;C3</f>
        <v>1:1</v>
      </c>
      <c r="G3" t="str">
        <f>$B3&amp;":"&amp;D3</f>
        <v>1:2</v>
      </c>
      <c r="H3" t="str">
        <f>$B3&amp;":"&amp;E3</f>
        <v>1:10</v>
      </c>
      <c r="I3" t="str">
        <f>_xlfn.TEXTJOIN("_",TRUE,F3:F162)</f>
        <v>1:1_2:2_3:3_4:4_5:5_6:6_7:7_8:8_9:9_10:10_11:11_12:12_13:13_14:14_15:15_16:16_17:17_18:18_19:19_20:20_21:21_22:22_23:23_24:24_25:25_26:26_27:27_28:28_29:29_30:30_31:31_32:32_33:33_34:34_35:35_36:36_37:37_38:38_39:39_40:40_41:41_42:42_43:43_44:44_45:45_46:46_47:47_48:48_49:49_50:50_51:51_52:52_53:53_54:54_55:55_56:56_57:57_58:58_59:59_60:60_61:61_62:62_63:63_64:64_65:65_66:66_67:67_68:68_69:69_70:70_71:71_72:72_73:73_74:74_75:75_76:76_77:77_78:78_79:79_80:80_81:81_82:82_83:83_84:84_85:85_86:86_87:87_88:88_89:89_90:90_91:91_92:92_93:93_94:94_95:95_96:96_97:97_98:98_99:99_100:100_101:101_102:102_103:103_104:104_105:105_106:106_107:107_108:108_109:109_110:110_111:111_112:112_113:113_114:114_115:115_116:116_117:117_118:118_119:119_120:120_121:121_122:122_123:123_124:124_125:125_126:126_127:127_128:128_129:129_130:130_131:131_132:132_133:133_134:134_135:135_136:136_137:137_138:138_139:139_140:140_141:141_142:142_143:143_144:144_145:145_146:146_147:147_148:148_149:149_150:150_151:151_152:152_153:153_154:154_155:155_156:156_157:157_158:158_159:159_160:160</v>
      </c>
      <c r="J3" t="str">
        <f>_xlfn.TEXTJOIN("_",TRUE,G3:G162)</f>
        <v>1:2_2:4_3:6_4:8_5:10_6:12_7:14_8:16_9:18_10:20_11:22_12:24_13:26_14:28_15:30_16:32_17:34_18:36_19:38_20:40_21:42_22:44_23:46_24:48_25:50_26:52_27:54_28:56_29:58_30:60_31:62_32:64_33:66_34:68_35:70_36:72_37:74_38:76_39:78_40:80_41:82_42:84_43:86_44:88_45:90_46:92_47:94_48:96_49:98_50:100_51:102_52:104_53:106_54:108_55:110_56:112_57:114_58:116_59:118_60:120_61:122_62:124_63:126_64:128_65:130_66:132_67:134_68:136_69:138_70:140_71:142_72:144_73:146_74:148_75:150_76:152_77:154_78:156_79:158_80:160_81:162_82:164_83:166_84:168_85:170_86:172_87:174_88:176_89:178_90:180_91:182_92:184_93:186_94:188_95:190_96:192_97:194_98:196_99:198_100:200_101:202_102:204_103:206_104:208_105:210_106:212_107:214_108:216_109:218_110:220_111:222_112:224_113:226_114:228_115:230_116:232_117:234_118:236_119:238_120:240_121:242_122:244_123:246_124:248_125:250_126:252_127:254_128:256_129:258_130:260_131:262_132:264_133:266_134:268_135:270_136:272_137:274_138:276_139:278_140:280_141:282_142:284_143:286_144:288_145:290_146:292_147:294_148:296_149:298_150:300_151:302_152:304_153:306_154:308_155:310_156:312_157:314_158:316_159:318_160:320</v>
      </c>
      <c r="K3" t="str">
        <f>_xlfn.TEXTJOIN("_",TRUE,H3:H162)</f>
        <v>1:10_2:10_3:10_4:10_5:10_6:10_7:10_8:10_9:10_10:10_11:10_12:10_13:10_14:10_15:10_16:10_17:10_18:10_19:10_20:10_21:10_22:10_23:10_24:10_25:10_26:10_27:10_28:10_29:10_30:10_31:10_32:10_33:10_34:10_35:10_36:10_37:10_38:10_39:10_40:10_41:10_42:10_43:10_44:10_45:10_46:10_47:10_48:10_49:10_50:10_51:10_52:10_53:10_54:10_55:10_56:10_57:10_58:10_59:10_60:10_61:10_62:10_63:10_64:10_65:10_66:10_67:10_68:10_69:10_70:10_71:10_72:10_73:10_74:10_75:10_76:10_77:10_78:10_79:10_80:10_81:10_82:10_83:10_84:10_85:10_86:10_87:10_88:10_89:10_90:10_91:10_92:10_93:10_94:10_95:10_96:10_97:10_98:10_99:10_100:10_101:10_102:10_103:10_104:10_105:10_106:10_107:10_108:10_109:10_110:10_111:10_112:10_113:10_114:10_115:10_116:10_117:10_118:10_119:10_120:10_121:10_122:10_123:10_124:10_125:10_126:10_127:10_128:10_129:10_130:10_131:10_132:10_133:10_134:10_135:10_136:10_137:10_138:10_139:10_140:10_141:10_142:10_143:10_144:10_145:10_146:10_147:10_148:10_149:10_150:10_151:10_152:10_153:10_154:10_155:10_156:10_157:10_158:10_159:10_160:10</v>
      </c>
    </row>
    <row r="4" spans="2:11" x14ac:dyDescent="0.2">
      <c r="B4">
        <f t="shared" ref="B4:B35" si="0">B3+1</f>
        <v>2</v>
      </c>
      <c r="C4">
        <f t="shared" ref="C4:C67" si="1">B4</f>
        <v>2</v>
      </c>
      <c r="D4">
        <f t="shared" ref="D4:D67" si="2">C4*2</f>
        <v>4</v>
      </c>
      <c r="E4">
        <v>10</v>
      </c>
      <c r="F4" t="str">
        <f t="shared" ref="F4:F67" si="3">$B4&amp;":"&amp;C4</f>
        <v>2:2</v>
      </c>
      <c r="G4" t="str">
        <f t="shared" ref="G4:G67" si="4">$B4&amp;":"&amp;D4</f>
        <v>2:4</v>
      </c>
      <c r="H4" t="str">
        <f t="shared" ref="H4:H67" si="5">$B4&amp;":"&amp;E4</f>
        <v>2:10</v>
      </c>
    </row>
    <row r="5" spans="2:11" x14ac:dyDescent="0.2">
      <c r="B5">
        <f t="shared" si="0"/>
        <v>3</v>
      </c>
      <c r="C5">
        <f t="shared" si="1"/>
        <v>3</v>
      </c>
      <c r="D5">
        <f t="shared" si="2"/>
        <v>6</v>
      </c>
      <c r="E5">
        <v>10</v>
      </c>
      <c r="F5" t="str">
        <f t="shared" si="3"/>
        <v>3:3</v>
      </c>
      <c r="G5" t="str">
        <f t="shared" si="4"/>
        <v>3:6</v>
      </c>
      <c r="H5" t="str">
        <f t="shared" si="5"/>
        <v>3:10</v>
      </c>
    </row>
    <row r="6" spans="2:11" x14ac:dyDescent="0.2">
      <c r="B6">
        <f t="shared" si="0"/>
        <v>4</v>
      </c>
      <c r="C6">
        <f t="shared" si="1"/>
        <v>4</v>
      </c>
      <c r="D6">
        <f t="shared" si="2"/>
        <v>8</v>
      </c>
      <c r="E6">
        <v>10</v>
      </c>
      <c r="F6" t="str">
        <f t="shared" si="3"/>
        <v>4:4</v>
      </c>
      <c r="G6" t="str">
        <f t="shared" si="4"/>
        <v>4:8</v>
      </c>
      <c r="H6" t="str">
        <f t="shared" si="5"/>
        <v>4:10</v>
      </c>
    </row>
    <row r="7" spans="2:11" x14ac:dyDescent="0.2">
      <c r="B7">
        <f t="shared" si="0"/>
        <v>5</v>
      </c>
      <c r="C7">
        <f t="shared" si="1"/>
        <v>5</v>
      </c>
      <c r="D7">
        <f t="shared" si="2"/>
        <v>10</v>
      </c>
      <c r="E7">
        <v>10</v>
      </c>
      <c r="F7" t="str">
        <f t="shared" si="3"/>
        <v>5:5</v>
      </c>
      <c r="G7" t="str">
        <f t="shared" si="4"/>
        <v>5:10</v>
      </c>
      <c r="H7" t="str">
        <f t="shared" si="5"/>
        <v>5:10</v>
      </c>
    </row>
    <row r="8" spans="2:11" x14ac:dyDescent="0.2">
      <c r="B8">
        <f t="shared" si="0"/>
        <v>6</v>
      </c>
      <c r="C8">
        <f t="shared" si="1"/>
        <v>6</v>
      </c>
      <c r="D8">
        <f t="shared" si="2"/>
        <v>12</v>
      </c>
      <c r="E8">
        <v>10</v>
      </c>
      <c r="F8" t="str">
        <f t="shared" si="3"/>
        <v>6:6</v>
      </c>
      <c r="G8" t="str">
        <f t="shared" si="4"/>
        <v>6:12</v>
      </c>
      <c r="H8" t="str">
        <f t="shared" si="5"/>
        <v>6:10</v>
      </c>
    </row>
    <row r="9" spans="2:11" x14ac:dyDescent="0.2">
      <c r="B9">
        <f t="shared" si="0"/>
        <v>7</v>
      </c>
      <c r="C9">
        <f t="shared" si="1"/>
        <v>7</v>
      </c>
      <c r="D9">
        <f t="shared" si="2"/>
        <v>14</v>
      </c>
      <c r="E9">
        <v>10</v>
      </c>
      <c r="F9" t="str">
        <f t="shared" si="3"/>
        <v>7:7</v>
      </c>
      <c r="G9" t="str">
        <f t="shared" si="4"/>
        <v>7:14</v>
      </c>
      <c r="H9" t="str">
        <f t="shared" si="5"/>
        <v>7:10</v>
      </c>
    </row>
    <row r="10" spans="2:11" x14ac:dyDescent="0.2">
      <c r="B10">
        <f t="shared" si="0"/>
        <v>8</v>
      </c>
      <c r="C10">
        <f t="shared" si="1"/>
        <v>8</v>
      </c>
      <c r="D10">
        <f t="shared" si="2"/>
        <v>16</v>
      </c>
      <c r="E10">
        <v>10</v>
      </c>
      <c r="F10" t="str">
        <f t="shared" si="3"/>
        <v>8:8</v>
      </c>
      <c r="G10" t="str">
        <f t="shared" si="4"/>
        <v>8:16</v>
      </c>
      <c r="H10" t="str">
        <f t="shared" si="5"/>
        <v>8:10</v>
      </c>
    </row>
    <row r="11" spans="2:11" x14ac:dyDescent="0.2">
      <c r="B11">
        <f t="shared" si="0"/>
        <v>9</v>
      </c>
      <c r="C11">
        <f t="shared" si="1"/>
        <v>9</v>
      </c>
      <c r="D11">
        <f t="shared" si="2"/>
        <v>18</v>
      </c>
      <c r="E11">
        <v>10</v>
      </c>
      <c r="F11" t="str">
        <f t="shared" si="3"/>
        <v>9:9</v>
      </c>
      <c r="G11" t="str">
        <f t="shared" si="4"/>
        <v>9:18</v>
      </c>
      <c r="H11" t="str">
        <f t="shared" si="5"/>
        <v>9:10</v>
      </c>
    </row>
    <row r="12" spans="2:11" x14ac:dyDescent="0.2">
      <c r="B12">
        <f t="shared" si="0"/>
        <v>10</v>
      </c>
      <c r="C12">
        <f t="shared" si="1"/>
        <v>10</v>
      </c>
      <c r="D12">
        <f t="shared" si="2"/>
        <v>20</v>
      </c>
      <c r="E12">
        <v>10</v>
      </c>
      <c r="F12" t="str">
        <f t="shared" si="3"/>
        <v>10:10</v>
      </c>
      <c r="G12" t="str">
        <f t="shared" si="4"/>
        <v>10:20</v>
      </c>
      <c r="H12" t="str">
        <f t="shared" si="5"/>
        <v>10:10</v>
      </c>
    </row>
    <row r="13" spans="2:11" x14ac:dyDescent="0.2">
      <c r="B13">
        <f t="shared" si="0"/>
        <v>11</v>
      </c>
      <c r="C13">
        <f t="shared" si="1"/>
        <v>11</v>
      </c>
      <c r="D13">
        <f t="shared" si="2"/>
        <v>22</v>
      </c>
      <c r="E13">
        <v>10</v>
      </c>
      <c r="F13" t="str">
        <f t="shared" si="3"/>
        <v>11:11</v>
      </c>
      <c r="G13" t="str">
        <f t="shared" si="4"/>
        <v>11:22</v>
      </c>
      <c r="H13" t="str">
        <f t="shared" si="5"/>
        <v>11:10</v>
      </c>
    </row>
    <row r="14" spans="2:11" x14ac:dyDescent="0.2">
      <c r="B14">
        <f t="shared" si="0"/>
        <v>12</v>
      </c>
      <c r="C14">
        <f t="shared" si="1"/>
        <v>12</v>
      </c>
      <c r="D14">
        <f t="shared" si="2"/>
        <v>24</v>
      </c>
      <c r="E14">
        <v>10</v>
      </c>
      <c r="F14" t="str">
        <f t="shared" si="3"/>
        <v>12:12</v>
      </c>
      <c r="G14" t="str">
        <f t="shared" si="4"/>
        <v>12:24</v>
      </c>
      <c r="H14" t="str">
        <f t="shared" si="5"/>
        <v>12:10</v>
      </c>
    </row>
    <row r="15" spans="2:11" x14ac:dyDescent="0.2">
      <c r="B15">
        <f t="shared" si="0"/>
        <v>13</v>
      </c>
      <c r="C15">
        <f t="shared" si="1"/>
        <v>13</v>
      </c>
      <c r="D15">
        <f t="shared" si="2"/>
        <v>26</v>
      </c>
      <c r="E15">
        <v>10</v>
      </c>
      <c r="F15" t="str">
        <f t="shared" si="3"/>
        <v>13:13</v>
      </c>
      <c r="G15" t="str">
        <f t="shared" si="4"/>
        <v>13:26</v>
      </c>
      <c r="H15" t="str">
        <f t="shared" si="5"/>
        <v>13:10</v>
      </c>
    </row>
    <row r="16" spans="2:11" x14ac:dyDescent="0.2">
      <c r="B16">
        <f t="shared" si="0"/>
        <v>14</v>
      </c>
      <c r="C16">
        <f t="shared" si="1"/>
        <v>14</v>
      </c>
      <c r="D16">
        <f t="shared" si="2"/>
        <v>28</v>
      </c>
      <c r="E16">
        <v>10</v>
      </c>
      <c r="F16" t="str">
        <f t="shared" si="3"/>
        <v>14:14</v>
      </c>
      <c r="G16" t="str">
        <f t="shared" si="4"/>
        <v>14:28</v>
      </c>
      <c r="H16" t="str">
        <f t="shared" si="5"/>
        <v>14:10</v>
      </c>
    </row>
    <row r="17" spans="2:8" x14ac:dyDescent="0.2">
      <c r="B17">
        <f t="shared" si="0"/>
        <v>15</v>
      </c>
      <c r="C17">
        <f t="shared" si="1"/>
        <v>15</v>
      </c>
      <c r="D17">
        <f t="shared" si="2"/>
        <v>30</v>
      </c>
      <c r="E17">
        <v>10</v>
      </c>
      <c r="F17" t="str">
        <f t="shared" si="3"/>
        <v>15:15</v>
      </c>
      <c r="G17" t="str">
        <f t="shared" si="4"/>
        <v>15:30</v>
      </c>
      <c r="H17" t="str">
        <f t="shared" si="5"/>
        <v>15:10</v>
      </c>
    </row>
    <row r="18" spans="2:8" x14ac:dyDescent="0.2">
      <c r="B18">
        <f t="shared" si="0"/>
        <v>16</v>
      </c>
      <c r="C18">
        <f t="shared" si="1"/>
        <v>16</v>
      </c>
      <c r="D18">
        <f t="shared" si="2"/>
        <v>32</v>
      </c>
      <c r="E18">
        <v>10</v>
      </c>
      <c r="F18" t="str">
        <f t="shared" si="3"/>
        <v>16:16</v>
      </c>
      <c r="G18" t="str">
        <f t="shared" si="4"/>
        <v>16:32</v>
      </c>
      <c r="H18" t="str">
        <f t="shared" si="5"/>
        <v>16:10</v>
      </c>
    </row>
    <row r="19" spans="2:8" x14ac:dyDescent="0.2">
      <c r="B19">
        <f t="shared" si="0"/>
        <v>17</v>
      </c>
      <c r="C19">
        <f t="shared" si="1"/>
        <v>17</v>
      </c>
      <c r="D19">
        <f t="shared" si="2"/>
        <v>34</v>
      </c>
      <c r="E19">
        <v>10</v>
      </c>
      <c r="F19" t="str">
        <f t="shared" si="3"/>
        <v>17:17</v>
      </c>
      <c r="G19" t="str">
        <f t="shared" si="4"/>
        <v>17:34</v>
      </c>
      <c r="H19" t="str">
        <f t="shared" si="5"/>
        <v>17:10</v>
      </c>
    </row>
    <row r="20" spans="2:8" x14ac:dyDescent="0.2">
      <c r="B20">
        <f t="shared" si="0"/>
        <v>18</v>
      </c>
      <c r="C20">
        <f t="shared" si="1"/>
        <v>18</v>
      </c>
      <c r="D20">
        <f t="shared" si="2"/>
        <v>36</v>
      </c>
      <c r="E20">
        <v>10</v>
      </c>
      <c r="F20" t="str">
        <f t="shared" si="3"/>
        <v>18:18</v>
      </c>
      <c r="G20" t="str">
        <f t="shared" si="4"/>
        <v>18:36</v>
      </c>
      <c r="H20" t="str">
        <f t="shared" si="5"/>
        <v>18:10</v>
      </c>
    </row>
    <row r="21" spans="2:8" x14ac:dyDescent="0.2">
      <c r="B21">
        <f t="shared" si="0"/>
        <v>19</v>
      </c>
      <c r="C21">
        <f t="shared" si="1"/>
        <v>19</v>
      </c>
      <c r="D21">
        <f t="shared" si="2"/>
        <v>38</v>
      </c>
      <c r="E21">
        <v>10</v>
      </c>
      <c r="F21" t="str">
        <f t="shared" si="3"/>
        <v>19:19</v>
      </c>
      <c r="G21" t="str">
        <f t="shared" si="4"/>
        <v>19:38</v>
      </c>
      <c r="H21" t="str">
        <f t="shared" si="5"/>
        <v>19:10</v>
      </c>
    </row>
    <row r="22" spans="2:8" x14ac:dyDescent="0.2">
      <c r="B22">
        <f t="shared" si="0"/>
        <v>20</v>
      </c>
      <c r="C22">
        <f t="shared" si="1"/>
        <v>20</v>
      </c>
      <c r="D22">
        <f t="shared" si="2"/>
        <v>40</v>
      </c>
      <c r="E22">
        <v>10</v>
      </c>
      <c r="F22" t="str">
        <f t="shared" si="3"/>
        <v>20:20</v>
      </c>
      <c r="G22" t="str">
        <f t="shared" si="4"/>
        <v>20:40</v>
      </c>
      <c r="H22" t="str">
        <f t="shared" si="5"/>
        <v>20:10</v>
      </c>
    </row>
    <row r="23" spans="2:8" x14ac:dyDescent="0.2">
      <c r="B23">
        <f t="shared" si="0"/>
        <v>21</v>
      </c>
      <c r="C23">
        <f t="shared" si="1"/>
        <v>21</v>
      </c>
      <c r="D23">
        <f t="shared" si="2"/>
        <v>42</v>
      </c>
      <c r="E23">
        <v>10</v>
      </c>
      <c r="F23" t="str">
        <f t="shared" si="3"/>
        <v>21:21</v>
      </c>
      <c r="G23" t="str">
        <f t="shared" si="4"/>
        <v>21:42</v>
      </c>
      <c r="H23" t="str">
        <f t="shared" si="5"/>
        <v>21:10</v>
      </c>
    </row>
    <row r="24" spans="2:8" x14ac:dyDescent="0.2">
      <c r="B24">
        <f t="shared" si="0"/>
        <v>22</v>
      </c>
      <c r="C24">
        <f t="shared" si="1"/>
        <v>22</v>
      </c>
      <c r="D24">
        <f t="shared" si="2"/>
        <v>44</v>
      </c>
      <c r="E24">
        <v>10</v>
      </c>
      <c r="F24" t="str">
        <f t="shared" si="3"/>
        <v>22:22</v>
      </c>
      <c r="G24" t="str">
        <f t="shared" si="4"/>
        <v>22:44</v>
      </c>
      <c r="H24" t="str">
        <f t="shared" si="5"/>
        <v>22:10</v>
      </c>
    </row>
    <row r="25" spans="2:8" x14ac:dyDescent="0.2">
      <c r="B25">
        <f t="shared" si="0"/>
        <v>23</v>
      </c>
      <c r="C25">
        <f t="shared" si="1"/>
        <v>23</v>
      </c>
      <c r="D25">
        <f t="shared" si="2"/>
        <v>46</v>
      </c>
      <c r="E25">
        <v>10</v>
      </c>
      <c r="F25" t="str">
        <f t="shared" si="3"/>
        <v>23:23</v>
      </c>
      <c r="G25" t="str">
        <f t="shared" si="4"/>
        <v>23:46</v>
      </c>
      <c r="H25" t="str">
        <f t="shared" si="5"/>
        <v>23:10</v>
      </c>
    </row>
    <row r="26" spans="2:8" x14ac:dyDescent="0.2">
      <c r="B26">
        <f t="shared" si="0"/>
        <v>24</v>
      </c>
      <c r="C26">
        <f t="shared" si="1"/>
        <v>24</v>
      </c>
      <c r="D26">
        <f t="shared" si="2"/>
        <v>48</v>
      </c>
      <c r="E26">
        <v>10</v>
      </c>
      <c r="F26" t="str">
        <f t="shared" si="3"/>
        <v>24:24</v>
      </c>
      <c r="G26" t="str">
        <f t="shared" si="4"/>
        <v>24:48</v>
      </c>
      <c r="H26" t="str">
        <f t="shared" si="5"/>
        <v>24:10</v>
      </c>
    </row>
    <row r="27" spans="2:8" x14ac:dyDescent="0.2">
      <c r="B27">
        <f t="shared" si="0"/>
        <v>25</v>
      </c>
      <c r="C27">
        <f t="shared" si="1"/>
        <v>25</v>
      </c>
      <c r="D27">
        <f t="shared" si="2"/>
        <v>50</v>
      </c>
      <c r="E27">
        <v>10</v>
      </c>
      <c r="F27" t="str">
        <f t="shared" si="3"/>
        <v>25:25</v>
      </c>
      <c r="G27" t="str">
        <f t="shared" si="4"/>
        <v>25:50</v>
      </c>
      <c r="H27" t="str">
        <f t="shared" si="5"/>
        <v>25:10</v>
      </c>
    </row>
    <row r="28" spans="2:8" x14ac:dyDescent="0.2">
      <c r="B28">
        <f t="shared" si="0"/>
        <v>26</v>
      </c>
      <c r="C28">
        <f t="shared" si="1"/>
        <v>26</v>
      </c>
      <c r="D28">
        <f t="shared" si="2"/>
        <v>52</v>
      </c>
      <c r="E28">
        <v>10</v>
      </c>
      <c r="F28" t="str">
        <f t="shared" si="3"/>
        <v>26:26</v>
      </c>
      <c r="G28" t="str">
        <f t="shared" si="4"/>
        <v>26:52</v>
      </c>
      <c r="H28" t="str">
        <f t="shared" si="5"/>
        <v>26:10</v>
      </c>
    </row>
    <row r="29" spans="2:8" x14ac:dyDescent="0.2">
      <c r="B29">
        <f t="shared" si="0"/>
        <v>27</v>
      </c>
      <c r="C29">
        <f t="shared" si="1"/>
        <v>27</v>
      </c>
      <c r="D29">
        <f t="shared" si="2"/>
        <v>54</v>
      </c>
      <c r="E29">
        <v>10</v>
      </c>
      <c r="F29" t="str">
        <f t="shared" si="3"/>
        <v>27:27</v>
      </c>
      <c r="G29" t="str">
        <f t="shared" si="4"/>
        <v>27:54</v>
      </c>
      <c r="H29" t="str">
        <f t="shared" si="5"/>
        <v>27:10</v>
      </c>
    </row>
    <row r="30" spans="2:8" x14ac:dyDescent="0.2">
      <c r="B30">
        <f t="shared" si="0"/>
        <v>28</v>
      </c>
      <c r="C30">
        <f t="shared" si="1"/>
        <v>28</v>
      </c>
      <c r="D30">
        <f t="shared" si="2"/>
        <v>56</v>
      </c>
      <c r="E30">
        <v>10</v>
      </c>
      <c r="F30" t="str">
        <f t="shared" si="3"/>
        <v>28:28</v>
      </c>
      <c r="G30" t="str">
        <f t="shared" si="4"/>
        <v>28:56</v>
      </c>
      <c r="H30" t="str">
        <f t="shared" si="5"/>
        <v>28:10</v>
      </c>
    </row>
    <row r="31" spans="2:8" x14ac:dyDescent="0.2">
      <c r="B31">
        <f t="shared" si="0"/>
        <v>29</v>
      </c>
      <c r="C31">
        <f t="shared" si="1"/>
        <v>29</v>
      </c>
      <c r="D31">
        <f t="shared" si="2"/>
        <v>58</v>
      </c>
      <c r="E31">
        <v>10</v>
      </c>
      <c r="F31" t="str">
        <f t="shared" si="3"/>
        <v>29:29</v>
      </c>
      <c r="G31" t="str">
        <f t="shared" si="4"/>
        <v>29:58</v>
      </c>
      <c r="H31" t="str">
        <f t="shared" si="5"/>
        <v>29:10</v>
      </c>
    </row>
    <row r="32" spans="2:8" x14ac:dyDescent="0.2">
      <c r="B32">
        <f t="shared" si="0"/>
        <v>30</v>
      </c>
      <c r="C32">
        <f t="shared" si="1"/>
        <v>30</v>
      </c>
      <c r="D32">
        <f t="shared" si="2"/>
        <v>60</v>
      </c>
      <c r="E32">
        <v>10</v>
      </c>
      <c r="F32" t="str">
        <f t="shared" si="3"/>
        <v>30:30</v>
      </c>
      <c r="G32" t="str">
        <f t="shared" si="4"/>
        <v>30:60</v>
      </c>
      <c r="H32" t="str">
        <f t="shared" si="5"/>
        <v>30:10</v>
      </c>
    </row>
    <row r="33" spans="2:8" x14ac:dyDescent="0.2">
      <c r="B33">
        <f t="shared" si="0"/>
        <v>31</v>
      </c>
      <c r="C33">
        <f t="shared" si="1"/>
        <v>31</v>
      </c>
      <c r="D33">
        <f t="shared" si="2"/>
        <v>62</v>
      </c>
      <c r="E33">
        <v>10</v>
      </c>
      <c r="F33" t="str">
        <f t="shared" si="3"/>
        <v>31:31</v>
      </c>
      <c r="G33" t="str">
        <f t="shared" si="4"/>
        <v>31:62</v>
      </c>
      <c r="H33" t="str">
        <f t="shared" si="5"/>
        <v>31:10</v>
      </c>
    </row>
    <row r="34" spans="2:8" x14ac:dyDescent="0.2">
      <c r="B34">
        <f t="shared" si="0"/>
        <v>32</v>
      </c>
      <c r="C34">
        <f t="shared" si="1"/>
        <v>32</v>
      </c>
      <c r="D34">
        <f t="shared" si="2"/>
        <v>64</v>
      </c>
      <c r="E34">
        <v>10</v>
      </c>
      <c r="F34" t="str">
        <f t="shared" si="3"/>
        <v>32:32</v>
      </c>
      <c r="G34" t="str">
        <f t="shared" si="4"/>
        <v>32:64</v>
      </c>
      <c r="H34" t="str">
        <f t="shared" si="5"/>
        <v>32:10</v>
      </c>
    </row>
    <row r="35" spans="2:8" x14ac:dyDescent="0.2">
      <c r="B35">
        <f t="shared" si="0"/>
        <v>33</v>
      </c>
      <c r="C35">
        <f t="shared" si="1"/>
        <v>33</v>
      </c>
      <c r="D35">
        <f t="shared" si="2"/>
        <v>66</v>
      </c>
      <c r="E35">
        <v>10</v>
      </c>
      <c r="F35" t="str">
        <f t="shared" si="3"/>
        <v>33:33</v>
      </c>
      <c r="G35" t="str">
        <f t="shared" si="4"/>
        <v>33:66</v>
      </c>
      <c r="H35" t="str">
        <f t="shared" si="5"/>
        <v>33:10</v>
      </c>
    </row>
    <row r="36" spans="2:8" x14ac:dyDescent="0.2">
      <c r="B36">
        <f t="shared" ref="B36:B67" si="6">B35+1</f>
        <v>34</v>
      </c>
      <c r="C36">
        <f t="shared" si="1"/>
        <v>34</v>
      </c>
      <c r="D36">
        <f t="shared" si="2"/>
        <v>68</v>
      </c>
      <c r="E36">
        <v>10</v>
      </c>
      <c r="F36" t="str">
        <f t="shared" si="3"/>
        <v>34:34</v>
      </c>
      <c r="G36" t="str">
        <f t="shared" si="4"/>
        <v>34:68</v>
      </c>
      <c r="H36" t="str">
        <f t="shared" si="5"/>
        <v>34:10</v>
      </c>
    </row>
    <row r="37" spans="2:8" x14ac:dyDescent="0.2">
      <c r="B37">
        <f t="shared" si="6"/>
        <v>35</v>
      </c>
      <c r="C37">
        <f t="shared" si="1"/>
        <v>35</v>
      </c>
      <c r="D37">
        <f t="shared" si="2"/>
        <v>70</v>
      </c>
      <c r="E37">
        <v>10</v>
      </c>
      <c r="F37" t="str">
        <f t="shared" si="3"/>
        <v>35:35</v>
      </c>
      <c r="G37" t="str">
        <f t="shared" si="4"/>
        <v>35:70</v>
      </c>
      <c r="H37" t="str">
        <f t="shared" si="5"/>
        <v>35:10</v>
      </c>
    </row>
    <row r="38" spans="2:8" x14ac:dyDescent="0.2">
      <c r="B38">
        <f t="shared" si="6"/>
        <v>36</v>
      </c>
      <c r="C38">
        <f t="shared" si="1"/>
        <v>36</v>
      </c>
      <c r="D38">
        <f t="shared" si="2"/>
        <v>72</v>
      </c>
      <c r="E38">
        <v>10</v>
      </c>
      <c r="F38" t="str">
        <f t="shared" si="3"/>
        <v>36:36</v>
      </c>
      <c r="G38" t="str">
        <f t="shared" si="4"/>
        <v>36:72</v>
      </c>
      <c r="H38" t="str">
        <f t="shared" si="5"/>
        <v>36:10</v>
      </c>
    </row>
    <row r="39" spans="2:8" x14ac:dyDescent="0.2">
      <c r="B39">
        <f t="shared" si="6"/>
        <v>37</v>
      </c>
      <c r="C39">
        <f t="shared" si="1"/>
        <v>37</v>
      </c>
      <c r="D39">
        <f t="shared" si="2"/>
        <v>74</v>
      </c>
      <c r="E39">
        <v>10</v>
      </c>
      <c r="F39" t="str">
        <f t="shared" si="3"/>
        <v>37:37</v>
      </c>
      <c r="G39" t="str">
        <f t="shared" si="4"/>
        <v>37:74</v>
      </c>
      <c r="H39" t="str">
        <f t="shared" si="5"/>
        <v>37:10</v>
      </c>
    </row>
    <row r="40" spans="2:8" x14ac:dyDescent="0.2">
      <c r="B40">
        <f t="shared" si="6"/>
        <v>38</v>
      </c>
      <c r="C40">
        <f t="shared" si="1"/>
        <v>38</v>
      </c>
      <c r="D40">
        <f t="shared" si="2"/>
        <v>76</v>
      </c>
      <c r="E40">
        <v>10</v>
      </c>
      <c r="F40" t="str">
        <f t="shared" si="3"/>
        <v>38:38</v>
      </c>
      <c r="G40" t="str">
        <f t="shared" si="4"/>
        <v>38:76</v>
      </c>
      <c r="H40" t="str">
        <f t="shared" si="5"/>
        <v>38:10</v>
      </c>
    </row>
    <row r="41" spans="2:8" x14ac:dyDescent="0.2">
      <c r="B41">
        <f t="shared" si="6"/>
        <v>39</v>
      </c>
      <c r="C41">
        <f t="shared" si="1"/>
        <v>39</v>
      </c>
      <c r="D41">
        <f t="shared" si="2"/>
        <v>78</v>
      </c>
      <c r="E41">
        <v>10</v>
      </c>
      <c r="F41" t="str">
        <f t="shared" si="3"/>
        <v>39:39</v>
      </c>
      <c r="G41" t="str">
        <f t="shared" si="4"/>
        <v>39:78</v>
      </c>
      <c r="H41" t="str">
        <f t="shared" si="5"/>
        <v>39:10</v>
      </c>
    </row>
    <row r="42" spans="2:8" x14ac:dyDescent="0.2">
      <c r="B42">
        <f t="shared" si="6"/>
        <v>40</v>
      </c>
      <c r="C42">
        <f t="shared" si="1"/>
        <v>40</v>
      </c>
      <c r="D42">
        <f t="shared" si="2"/>
        <v>80</v>
      </c>
      <c r="E42">
        <v>10</v>
      </c>
      <c r="F42" t="str">
        <f t="shared" si="3"/>
        <v>40:40</v>
      </c>
      <c r="G42" t="str">
        <f t="shared" si="4"/>
        <v>40:80</v>
      </c>
      <c r="H42" t="str">
        <f t="shared" si="5"/>
        <v>40:10</v>
      </c>
    </row>
    <row r="43" spans="2:8" x14ac:dyDescent="0.2">
      <c r="B43">
        <f t="shared" si="6"/>
        <v>41</v>
      </c>
      <c r="C43">
        <f t="shared" si="1"/>
        <v>41</v>
      </c>
      <c r="D43">
        <f t="shared" si="2"/>
        <v>82</v>
      </c>
      <c r="E43">
        <v>10</v>
      </c>
      <c r="F43" t="str">
        <f t="shared" si="3"/>
        <v>41:41</v>
      </c>
      <c r="G43" t="str">
        <f t="shared" si="4"/>
        <v>41:82</v>
      </c>
      <c r="H43" t="str">
        <f t="shared" si="5"/>
        <v>41:10</v>
      </c>
    </row>
    <row r="44" spans="2:8" x14ac:dyDescent="0.2">
      <c r="B44">
        <f t="shared" si="6"/>
        <v>42</v>
      </c>
      <c r="C44">
        <f t="shared" si="1"/>
        <v>42</v>
      </c>
      <c r="D44">
        <f t="shared" si="2"/>
        <v>84</v>
      </c>
      <c r="E44">
        <v>10</v>
      </c>
      <c r="F44" t="str">
        <f t="shared" si="3"/>
        <v>42:42</v>
      </c>
      <c r="G44" t="str">
        <f t="shared" si="4"/>
        <v>42:84</v>
      </c>
      <c r="H44" t="str">
        <f t="shared" si="5"/>
        <v>42:10</v>
      </c>
    </row>
    <row r="45" spans="2:8" x14ac:dyDescent="0.2">
      <c r="B45">
        <f t="shared" si="6"/>
        <v>43</v>
      </c>
      <c r="C45">
        <f t="shared" si="1"/>
        <v>43</v>
      </c>
      <c r="D45">
        <f t="shared" si="2"/>
        <v>86</v>
      </c>
      <c r="E45">
        <v>10</v>
      </c>
      <c r="F45" t="str">
        <f t="shared" si="3"/>
        <v>43:43</v>
      </c>
      <c r="G45" t="str">
        <f t="shared" si="4"/>
        <v>43:86</v>
      </c>
      <c r="H45" t="str">
        <f t="shared" si="5"/>
        <v>43:10</v>
      </c>
    </row>
    <row r="46" spans="2:8" x14ac:dyDescent="0.2">
      <c r="B46">
        <f t="shared" si="6"/>
        <v>44</v>
      </c>
      <c r="C46">
        <f t="shared" si="1"/>
        <v>44</v>
      </c>
      <c r="D46">
        <f t="shared" si="2"/>
        <v>88</v>
      </c>
      <c r="E46">
        <v>10</v>
      </c>
      <c r="F46" t="str">
        <f t="shared" si="3"/>
        <v>44:44</v>
      </c>
      <c r="G46" t="str">
        <f t="shared" si="4"/>
        <v>44:88</v>
      </c>
      <c r="H46" t="str">
        <f t="shared" si="5"/>
        <v>44:10</v>
      </c>
    </row>
    <row r="47" spans="2:8" x14ac:dyDescent="0.2">
      <c r="B47">
        <f t="shared" si="6"/>
        <v>45</v>
      </c>
      <c r="C47">
        <f t="shared" si="1"/>
        <v>45</v>
      </c>
      <c r="D47">
        <f t="shared" si="2"/>
        <v>90</v>
      </c>
      <c r="E47">
        <v>10</v>
      </c>
      <c r="F47" t="str">
        <f t="shared" si="3"/>
        <v>45:45</v>
      </c>
      <c r="G47" t="str">
        <f t="shared" si="4"/>
        <v>45:90</v>
      </c>
      <c r="H47" t="str">
        <f t="shared" si="5"/>
        <v>45:10</v>
      </c>
    </row>
    <row r="48" spans="2:8" x14ac:dyDescent="0.2">
      <c r="B48">
        <f t="shared" si="6"/>
        <v>46</v>
      </c>
      <c r="C48">
        <f t="shared" si="1"/>
        <v>46</v>
      </c>
      <c r="D48">
        <f t="shared" si="2"/>
        <v>92</v>
      </c>
      <c r="E48">
        <v>10</v>
      </c>
      <c r="F48" t="str">
        <f t="shared" si="3"/>
        <v>46:46</v>
      </c>
      <c r="G48" t="str">
        <f t="shared" si="4"/>
        <v>46:92</v>
      </c>
      <c r="H48" t="str">
        <f t="shared" si="5"/>
        <v>46:10</v>
      </c>
    </row>
    <row r="49" spans="2:8" x14ac:dyDescent="0.2">
      <c r="B49">
        <f t="shared" si="6"/>
        <v>47</v>
      </c>
      <c r="C49">
        <f t="shared" si="1"/>
        <v>47</v>
      </c>
      <c r="D49">
        <f t="shared" si="2"/>
        <v>94</v>
      </c>
      <c r="E49">
        <v>10</v>
      </c>
      <c r="F49" t="str">
        <f t="shared" si="3"/>
        <v>47:47</v>
      </c>
      <c r="G49" t="str">
        <f t="shared" si="4"/>
        <v>47:94</v>
      </c>
      <c r="H49" t="str">
        <f t="shared" si="5"/>
        <v>47:10</v>
      </c>
    </row>
    <row r="50" spans="2:8" x14ac:dyDescent="0.2">
      <c r="B50">
        <f t="shared" si="6"/>
        <v>48</v>
      </c>
      <c r="C50">
        <f t="shared" si="1"/>
        <v>48</v>
      </c>
      <c r="D50">
        <f t="shared" si="2"/>
        <v>96</v>
      </c>
      <c r="E50">
        <v>10</v>
      </c>
      <c r="F50" t="str">
        <f t="shared" si="3"/>
        <v>48:48</v>
      </c>
      <c r="G50" t="str">
        <f t="shared" si="4"/>
        <v>48:96</v>
      </c>
      <c r="H50" t="str">
        <f t="shared" si="5"/>
        <v>48:10</v>
      </c>
    </row>
    <row r="51" spans="2:8" x14ac:dyDescent="0.2">
      <c r="B51">
        <f t="shared" si="6"/>
        <v>49</v>
      </c>
      <c r="C51">
        <f t="shared" si="1"/>
        <v>49</v>
      </c>
      <c r="D51">
        <f t="shared" si="2"/>
        <v>98</v>
      </c>
      <c r="E51">
        <v>10</v>
      </c>
      <c r="F51" t="str">
        <f t="shared" si="3"/>
        <v>49:49</v>
      </c>
      <c r="G51" t="str">
        <f t="shared" si="4"/>
        <v>49:98</v>
      </c>
      <c r="H51" t="str">
        <f t="shared" si="5"/>
        <v>49:10</v>
      </c>
    </row>
    <row r="52" spans="2:8" x14ac:dyDescent="0.2">
      <c r="B52">
        <f t="shared" si="6"/>
        <v>50</v>
      </c>
      <c r="C52">
        <f t="shared" si="1"/>
        <v>50</v>
      </c>
      <c r="D52">
        <f t="shared" si="2"/>
        <v>100</v>
      </c>
      <c r="E52">
        <v>10</v>
      </c>
      <c r="F52" t="str">
        <f t="shared" si="3"/>
        <v>50:50</v>
      </c>
      <c r="G52" t="str">
        <f t="shared" si="4"/>
        <v>50:100</v>
      </c>
      <c r="H52" t="str">
        <f t="shared" si="5"/>
        <v>50:10</v>
      </c>
    </row>
    <row r="53" spans="2:8" x14ac:dyDescent="0.2">
      <c r="B53">
        <f t="shared" si="6"/>
        <v>51</v>
      </c>
      <c r="C53">
        <f t="shared" si="1"/>
        <v>51</v>
      </c>
      <c r="D53">
        <f t="shared" si="2"/>
        <v>102</v>
      </c>
      <c r="E53">
        <v>10</v>
      </c>
      <c r="F53" t="str">
        <f t="shared" si="3"/>
        <v>51:51</v>
      </c>
      <c r="G53" t="str">
        <f t="shared" si="4"/>
        <v>51:102</v>
      </c>
      <c r="H53" t="str">
        <f t="shared" si="5"/>
        <v>51:10</v>
      </c>
    </row>
    <row r="54" spans="2:8" x14ac:dyDescent="0.2">
      <c r="B54">
        <f t="shared" si="6"/>
        <v>52</v>
      </c>
      <c r="C54">
        <f t="shared" si="1"/>
        <v>52</v>
      </c>
      <c r="D54">
        <f t="shared" si="2"/>
        <v>104</v>
      </c>
      <c r="E54">
        <v>10</v>
      </c>
      <c r="F54" t="str">
        <f t="shared" si="3"/>
        <v>52:52</v>
      </c>
      <c r="G54" t="str">
        <f t="shared" si="4"/>
        <v>52:104</v>
      </c>
      <c r="H54" t="str">
        <f t="shared" si="5"/>
        <v>52:10</v>
      </c>
    </row>
    <row r="55" spans="2:8" x14ac:dyDescent="0.2">
      <c r="B55">
        <f t="shared" si="6"/>
        <v>53</v>
      </c>
      <c r="C55">
        <f t="shared" si="1"/>
        <v>53</v>
      </c>
      <c r="D55">
        <f t="shared" si="2"/>
        <v>106</v>
      </c>
      <c r="E55">
        <v>10</v>
      </c>
      <c r="F55" t="str">
        <f t="shared" si="3"/>
        <v>53:53</v>
      </c>
      <c r="G55" t="str">
        <f t="shared" si="4"/>
        <v>53:106</v>
      </c>
      <c r="H55" t="str">
        <f t="shared" si="5"/>
        <v>53:10</v>
      </c>
    </row>
    <row r="56" spans="2:8" x14ac:dyDescent="0.2">
      <c r="B56">
        <f t="shared" si="6"/>
        <v>54</v>
      </c>
      <c r="C56">
        <f t="shared" si="1"/>
        <v>54</v>
      </c>
      <c r="D56">
        <f t="shared" si="2"/>
        <v>108</v>
      </c>
      <c r="E56">
        <v>10</v>
      </c>
      <c r="F56" t="str">
        <f t="shared" si="3"/>
        <v>54:54</v>
      </c>
      <c r="G56" t="str">
        <f t="shared" si="4"/>
        <v>54:108</v>
      </c>
      <c r="H56" t="str">
        <f t="shared" si="5"/>
        <v>54:10</v>
      </c>
    </row>
    <row r="57" spans="2:8" x14ac:dyDescent="0.2">
      <c r="B57">
        <f t="shared" si="6"/>
        <v>55</v>
      </c>
      <c r="C57">
        <f t="shared" si="1"/>
        <v>55</v>
      </c>
      <c r="D57">
        <f t="shared" si="2"/>
        <v>110</v>
      </c>
      <c r="E57">
        <v>10</v>
      </c>
      <c r="F57" t="str">
        <f t="shared" si="3"/>
        <v>55:55</v>
      </c>
      <c r="G57" t="str">
        <f t="shared" si="4"/>
        <v>55:110</v>
      </c>
      <c r="H57" t="str">
        <f t="shared" si="5"/>
        <v>55:10</v>
      </c>
    </row>
    <row r="58" spans="2:8" x14ac:dyDescent="0.2">
      <c r="B58">
        <f t="shared" si="6"/>
        <v>56</v>
      </c>
      <c r="C58">
        <f t="shared" si="1"/>
        <v>56</v>
      </c>
      <c r="D58">
        <f t="shared" si="2"/>
        <v>112</v>
      </c>
      <c r="E58">
        <v>10</v>
      </c>
      <c r="F58" t="str">
        <f t="shared" si="3"/>
        <v>56:56</v>
      </c>
      <c r="G58" t="str">
        <f t="shared" si="4"/>
        <v>56:112</v>
      </c>
      <c r="H58" t="str">
        <f t="shared" si="5"/>
        <v>56:10</v>
      </c>
    </row>
    <row r="59" spans="2:8" x14ac:dyDescent="0.2">
      <c r="B59">
        <f t="shared" si="6"/>
        <v>57</v>
      </c>
      <c r="C59">
        <f t="shared" si="1"/>
        <v>57</v>
      </c>
      <c r="D59">
        <f t="shared" si="2"/>
        <v>114</v>
      </c>
      <c r="E59">
        <v>10</v>
      </c>
      <c r="F59" t="str">
        <f t="shared" si="3"/>
        <v>57:57</v>
      </c>
      <c r="G59" t="str">
        <f t="shared" si="4"/>
        <v>57:114</v>
      </c>
      <c r="H59" t="str">
        <f t="shared" si="5"/>
        <v>57:10</v>
      </c>
    </row>
    <row r="60" spans="2:8" x14ac:dyDescent="0.2">
      <c r="B60">
        <f t="shared" si="6"/>
        <v>58</v>
      </c>
      <c r="C60">
        <f t="shared" si="1"/>
        <v>58</v>
      </c>
      <c r="D60">
        <f t="shared" si="2"/>
        <v>116</v>
      </c>
      <c r="E60">
        <v>10</v>
      </c>
      <c r="F60" t="str">
        <f t="shared" si="3"/>
        <v>58:58</v>
      </c>
      <c r="G60" t="str">
        <f t="shared" si="4"/>
        <v>58:116</v>
      </c>
      <c r="H60" t="str">
        <f t="shared" si="5"/>
        <v>58:10</v>
      </c>
    </row>
    <row r="61" spans="2:8" x14ac:dyDescent="0.2">
      <c r="B61">
        <f t="shared" si="6"/>
        <v>59</v>
      </c>
      <c r="C61">
        <f t="shared" si="1"/>
        <v>59</v>
      </c>
      <c r="D61">
        <f t="shared" si="2"/>
        <v>118</v>
      </c>
      <c r="E61">
        <v>10</v>
      </c>
      <c r="F61" t="str">
        <f t="shared" si="3"/>
        <v>59:59</v>
      </c>
      <c r="G61" t="str">
        <f t="shared" si="4"/>
        <v>59:118</v>
      </c>
      <c r="H61" t="str">
        <f t="shared" si="5"/>
        <v>59:10</v>
      </c>
    </row>
    <row r="62" spans="2:8" x14ac:dyDescent="0.2">
      <c r="B62">
        <f t="shared" si="6"/>
        <v>60</v>
      </c>
      <c r="C62">
        <f t="shared" si="1"/>
        <v>60</v>
      </c>
      <c r="D62">
        <f t="shared" si="2"/>
        <v>120</v>
      </c>
      <c r="E62">
        <v>10</v>
      </c>
      <c r="F62" t="str">
        <f t="shared" si="3"/>
        <v>60:60</v>
      </c>
      <c r="G62" t="str">
        <f t="shared" si="4"/>
        <v>60:120</v>
      </c>
      <c r="H62" t="str">
        <f t="shared" si="5"/>
        <v>60:10</v>
      </c>
    </row>
    <row r="63" spans="2:8" x14ac:dyDescent="0.2">
      <c r="B63">
        <f t="shared" si="6"/>
        <v>61</v>
      </c>
      <c r="C63">
        <f t="shared" si="1"/>
        <v>61</v>
      </c>
      <c r="D63">
        <f t="shared" si="2"/>
        <v>122</v>
      </c>
      <c r="E63">
        <v>10</v>
      </c>
      <c r="F63" t="str">
        <f t="shared" si="3"/>
        <v>61:61</v>
      </c>
      <c r="G63" t="str">
        <f t="shared" si="4"/>
        <v>61:122</v>
      </c>
      <c r="H63" t="str">
        <f t="shared" si="5"/>
        <v>61:10</v>
      </c>
    </row>
    <row r="64" spans="2:8" x14ac:dyDescent="0.2">
      <c r="B64">
        <f t="shared" si="6"/>
        <v>62</v>
      </c>
      <c r="C64">
        <f t="shared" si="1"/>
        <v>62</v>
      </c>
      <c r="D64">
        <f t="shared" si="2"/>
        <v>124</v>
      </c>
      <c r="E64">
        <v>10</v>
      </c>
      <c r="F64" t="str">
        <f t="shared" si="3"/>
        <v>62:62</v>
      </c>
      <c r="G64" t="str">
        <f t="shared" si="4"/>
        <v>62:124</v>
      </c>
      <c r="H64" t="str">
        <f t="shared" si="5"/>
        <v>62:10</v>
      </c>
    </row>
    <row r="65" spans="2:8" x14ac:dyDescent="0.2">
      <c r="B65">
        <f t="shared" si="6"/>
        <v>63</v>
      </c>
      <c r="C65">
        <f t="shared" si="1"/>
        <v>63</v>
      </c>
      <c r="D65">
        <f t="shared" si="2"/>
        <v>126</v>
      </c>
      <c r="E65">
        <v>10</v>
      </c>
      <c r="F65" t="str">
        <f t="shared" si="3"/>
        <v>63:63</v>
      </c>
      <c r="G65" t="str">
        <f t="shared" si="4"/>
        <v>63:126</v>
      </c>
      <c r="H65" t="str">
        <f t="shared" si="5"/>
        <v>63:10</v>
      </c>
    </row>
    <row r="66" spans="2:8" x14ac:dyDescent="0.2">
      <c r="B66">
        <f t="shared" si="6"/>
        <v>64</v>
      </c>
      <c r="C66">
        <f t="shared" si="1"/>
        <v>64</v>
      </c>
      <c r="D66">
        <f t="shared" si="2"/>
        <v>128</v>
      </c>
      <c r="E66">
        <v>10</v>
      </c>
      <c r="F66" t="str">
        <f t="shared" si="3"/>
        <v>64:64</v>
      </c>
      <c r="G66" t="str">
        <f t="shared" si="4"/>
        <v>64:128</v>
      </c>
      <c r="H66" t="str">
        <f t="shared" si="5"/>
        <v>64:10</v>
      </c>
    </row>
    <row r="67" spans="2:8" x14ac:dyDescent="0.2">
      <c r="B67">
        <f t="shared" si="6"/>
        <v>65</v>
      </c>
      <c r="C67">
        <f t="shared" si="1"/>
        <v>65</v>
      </c>
      <c r="D67">
        <f t="shared" si="2"/>
        <v>130</v>
      </c>
      <c r="E67">
        <v>10</v>
      </c>
      <c r="F67" t="str">
        <f t="shared" si="3"/>
        <v>65:65</v>
      </c>
      <c r="G67" t="str">
        <f t="shared" si="4"/>
        <v>65:130</v>
      </c>
      <c r="H67" t="str">
        <f t="shared" si="5"/>
        <v>65:10</v>
      </c>
    </row>
    <row r="68" spans="2:8" x14ac:dyDescent="0.2">
      <c r="B68">
        <f t="shared" ref="B68:B94" si="7">B67+1</f>
        <v>66</v>
      </c>
      <c r="C68">
        <f t="shared" ref="C68:C131" si="8">B68</f>
        <v>66</v>
      </c>
      <c r="D68">
        <f t="shared" ref="D68:D131" si="9">C68*2</f>
        <v>132</v>
      </c>
      <c r="E68">
        <v>10</v>
      </c>
      <c r="F68" t="str">
        <f t="shared" ref="F68:F131" si="10">$B68&amp;":"&amp;C68</f>
        <v>66:66</v>
      </c>
      <c r="G68" t="str">
        <f t="shared" ref="G68:G131" si="11">$B68&amp;":"&amp;D68</f>
        <v>66:132</v>
      </c>
      <c r="H68" t="str">
        <f t="shared" ref="H68:H131" si="12">$B68&amp;":"&amp;E68</f>
        <v>66:10</v>
      </c>
    </row>
    <row r="69" spans="2:8" x14ac:dyDescent="0.2">
      <c r="B69">
        <f t="shared" si="7"/>
        <v>67</v>
      </c>
      <c r="C69">
        <f t="shared" si="8"/>
        <v>67</v>
      </c>
      <c r="D69">
        <f t="shared" si="9"/>
        <v>134</v>
      </c>
      <c r="E69">
        <v>10</v>
      </c>
      <c r="F69" t="str">
        <f t="shared" si="10"/>
        <v>67:67</v>
      </c>
      <c r="G69" t="str">
        <f t="shared" si="11"/>
        <v>67:134</v>
      </c>
      <c r="H69" t="str">
        <f t="shared" si="12"/>
        <v>67:10</v>
      </c>
    </row>
    <row r="70" spans="2:8" x14ac:dyDescent="0.2">
      <c r="B70">
        <f t="shared" si="7"/>
        <v>68</v>
      </c>
      <c r="C70">
        <f t="shared" si="8"/>
        <v>68</v>
      </c>
      <c r="D70">
        <f t="shared" si="9"/>
        <v>136</v>
      </c>
      <c r="E70">
        <v>10</v>
      </c>
      <c r="F70" t="str">
        <f t="shared" si="10"/>
        <v>68:68</v>
      </c>
      <c r="G70" t="str">
        <f t="shared" si="11"/>
        <v>68:136</v>
      </c>
      <c r="H70" t="str">
        <f t="shared" si="12"/>
        <v>68:10</v>
      </c>
    </row>
    <row r="71" spans="2:8" x14ac:dyDescent="0.2">
      <c r="B71">
        <f t="shared" si="7"/>
        <v>69</v>
      </c>
      <c r="C71">
        <f t="shared" si="8"/>
        <v>69</v>
      </c>
      <c r="D71">
        <f t="shared" si="9"/>
        <v>138</v>
      </c>
      <c r="E71">
        <v>10</v>
      </c>
      <c r="F71" t="str">
        <f t="shared" si="10"/>
        <v>69:69</v>
      </c>
      <c r="G71" t="str">
        <f t="shared" si="11"/>
        <v>69:138</v>
      </c>
      <c r="H71" t="str">
        <f t="shared" si="12"/>
        <v>69:10</v>
      </c>
    </row>
    <row r="72" spans="2:8" x14ac:dyDescent="0.2">
      <c r="B72">
        <f t="shared" si="7"/>
        <v>70</v>
      </c>
      <c r="C72">
        <f t="shared" si="8"/>
        <v>70</v>
      </c>
      <c r="D72">
        <f t="shared" si="9"/>
        <v>140</v>
      </c>
      <c r="E72">
        <v>10</v>
      </c>
      <c r="F72" t="str">
        <f t="shared" si="10"/>
        <v>70:70</v>
      </c>
      <c r="G72" t="str">
        <f t="shared" si="11"/>
        <v>70:140</v>
      </c>
      <c r="H72" t="str">
        <f t="shared" si="12"/>
        <v>70:10</v>
      </c>
    </row>
    <row r="73" spans="2:8" x14ac:dyDescent="0.2">
      <c r="B73">
        <f t="shared" si="7"/>
        <v>71</v>
      </c>
      <c r="C73">
        <f t="shared" si="8"/>
        <v>71</v>
      </c>
      <c r="D73">
        <f t="shared" si="9"/>
        <v>142</v>
      </c>
      <c r="E73">
        <v>10</v>
      </c>
      <c r="F73" t="str">
        <f t="shared" si="10"/>
        <v>71:71</v>
      </c>
      <c r="G73" t="str">
        <f t="shared" si="11"/>
        <v>71:142</v>
      </c>
      <c r="H73" t="str">
        <f t="shared" si="12"/>
        <v>71:10</v>
      </c>
    </row>
    <row r="74" spans="2:8" x14ac:dyDescent="0.2">
      <c r="B74">
        <f t="shared" si="7"/>
        <v>72</v>
      </c>
      <c r="C74">
        <f t="shared" si="8"/>
        <v>72</v>
      </c>
      <c r="D74">
        <f t="shared" si="9"/>
        <v>144</v>
      </c>
      <c r="E74">
        <v>10</v>
      </c>
      <c r="F74" t="str">
        <f t="shared" si="10"/>
        <v>72:72</v>
      </c>
      <c r="G74" t="str">
        <f t="shared" si="11"/>
        <v>72:144</v>
      </c>
      <c r="H74" t="str">
        <f t="shared" si="12"/>
        <v>72:10</v>
      </c>
    </row>
    <row r="75" spans="2:8" x14ac:dyDescent="0.2">
      <c r="B75">
        <f t="shared" si="7"/>
        <v>73</v>
      </c>
      <c r="C75">
        <f t="shared" si="8"/>
        <v>73</v>
      </c>
      <c r="D75">
        <f t="shared" si="9"/>
        <v>146</v>
      </c>
      <c r="E75">
        <v>10</v>
      </c>
      <c r="F75" t="str">
        <f t="shared" si="10"/>
        <v>73:73</v>
      </c>
      <c r="G75" t="str">
        <f t="shared" si="11"/>
        <v>73:146</v>
      </c>
      <c r="H75" t="str">
        <f t="shared" si="12"/>
        <v>73:10</v>
      </c>
    </row>
    <row r="76" spans="2:8" x14ac:dyDescent="0.2">
      <c r="B76">
        <f t="shared" si="7"/>
        <v>74</v>
      </c>
      <c r="C76">
        <f t="shared" si="8"/>
        <v>74</v>
      </c>
      <c r="D76">
        <f t="shared" si="9"/>
        <v>148</v>
      </c>
      <c r="E76">
        <v>10</v>
      </c>
      <c r="F76" t="str">
        <f t="shared" si="10"/>
        <v>74:74</v>
      </c>
      <c r="G76" t="str">
        <f t="shared" si="11"/>
        <v>74:148</v>
      </c>
      <c r="H76" t="str">
        <f t="shared" si="12"/>
        <v>74:10</v>
      </c>
    </row>
    <row r="77" spans="2:8" x14ac:dyDescent="0.2">
      <c r="B77">
        <f t="shared" si="7"/>
        <v>75</v>
      </c>
      <c r="C77">
        <f t="shared" si="8"/>
        <v>75</v>
      </c>
      <c r="D77">
        <f t="shared" si="9"/>
        <v>150</v>
      </c>
      <c r="E77">
        <v>10</v>
      </c>
      <c r="F77" t="str">
        <f t="shared" si="10"/>
        <v>75:75</v>
      </c>
      <c r="G77" t="str">
        <f t="shared" si="11"/>
        <v>75:150</v>
      </c>
      <c r="H77" t="str">
        <f t="shared" si="12"/>
        <v>75:10</v>
      </c>
    </row>
    <row r="78" spans="2:8" x14ac:dyDescent="0.2">
      <c r="B78">
        <f t="shared" si="7"/>
        <v>76</v>
      </c>
      <c r="C78">
        <f t="shared" si="8"/>
        <v>76</v>
      </c>
      <c r="D78">
        <f t="shared" si="9"/>
        <v>152</v>
      </c>
      <c r="E78">
        <v>10</v>
      </c>
      <c r="F78" t="str">
        <f t="shared" si="10"/>
        <v>76:76</v>
      </c>
      <c r="G78" t="str">
        <f t="shared" si="11"/>
        <v>76:152</v>
      </c>
      <c r="H78" t="str">
        <f t="shared" si="12"/>
        <v>76:10</v>
      </c>
    </row>
    <row r="79" spans="2:8" x14ac:dyDescent="0.2">
      <c r="B79">
        <f t="shared" si="7"/>
        <v>77</v>
      </c>
      <c r="C79">
        <f t="shared" si="8"/>
        <v>77</v>
      </c>
      <c r="D79">
        <f t="shared" si="9"/>
        <v>154</v>
      </c>
      <c r="E79">
        <v>10</v>
      </c>
      <c r="F79" t="str">
        <f t="shared" si="10"/>
        <v>77:77</v>
      </c>
      <c r="G79" t="str">
        <f t="shared" si="11"/>
        <v>77:154</v>
      </c>
      <c r="H79" t="str">
        <f t="shared" si="12"/>
        <v>77:10</v>
      </c>
    </row>
    <row r="80" spans="2:8" x14ac:dyDescent="0.2">
      <c r="B80">
        <f t="shared" si="7"/>
        <v>78</v>
      </c>
      <c r="C80">
        <f t="shared" si="8"/>
        <v>78</v>
      </c>
      <c r="D80">
        <f t="shared" si="9"/>
        <v>156</v>
      </c>
      <c r="E80">
        <v>10</v>
      </c>
      <c r="F80" t="str">
        <f t="shared" si="10"/>
        <v>78:78</v>
      </c>
      <c r="G80" t="str">
        <f t="shared" si="11"/>
        <v>78:156</v>
      </c>
      <c r="H80" t="str">
        <f t="shared" si="12"/>
        <v>78:10</v>
      </c>
    </row>
    <row r="81" spans="2:8" x14ac:dyDescent="0.2">
      <c r="B81">
        <f t="shared" si="7"/>
        <v>79</v>
      </c>
      <c r="C81">
        <f t="shared" si="8"/>
        <v>79</v>
      </c>
      <c r="D81">
        <f t="shared" si="9"/>
        <v>158</v>
      </c>
      <c r="E81">
        <v>10</v>
      </c>
      <c r="F81" t="str">
        <f t="shared" si="10"/>
        <v>79:79</v>
      </c>
      <c r="G81" t="str">
        <f t="shared" si="11"/>
        <v>79:158</v>
      </c>
      <c r="H81" t="str">
        <f t="shared" si="12"/>
        <v>79:10</v>
      </c>
    </row>
    <row r="82" spans="2:8" x14ac:dyDescent="0.2">
      <c r="B82">
        <f t="shared" si="7"/>
        <v>80</v>
      </c>
      <c r="C82">
        <f t="shared" si="8"/>
        <v>80</v>
      </c>
      <c r="D82">
        <f t="shared" si="9"/>
        <v>160</v>
      </c>
      <c r="E82">
        <v>10</v>
      </c>
      <c r="F82" t="str">
        <f t="shared" si="10"/>
        <v>80:80</v>
      </c>
      <c r="G82" t="str">
        <f t="shared" si="11"/>
        <v>80:160</v>
      </c>
      <c r="H82" t="str">
        <f t="shared" si="12"/>
        <v>80:10</v>
      </c>
    </row>
    <row r="83" spans="2:8" x14ac:dyDescent="0.2">
      <c r="B83">
        <f t="shared" si="7"/>
        <v>81</v>
      </c>
      <c r="C83">
        <f t="shared" si="8"/>
        <v>81</v>
      </c>
      <c r="D83">
        <f t="shared" si="9"/>
        <v>162</v>
      </c>
      <c r="E83">
        <v>10</v>
      </c>
      <c r="F83" t="str">
        <f t="shared" si="10"/>
        <v>81:81</v>
      </c>
      <c r="G83" t="str">
        <f t="shared" si="11"/>
        <v>81:162</v>
      </c>
      <c r="H83" t="str">
        <f t="shared" si="12"/>
        <v>81:10</v>
      </c>
    </row>
    <row r="84" spans="2:8" x14ac:dyDescent="0.2">
      <c r="B84">
        <f t="shared" si="7"/>
        <v>82</v>
      </c>
      <c r="C84">
        <f t="shared" si="8"/>
        <v>82</v>
      </c>
      <c r="D84">
        <f t="shared" si="9"/>
        <v>164</v>
      </c>
      <c r="E84">
        <v>10</v>
      </c>
      <c r="F84" t="str">
        <f t="shared" si="10"/>
        <v>82:82</v>
      </c>
      <c r="G84" t="str">
        <f t="shared" si="11"/>
        <v>82:164</v>
      </c>
      <c r="H84" t="str">
        <f t="shared" si="12"/>
        <v>82:10</v>
      </c>
    </row>
    <row r="85" spans="2:8" x14ac:dyDescent="0.2">
      <c r="B85">
        <f t="shared" si="7"/>
        <v>83</v>
      </c>
      <c r="C85">
        <f t="shared" si="8"/>
        <v>83</v>
      </c>
      <c r="D85">
        <f t="shared" si="9"/>
        <v>166</v>
      </c>
      <c r="E85">
        <v>10</v>
      </c>
      <c r="F85" t="str">
        <f t="shared" si="10"/>
        <v>83:83</v>
      </c>
      <c r="G85" t="str">
        <f t="shared" si="11"/>
        <v>83:166</v>
      </c>
      <c r="H85" t="str">
        <f t="shared" si="12"/>
        <v>83:10</v>
      </c>
    </row>
    <row r="86" spans="2:8" x14ac:dyDescent="0.2">
      <c r="B86">
        <f t="shared" si="7"/>
        <v>84</v>
      </c>
      <c r="C86">
        <f t="shared" si="8"/>
        <v>84</v>
      </c>
      <c r="D86">
        <f t="shared" si="9"/>
        <v>168</v>
      </c>
      <c r="E86">
        <v>10</v>
      </c>
      <c r="F86" t="str">
        <f t="shared" si="10"/>
        <v>84:84</v>
      </c>
      <c r="G86" t="str">
        <f t="shared" si="11"/>
        <v>84:168</v>
      </c>
      <c r="H86" t="str">
        <f t="shared" si="12"/>
        <v>84:10</v>
      </c>
    </row>
    <row r="87" spans="2:8" x14ac:dyDescent="0.2">
      <c r="B87">
        <f t="shared" si="7"/>
        <v>85</v>
      </c>
      <c r="C87">
        <f t="shared" si="8"/>
        <v>85</v>
      </c>
      <c r="D87">
        <f t="shared" si="9"/>
        <v>170</v>
      </c>
      <c r="E87">
        <v>10</v>
      </c>
      <c r="F87" t="str">
        <f t="shared" si="10"/>
        <v>85:85</v>
      </c>
      <c r="G87" t="str">
        <f t="shared" si="11"/>
        <v>85:170</v>
      </c>
      <c r="H87" t="str">
        <f t="shared" si="12"/>
        <v>85:10</v>
      </c>
    </row>
    <row r="88" spans="2:8" x14ac:dyDescent="0.2">
      <c r="B88">
        <f t="shared" si="7"/>
        <v>86</v>
      </c>
      <c r="C88">
        <f t="shared" si="8"/>
        <v>86</v>
      </c>
      <c r="D88">
        <f t="shared" si="9"/>
        <v>172</v>
      </c>
      <c r="E88">
        <v>10</v>
      </c>
      <c r="F88" t="str">
        <f t="shared" si="10"/>
        <v>86:86</v>
      </c>
      <c r="G88" t="str">
        <f t="shared" si="11"/>
        <v>86:172</v>
      </c>
      <c r="H88" t="str">
        <f t="shared" si="12"/>
        <v>86:10</v>
      </c>
    </row>
    <row r="89" spans="2:8" x14ac:dyDescent="0.2">
      <c r="B89">
        <f t="shared" si="7"/>
        <v>87</v>
      </c>
      <c r="C89">
        <f t="shared" si="8"/>
        <v>87</v>
      </c>
      <c r="D89">
        <f t="shared" si="9"/>
        <v>174</v>
      </c>
      <c r="E89">
        <v>10</v>
      </c>
      <c r="F89" t="str">
        <f t="shared" si="10"/>
        <v>87:87</v>
      </c>
      <c r="G89" t="str">
        <f t="shared" si="11"/>
        <v>87:174</v>
      </c>
      <c r="H89" t="str">
        <f t="shared" si="12"/>
        <v>87:10</v>
      </c>
    </row>
    <row r="90" spans="2:8" x14ac:dyDescent="0.2">
      <c r="B90">
        <f t="shared" si="7"/>
        <v>88</v>
      </c>
      <c r="C90">
        <f t="shared" si="8"/>
        <v>88</v>
      </c>
      <c r="D90">
        <f t="shared" si="9"/>
        <v>176</v>
      </c>
      <c r="E90">
        <v>10</v>
      </c>
      <c r="F90" t="str">
        <f t="shared" si="10"/>
        <v>88:88</v>
      </c>
      <c r="G90" t="str">
        <f t="shared" si="11"/>
        <v>88:176</v>
      </c>
      <c r="H90" t="str">
        <f t="shared" si="12"/>
        <v>88:10</v>
      </c>
    </row>
    <row r="91" spans="2:8" x14ac:dyDescent="0.2">
      <c r="B91">
        <f t="shared" si="7"/>
        <v>89</v>
      </c>
      <c r="C91">
        <f t="shared" si="8"/>
        <v>89</v>
      </c>
      <c r="D91">
        <f t="shared" si="9"/>
        <v>178</v>
      </c>
      <c r="E91">
        <v>10</v>
      </c>
      <c r="F91" t="str">
        <f t="shared" si="10"/>
        <v>89:89</v>
      </c>
      <c r="G91" t="str">
        <f t="shared" si="11"/>
        <v>89:178</v>
      </c>
      <c r="H91" t="str">
        <f t="shared" si="12"/>
        <v>89:10</v>
      </c>
    </row>
    <row r="92" spans="2:8" x14ac:dyDescent="0.2">
      <c r="B92">
        <f t="shared" si="7"/>
        <v>90</v>
      </c>
      <c r="C92">
        <f t="shared" si="8"/>
        <v>90</v>
      </c>
      <c r="D92">
        <f t="shared" si="9"/>
        <v>180</v>
      </c>
      <c r="E92">
        <v>10</v>
      </c>
      <c r="F92" t="str">
        <f t="shared" si="10"/>
        <v>90:90</v>
      </c>
      <c r="G92" t="str">
        <f t="shared" si="11"/>
        <v>90:180</v>
      </c>
      <c r="H92" t="str">
        <f t="shared" si="12"/>
        <v>90:10</v>
      </c>
    </row>
    <row r="93" spans="2:8" x14ac:dyDescent="0.2">
      <c r="B93">
        <f t="shared" si="7"/>
        <v>91</v>
      </c>
      <c r="C93">
        <f t="shared" si="8"/>
        <v>91</v>
      </c>
      <c r="D93">
        <f t="shared" si="9"/>
        <v>182</v>
      </c>
      <c r="E93">
        <v>10</v>
      </c>
      <c r="F93" t="str">
        <f t="shared" si="10"/>
        <v>91:91</v>
      </c>
      <c r="G93" t="str">
        <f t="shared" si="11"/>
        <v>91:182</v>
      </c>
      <c r="H93" t="str">
        <f t="shared" si="12"/>
        <v>91:10</v>
      </c>
    </row>
    <row r="94" spans="2:8" x14ac:dyDescent="0.2">
      <c r="B94">
        <f t="shared" si="7"/>
        <v>92</v>
      </c>
      <c r="C94">
        <f t="shared" si="8"/>
        <v>92</v>
      </c>
      <c r="D94">
        <f t="shared" si="9"/>
        <v>184</v>
      </c>
      <c r="E94">
        <v>10</v>
      </c>
      <c r="F94" t="str">
        <f t="shared" si="10"/>
        <v>92:92</v>
      </c>
      <c r="G94" t="str">
        <f t="shared" si="11"/>
        <v>92:184</v>
      </c>
      <c r="H94" t="str">
        <f t="shared" si="12"/>
        <v>92:10</v>
      </c>
    </row>
    <row r="95" spans="2:8" x14ac:dyDescent="0.2">
      <c r="B95">
        <f t="shared" ref="B95:B158" si="13">B94+1</f>
        <v>93</v>
      </c>
      <c r="C95">
        <f t="shared" si="8"/>
        <v>93</v>
      </c>
      <c r="D95">
        <f t="shared" si="9"/>
        <v>186</v>
      </c>
      <c r="E95">
        <v>10</v>
      </c>
      <c r="F95" t="str">
        <f t="shared" si="10"/>
        <v>93:93</v>
      </c>
      <c r="G95" t="str">
        <f t="shared" si="11"/>
        <v>93:186</v>
      </c>
      <c r="H95" t="str">
        <f t="shared" si="12"/>
        <v>93:10</v>
      </c>
    </row>
    <row r="96" spans="2:8" x14ac:dyDescent="0.2">
      <c r="B96">
        <f t="shared" si="13"/>
        <v>94</v>
      </c>
      <c r="C96">
        <f t="shared" si="8"/>
        <v>94</v>
      </c>
      <c r="D96">
        <f t="shared" si="9"/>
        <v>188</v>
      </c>
      <c r="E96">
        <v>10</v>
      </c>
      <c r="F96" t="str">
        <f t="shared" si="10"/>
        <v>94:94</v>
      </c>
      <c r="G96" t="str">
        <f t="shared" si="11"/>
        <v>94:188</v>
      </c>
      <c r="H96" t="str">
        <f t="shared" si="12"/>
        <v>94:10</v>
      </c>
    </row>
    <row r="97" spans="2:8" x14ac:dyDescent="0.2">
      <c r="B97">
        <f t="shared" si="13"/>
        <v>95</v>
      </c>
      <c r="C97">
        <f t="shared" si="8"/>
        <v>95</v>
      </c>
      <c r="D97">
        <f t="shared" si="9"/>
        <v>190</v>
      </c>
      <c r="E97">
        <v>10</v>
      </c>
      <c r="F97" t="str">
        <f t="shared" si="10"/>
        <v>95:95</v>
      </c>
      <c r="G97" t="str">
        <f t="shared" si="11"/>
        <v>95:190</v>
      </c>
      <c r="H97" t="str">
        <f t="shared" si="12"/>
        <v>95:10</v>
      </c>
    </row>
    <row r="98" spans="2:8" x14ac:dyDescent="0.2">
      <c r="B98">
        <f t="shared" si="13"/>
        <v>96</v>
      </c>
      <c r="C98">
        <f t="shared" si="8"/>
        <v>96</v>
      </c>
      <c r="D98">
        <f t="shared" si="9"/>
        <v>192</v>
      </c>
      <c r="E98">
        <v>10</v>
      </c>
      <c r="F98" t="str">
        <f t="shared" si="10"/>
        <v>96:96</v>
      </c>
      <c r="G98" t="str">
        <f t="shared" si="11"/>
        <v>96:192</v>
      </c>
      <c r="H98" t="str">
        <f t="shared" si="12"/>
        <v>96:10</v>
      </c>
    </row>
    <row r="99" spans="2:8" x14ac:dyDescent="0.2">
      <c r="B99">
        <f t="shared" si="13"/>
        <v>97</v>
      </c>
      <c r="C99">
        <f t="shared" si="8"/>
        <v>97</v>
      </c>
      <c r="D99">
        <f t="shared" si="9"/>
        <v>194</v>
      </c>
      <c r="E99">
        <v>10</v>
      </c>
      <c r="F99" t="str">
        <f t="shared" si="10"/>
        <v>97:97</v>
      </c>
      <c r="G99" t="str">
        <f t="shared" si="11"/>
        <v>97:194</v>
      </c>
      <c r="H99" t="str">
        <f t="shared" si="12"/>
        <v>97:10</v>
      </c>
    </row>
    <row r="100" spans="2:8" x14ac:dyDescent="0.2">
      <c r="B100">
        <f t="shared" si="13"/>
        <v>98</v>
      </c>
      <c r="C100">
        <f t="shared" si="8"/>
        <v>98</v>
      </c>
      <c r="D100">
        <f t="shared" si="9"/>
        <v>196</v>
      </c>
      <c r="E100">
        <v>10</v>
      </c>
      <c r="F100" t="str">
        <f t="shared" si="10"/>
        <v>98:98</v>
      </c>
      <c r="G100" t="str">
        <f t="shared" si="11"/>
        <v>98:196</v>
      </c>
      <c r="H100" t="str">
        <f t="shared" si="12"/>
        <v>98:10</v>
      </c>
    </row>
    <row r="101" spans="2:8" x14ac:dyDescent="0.2">
      <c r="B101">
        <f t="shared" si="13"/>
        <v>99</v>
      </c>
      <c r="C101">
        <f t="shared" si="8"/>
        <v>99</v>
      </c>
      <c r="D101">
        <f t="shared" si="9"/>
        <v>198</v>
      </c>
      <c r="E101">
        <v>10</v>
      </c>
      <c r="F101" t="str">
        <f t="shared" si="10"/>
        <v>99:99</v>
      </c>
      <c r="G101" t="str">
        <f t="shared" si="11"/>
        <v>99:198</v>
      </c>
      <c r="H101" t="str">
        <f t="shared" si="12"/>
        <v>99:10</v>
      </c>
    </row>
    <row r="102" spans="2:8" x14ac:dyDescent="0.2">
      <c r="B102">
        <f t="shared" si="13"/>
        <v>100</v>
      </c>
      <c r="C102">
        <f t="shared" si="8"/>
        <v>100</v>
      </c>
      <c r="D102">
        <f t="shared" si="9"/>
        <v>200</v>
      </c>
      <c r="E102">
        <v>10</v>
      </c>
      <c r="F102" t="str">
        <f t="shared" si="10"/>
        <v>100:100</v>
      </c>
      <c r="G102" t="str">
        <f t="shared" si="11"/>
        <v>100:200</v>
      </c>
      <c r="H102" t="str">
        <f t="shared" si="12"/>
        <v>100:10</v>
      </c>
    </row>
    <row r="103" spans="2:8" x14ac:dyDescent="0.2">
      <c r="B103">
        <f t="shared" si="13"/>
        <v>101</v>
      </c>
      <c r="C103">
        <f t="shared" si="8"/>
        <v>101</v>
      </c>
      <c r="D103">
        <f t="shared" si="9"/>
        <v>202</v>
      </c>
      <c r="E103">
        <v>10</v>
      </c>
      <c r="F103" t="str">
        <f t="shared" si="10"/>
        <v>101:101</v>
      </c>
      <c r="G103" t="str">
        <f t="shared" si="11"/>
        <v>101:202</v>
      </c>
      <c r="H103" t="str">
        <f t="shared" si="12"/>
        <v>101:10</v>
      </c>
    </row>
    <row r="104" spans="2:8" x14ac:dyDescent="0.2">
      <c r="B104">
        <f t="shared" si="13"/>
        <v>102</v>
      </c>
      <c r="C104">
        <f t="shared" si="8"/>
        <v>102</v>
      </c>
      <c r="D104">
        <f t="shared" si="9"/>
        <v>204</v>
      </c>
      <c r="E104">
        <v>10</v>
      </c>
      <c r="F104" t="str">
        <f t="shared" si="10"/>
        <v>102:102</v>
      </c>
      <c r="G104" t="str">
        <f t="shared" si="11"/>
        <v>102:204</v>
      </c>
      <c r="H104" t="str">
        <f t="shared" si="12"/>
        <v>102:10</v>
      </c>
    </row>
    <row r="105" spans="2:8" x14ac:dyDescent="0.2">
      <c r="B105">
        <f t="shared" si="13"/>
        <v>103</v>
      </c>
      <c r="C105">
        <f t="shared" si="8"/>
        <v>103</v>
      </c>
      <c r="D105">
        <f t="shared" si="9"/>
        <v>206</v>
      </c>
      <c r="E105">
        <v>10</v>
      </c>
      <c r="F105" t="str">
        <f t="shared" si="10"/>
        <v>103:103</v>
      </c>
      <c r="G105" t="str">
        <f t="shared" si="11"/>
        <v>103:206</v>
      </c>
      <c r="H105" t="str">
        <f t="shared" si="12"/>
        <v>103:10</v>
      </c>
    </row>
    <row r="106" spans="2:8" x14ac:dyDescent="0.2">
      <c r="B106">
        <f t="shared" si="13"/>
        <v>104</v>
      </c>
      <c r="C106">
        <f t="shared" si="8"/>
        <v>104</v>
      </c>
      <c r="D106">
        <f t="shared" si="9"/>
        <v>208</v>
      </c>
      <c r="E106">
        <v>10</v>
      </c>
      <c r="F106" t="str">
        <f t="shared" si="10"/>
        <v>104:104</v>
      </c>
      <c r="G106" t="str">
        <f t="shared" si="11"/>
        <v>104:208</v>
      </c>
      <c r="H106" t="str">
        <f t="shared" si="12"/>
        <v>104:10</v>
      </c>
    </row>
    <row r="107" spans="2:8" x14ac:dyDescent="0.2">
      <c r="B107">
        <f t="shared" si="13"/>
        <v>105</v>
      </c>
      <c r="C107">
        <f t="shared" si="8"/>
        <v>105</v>
      </c>
      <c r="D107">
        <f t="shared" si="9"/>
        <v>210</v>
      </c>
      <c r="E107">
        <v>10</v>
      </c>
      <c r="F107" t="str">
        <f t="shared" si="10"/>
        <v>105:105</v>
      </c>
      <c r="G107" t="str">
        <f t="shared" si="11"/>
        <v>105:210</v>
      </c>
      <c r="H107" t="str">
        <f t="shared" si="12"/>
        <v>105:10</v>
      </c>
    </row>
    <row r="108" spans="2:8" x14ac:dyDescent="0.2">
      <c r="B108">
        <f t="shared" si="13"/>
        <v>106</v>
      </c>
      <c r="C108">
        <f t="shared" si="8"/>
        <v>106</v>
      </c>
      <c r="D108">
        <f t="shared" si="9"/>
        <v>212</v>
      </c>
      <c r="E108">
        <v>10</v>
      </c>
      <c r="F108" t="str">
        <f t="shared" si="10"/>
        <v>106:106</v>
      </c>
      <c r="G108" t="str">
        <f t="shared" si="11"/>
        <v>106:212</v>
      </c>
      <c r="H108" t="str">
        <f t="shared" si="12"/>
        <v>106:10</v>
      </c>
    </row>
    <row r="109" spans="2:8" x14ac:dyDescent="0.2">
      <c r="B109">
        <f t="shared" si="13"/>
        <v>107</v>
      </c>
      <c r="C109">
        <f t="shared" si="8"/>
        <v>107</v>
      </c>
      <c r="D109">
        <f t="shared" si="9"/>
        <v>214</v>
      </c>
      <c r="E109">
        <v>10</v>
      </c>
      <c r="F109" t="str">
        <f t="shared" si="10"/>
        <v>107:107</v>
      </c>
      <c r="G109" t="str">
        <f t="shared" si="11"/>
        <v>107:214</v>
      </c>
      <c r="H109" t="str">
        <f t="shared" si="12"/>
        <v>107:10</v>
      </c>
    </row>
    <row r="110" spans="2:8" x14ac:dyDescent="0.2">
      <c r="B110">
        <f t="shared" si="13"/>
        <v>108</v>
      </c>
      <c r="C110">
        <f t="shared" si="8"/>
        <v>108</v>
      </c>
      <c r="D110">
        <f t="shared" si="9"/>
        <v>216</v>
      </c>
      <c r="E110">
        <v>10</v>
      </c>
      <c r="F110" t="str">
        <f t="shared" si="10"/>
        <v>108:108</v>
      </c>
      <c r="G110" t="str">
        <f t="shared" si="11"/>
        <v>108:216</v>
      </c>
      <c r="H110" t="str">
        <f t="shared" si="12"/>
        <v>108:10</v>
      </c>
    </row>
    <row r="111" spans="2:8" x14ac:dyDescent="0.2">
      <c r="B111">
        <f t="shared" si="13"/>
        <v>109</v>
      </c>
      <c r="C111">
        <f t="shared" si="8"/>
        <v>109</v>
      </c>
      <c r="D111">
        <f t="shared" si="9"/>
        <v>218</v>
      </c>
      <c r="E111">
        <v>10</v>
      </c>
      <c r="F111" t="str">
        <f t="shared" si="10"/>
        <v>109:109</v>
      </c>
      <c r="G111" t="str">
        <f t="shared" si="11"/>
        <v>109:218</v>
      </c>
      <c r="H111" t="str">
        <f t="shared" si="12"/>
        <v>109:10</v>
      </c>
    </row>
    <row r="112" spans="2:8" x14ac:dyDescent="0.2">
      <c r="B112">
        <f t="shared" si="13"/>
        <v>110</v>
      </c>
      <c r="C112">
        <f t="shared" si="8"/>
        <v>110</v>
      </c>
      <c r="D112">
        <f t="shared" si="9"/>
        <v>220</v>
      </c>
      <c r="E112">
        <v>10</v>
      </c>
      <c r="F112" t="str">
        <f t="shared" si="10"/>
        <v>110:110</v>
      </c>
      <c r="G112" t="str">
        <f t="shared" si="11"/>
        <v>110:220</v>
      </c>
      <c r="H112" t="str">
        <f t="shared" si="12"/>
        <v>110:10</v>
      </c>
    </row>
    <row r="113" spans="2:8" x14ac:dyDescent="0.2">
      <c r="B113">
        <f t="shared" si="13"/>
        <v>111</v>
      </c>
      <c r="C113">
        <f t="shared" si="8"/>
        <v>111</v>
      </c>
      <c r="D113">
        <f t="shared" si="9"/>
        <v>222</v>
      </c>
      <c r="E113">
        <v>10</v>
      </c>
      <c r="F113" t="str">
        <f t="shared" si="10"/>
        <v>111:111</v>
      </c>
      <c r="G113" t="str">
        <f t="shared" si="11"/>
        <v>111:222</v>
      </c>
      <c r="H113" t="str">
        <f t="shared" si="12"/>
        <v>111:10</v>
      </c>
    </row>
    <row r="114" spans="2:8" x14ac:dyDescent="0.2">
      <c r="B114">
        <f t="shared" si="13"/>
        <v>112</v>
      </c>
      <c r="C114">
        <f t="shared" si="8"/>
        <v>112</v>
      </c>
      <c r="D114">
        <f t="shared" si="9"/>
        <v>224</v>
      </c>
      <c r="E114">
        <v>10</v>
      </c>
      <c r="F114" t="str">
        <f t="shared" si="10"/>
        <v>112:112</v>
      </c>
      <c r="G114" t="str">
        <f t="shared" si="11"/>
        <v>112:224</v>
      </c>
      <c r="H114" t="str">
        <f t="shared" si="12"/>
        <v>112:10</v>
      </c>
    </row>
    <row r="115" spans="2:8" x14ac:dyDescent="0.2">
      <c r="B115">
        <f t="shared" si="13"/>
        <v>113</v>
      </c>
      <c r="C115">
        <f t="shared" si="8"/>
        <v>113</v>
      </c>
      <c r="D115">
        <f t="shared" si="9"/>
        <v>226</v>
      </c>
      <c r="E115">
        <v>10</v>
      </c>
      <c r="F115" t="str">
        <f t="shared" si="10"/>
        <v>113:113</v>
      </c>
      <c r="G115" t="str">
        <f t="shared" si="11"/>
        <v>113:226</v>
      </c>
      <c r="H115" t="str">
        <f t="shared" si="12"/>
        <v>113:10</v>
      </c>
    </row>
    <row r="116" spans="2:8" x14ac:dyDescent="0.2">
      <c r="B116">
        <f t="shared" si="13"/>
        <v>114</v>
      </c>
      <c r="C116">
        <f t="shared" si="8"/>
        <v>114</v>
      </c>
      <c r="D116">
        <f t="shared" si="9"/>
        <v>228</v>
      </c>
      <c r="E116">
        <v>10</v>
      </c>
      <c r="F116" t="str">
        <f t="shared" si="10"/>
        <v>114:114</v>
      </c>
      <c r="G116" t="str">
        <f t="shared" si="11"/>
        <v>114:228</v>
      </c>
      <c r="H116" t="str">
        <f t="shared" si="12"/>
        <v>114:10</v>
      </c>
    </row>
    <row r="117" spans="2:8" x14ac:dyDescent="0.2">
      <c r="B117">
        <f t="shared" si="13"/>
        <v>115</v>
      </c>
      <c r="C117">
        <f t="shared" si="8"/>
        <v>115</v>
      </c>
      <c r="D117">
        <f t="shared" si="9"/>
        <v>230</v>
      </c>
      <c r="E117">
        <v>10</v>
      </c>
      <c r="F117" t="str">
        <f t="shared" si="10"/>
        <v>115:115</v>
      </c>
      <c r="G117" t="str">
        <f t="shared" si="11"/>
        <v>115:230</v>
      </c>
      <c r="H117" t="str">
        <f t="shared" si="12"/>
        <v>115:10</v>
      </c>
    </row>
    <row r="118" spans="2:8" x14ac:dyDescent="0.2">
      <c r="B118">
        <f t="shared" si="13"/>
        <v>116</v>
      </c>
      <c r="C118">
        <f t="shared" si="8"/>
        <v>116</v>
      </c>
      <c r="D118">
        <f t="shared" si="9"/>
        <v>232</v>
      </c>
      <c r="E118">
        <v>10</v>
      </c>
      <c r="F118" t="str">
        <f t="shared" si="10"/>
        <v>116:116</v>
      </c>
      <c r="G118" t="str">
        <f t="shared" si="11"/>
        <v>116:232</v>
      </c>
      <c r="H118" t="str">
        <f t="shared" si="12"/>
        <v>116:10</v>
      </c>
    </row>
    <row r="119" spans="2:8" x14ac:dyDescent="0.2">
      <c r="B119">
        <f t="shared" si="13"/>
        <v>117</v>
      </c>
      <c r="C119">
        <f t="shared" si="8"/>
        <v>117</v>
      </c>
      <c r="D119">
        <f t="shared" si="9"/>
        <v>234</v>
      </c>
      <c r="E119">
        <v>10</v>
      </c>
      <c r="F119" t="str">
        <f t="shared" si="10"/>
        <v>117:117</v>
      </c>
      <c r="G119" t="str">
        <f t="shared" si="11"/>
        <v>117:234</v>
      </c>
      <c r="H119" t="str">
        <f t="shared" si="12"/>
        <v>117:10</v>
      </c>
    </row>
    <row r="120" spans="2:8" x14ac:dyDescent="0.2">
      <c r="B120">
        <f t="shared" si="13"/>
        <v>118</v>
      </c>
      <c r="C120">
        <f t="shared" si="8"/>
        <v>118</v>
      </c>
      <c r="D120">
        <f t="shared" si="9"/>
        <v>236</v>
      </c>
      <c r="E120">
        <v>10</v>
      </c>
      <c r="F120" t="str">
        <f t="shared" si="10"/>
        <v>118:118</v>
      </c>
      <c r="G120" t="str">
        <f t="shared" si="11"/>
        <v>118:236</v>
      </c>
      <c r="H120" t="str">
        <f t="shared" si="12"/>
        <v>118:10</v>
      </c>
    </row>
    <row r="121" spans="2:8" x14ac:dyDescent="0.2">
      <c r="B121">
        <f t="shared" si="13"/>
        <v>119</v>
      </c>
      <c r="C121">
        <f t="shared" si="8"/>
        <v>119</v>
      </c>
      <c r="D121">
        <f t="shared" si="9"/>
        <v>238</v>
      </c>
      <c r="E121">
        <v>10</v>
      </c>
      <c r="F121" t="str">
        <f t="shared" si="10"/>
        <v>119:119</v>
      </c>
      <c r="G121" t="str">
        <f t="shared" si="11"/>
        <v>119:238</v>
      </c>
      <c r="H121" t="str">
        <f t="shared" si="12"/>
        <v>119:10</v>
      </c>
    </row>
    <row r="122" spans="2:8" x14ac:dyDescent="0.2">
      <c r="B122">
        <f t="shared" si="13"/>
        <v>120</v>
      </c>
      <c r="C122">
        <f t="shared" si="8"/>
        <v>120</v>
      </c>
      <c r="D122">
        <f t="shared" si="9"/>
        <v>240</v>
      </c>
      <c r="E122">
        <v>10</v>
      </c>
      <c r="F122" t="str">
        <f t="shared" si="10"/>
        <v>120:120</v>
      </c>
      <c r="G122" t="str">
        <f t="shared" si="11"/>
        <v>120:240</v>
      </c>
      <c r="H122" t="str">
        <f t="shared" si="12"/>
        <v>120:10</v>
      </c>
    </row>
    <row r="123" spans="2:8" x14ac:dyDescent="0.2">
      <c r="B123">
        <f t="shared" si="13"/>
        <v>121</v>
      </c>
      <c r="C123">
        <f t="shared" si="8"/>
        <v>121</v>
      </c>
      <c r="D123">
        <f t="shared" si="9"/>
        <v>242</v>
      </c>
      <c r="E123">
        <v>10</v>
      </c>
      <c r="F123" t="str">
        <f t="shared" si="10"/>
        <v>121:121</v>
      </c>
      <c r="G123" t="str">
        <f t="shared" si="11"/>
        <v>121:242</v>
      </c>
      <c r="H123" t="str">
        <f t="shared" si="12"/>
        <v>121:10</v>
      </c>
    </row>
    <row r="124" spans="2:8" x14ac:dyDescent="0.2">
      <c r="B124">
        <f t="shared" si="13"/>
        <v>122</v>
      </c>
      <c r="C124">
        <f t="shared" si="8"/>
        <v>122</v>
      </c>
      <c r="D124">
        <f t="shared" si="9"/>
        <v>244</v>
      </c>
      <c r="E124">
        <v>10</v>
      </c>
      <c r="F124" t="str">
        <f t="shared" si="10"/>
        <v>122:122</v>
      </c>
      <c r="G124" t="str">
        <f t="shared" si="11"/>
        <v>122:244</v>
      </c>
      <c r="H124" t="str">
        <f t="shared" si="12"/>
        <v>122:10</v>
      </c>
    </row>
    <row r="125" spans="2:8" x14ac:dyDescent="0.2">
      <c r="B125">
        <f t="shared" si="13"/>
        <v>123</v>
      </c>
      <c r="C125">
        <f t="shared" si="8"/>
        <v>123</v>
      </c>
      <c r="D125">
        <f t="shared" si="9"/>
        <v>246</v>
      </c>
      <c r="E125">
        <v>10</v>
      </c>
      <c r="F125" t="str">
        <f t="shared" si="10"/>
        <v>123:123</v>
      </c>
      <c r="G125" t="str">
        <f t="shared" si="11"/>
        <v>123:246</v>
      </c>
      <c r="H125" t="str">
        <f t="shared" si="12"/>
        <v>123:10</v>
      </c>
    </row>
    <row r="126" spans="2:8" x14ac:dyDescent="0.2">
      <c r="B126">
        <f t="shared" si="13"/>
        <v>124</v>
      </c>
      <c r="C126">
        <f t="shared" si="8"/>
        <v>124</v>
      </c>
      <c r="D126">
        <f t="shared" si="9"/>
        <v>248</v>
      </c>
      <c r="E126">
        <v>10</v>
      </c>
      <c r="F126" t="str">
        <f t="shared" si="10"/>
        <v>124:124</v>
      </c>
      <c r="G126" t="str">
        <f t="shared" si="11"/>
        <v>124:248</v>
      </c>
      <c r="H126" t="str">
        <f t="shared" si="12"/>
        <v>124:10</v>
      </c>
    </row>
    <row r="127" spans="2:8" x14ac:dyDescent="0.2">
      <c r="B127">
        <f t="shared" si="13"/>
        <v>125</v>
      </c>
      <c r="C127">
        <f t="shared" si="8"/>
        <v>125</v>
      </c>
      <c r="D127">
        <f t="shared" si="9"/>
        <v>250</v>
      </c>
      <c r="E127">
        <v>10</v>
      </c>
      <c r="F127" t="str">
        <f t="shared" si="10"/>
        <v>125:125</v>
      </c>
      <c r="G127" t="str">
        <f t="shared" si="11"/>
        <v>125:250</v>
      </c>
      <c r="H127" t="str">
        <f t="shared" si="12"/>
        <v>125:10</v>
      </c>
    </row>
    <row r="128" spans="2:8" x14ac:dyDescent="0.2">
      <c r="B128">
        <f t="shared" si="13"/>
        <v>126</v>
      </c>
      <c r="C128">
        <f t="shared" si="8"/>
        <v>126</v>
      </c>
      <c r="D128">
        <f t="shared" si="9"/>
        <v>252</v>
      </c>
      <c r="E128">
        <v>10</v>
      </c>
      <c r="F128" t="str">
        <f t="shared" si="10"/>
        <v>126:126</v>
      </c>
      <c r="G128" t="str">
        <f t="shared" si="11"/>
        <v>126:252</v>
      </c>
      <c r="H128" t="str">
        <f t="shared" si="12"/>
        <v>126:10</v>
      </c>
    </row>
    <row r="129" spans="2:8" x14ac:dyDescent="0.2">
      <c r="B129">
        <f t="shared" si="13"/>
        <v>127</v>
      </c>
      <c r="C129">
        <f t="shared" si="8"/>
        <v>127</v>
      </c>
      <c r="D129">
        <f t="shared" si="9"/>
        <v>254</v>
      </c>
      <c r="E129">
        <v>10</v>
      </c>
      <c r="F129" t="str">
        <f t="shared" si="10"/>
        <v>127:127</v>
      </c>
      <c r="G129" t="str">
        <f t="shared" si="11"/>
        <v>127:254</v>
      </c>
      <c r="H129" t="str">
        <f t="shared" si="12"/>
        <v>127:10</v>
      </c>
    </row>
    <row r="130" spans="2:8" x14ac:dyDescent="0.2">
      <c r="B130">
        <f t="shared" si="13"/>
        <v>128</v>
      </c>
      <c r="C130">
        <f t="shared" si="8"/>
        <v>128</v>
      </c>
      <c r="D130">
        <f t="shared" si="9"/>
        <v>256</v>
      </c>
      <c r="E130">
        <v>10</v>
      </c>
      <c r="F130" t="str">
        <f t="shared" si="10"/>
        <v>128:128</v>
      </c>
      <c r="G130" t="str">
        <f t="shared" si="11"/>
        <v>128:256</v>
      </c>
      <c r="H130" t="str">
        <f t="shared" si="12"/>
        <v>128:10</v>
      </c>
    </row>
    <row r="131" spans="2:8" x14ac:dyDescent="0.2">
      <c r="B131">
        <f t="shared" si="13"/>
        <v>129</v>
      </c>
      <c r="C131">
        <f t="shared" si="8"/>
        <v>129</v>
      </c>
      <c r="D131">
        <f t="shared" si="9"/>
        <v>258</v>
      </c>
      <c r="E131">
        <v>10</v>
      </c>
      <c r="F131" t="str">
        <f t="shared" si="10"/>
        <v>129:129</v>
      </c>
      <c r="G131" t="str">
        <f t="shared" si="11"/>
        <v>129:258</v>
      </c>
      <c r="H131" t="str">
        <f t="shared" si="12"/>
        <v>129:10</v>
      </c>
    </row>
    <row r="132" spans="2:8" x14ac:dyDescent="0.2">
      <c r="B132">
        <f t="shared" si="13"/>
        <v>130</v>
      </c>
      <c r="C132">
        <f t="shared" ref="C132:C162" si="14">B132</f>
        <v>130</v>
      </c>
      <c r="D132">
        <f t="shared" ref="D132:D162" si="15">C132*2</f>
        <v>260</v>
      </c>
      <c r="E132">
        <v>10</v>
      </c>
      <c r="F132" t="str">
        <f t="shared" ref="F132:F162" si="16">$B132&amp;":"&amp;C132</f>
        <v>130:130</v>
      </c>
      <c r="G132" t="str">
        <f t="shared" ref="G132:G162" si="17">$B132&amp;":"&amp;D132</f>
        <v>130:260</v>
      </c>
      <c r="H132" t="str">
        <f t="shared" ref="H132:H162" si="18">$B132&amp;":"&amp;E132</f>
        <v>130:10</v>
      </c>
    </row>
    <row r="133" spans="2:8" x14ac:dyDescent="0.2">
      <c r="B133">
        <f t="shared" si="13"/>
        <v>131</v>
      </c>
      <c r="C133">
        <f t="shared" si="14"/>
        <v>131</v>
      </c>
      <c r="D133">
        <f t="shared" si="15"/>
        <v>262</v>
      </c>
      <c r="E133">
        <v>10</v>
      </c>
      <c r="F133" t="str">
        <f t="shared" si="16"/>
        <v>131:131</v>
      </c>
      <c r="G133" t="str">
        <f t="shared" si="17"/>
        <v>131:262</v>
      </c>
      <c r="H133" t="str">
        <f t="shared" si="18"/>
        <v>131:10</v>
      </c>
    </row>
    <row r="134" spans="2:8" x14ac:dyDescent="0.2">
      <c r="B134">
        <f t="shared" si="13"/>
        <v>132</v>
      </c>
      <c r="C134">
        <f t="shared" si="14"/>
        <v>132</v>
      </c>
      <c r="D134">
        <f t="shared" si="15"/>
        <v>264</v>
      </c>
      <c r="E134">
        <v>10</v>
      </c>
      <c r="F134" t="str">
        <f t="shared" si="16"/>
        <v>132:132</v>
      </c>
      <c r="G134" t="str">
        <f t="shared" si="17"/>
        <v>132:264</v>
      </c>
      <c r="H134" t="str">
        <f t="shared" si="18"/>
        <v>132:10</v>
      </c>
    </row>
    <row r="135" spans="2:8" x14ac:dyDescent="0.2">
      <c r="B135">
        <f t="shared" si="13"/>
        <v>133</v>
      </c>
      <c r="C135">
        <f t="shared" si="14"/>
        <v>133</v>
      </c>
      <c r="D135">
        <f t="shared" si="15"/>
        <v>266</v>
      </c>
      <c r="E135">
        <v>10</v>
      </c>
      <c r="F135" t="str">
        <f t="shared" si="16"/>
        <v>133:133</v>
      </c>
      <c r="G135" t="str">
        <f t="shared" si="17"/>
        <v>133:266</v>
      </c>
      <c r="H135" t="str">
        <f t="shared" si="18"/>
        <v>133:10</v>
      </c>
    </row>
    <row r="136" spans="2:8" x14ac:dyDescent="0.2">
      <c r="B136">
        <f t="shared" si="13"/>
        <v>134</v>
      </c>
      <c r="C136">
        <f t="shared" si="14"/>
        <v>134</v>
      </c>
      <c r="D136">
        <f t="shared" si="15"/>
        <v>268</v>
      </c>
      <c r="E136">
        <v>10</v>
      </c>
      <c r="F136" t="str">
        <f t="shared" si="16"/>
        <v>134:134</v>
      </c>
      <c r="G136" t="str">
        <f t="shared" si="17"/>
        <v>134:268</v>
      </c>
      <c r="H136" t="str">
        <f t="shared" si="18"/>
        <v>134:10</v>
      </c>
    </row>
    <row r="137" spans="2:8" x14ac:dyDescent="0.2">
      <c r="B137">
        <f t="shared" si="13"/>
        <v>135</v>
      </c>
      <c r="C137">
        <f t="shared" si="14"/>
        <v>135</v>
      </c>
      <c r="D137">
        <f t="shared" si="15"/>
        <v>270</v>
      </c>
      <c r="E137">
        <v>10</v>
      </c>
      <c r="F137" t="str">
        <f t="shared" si="16"/>
        <v>135:135</v>
      </c>
      <c r="G137" t="str">
        <f t="shared" si="17"/>
        <v>135:270</v>
      </c>
      <c r="H137" t="str">
        <f t="shared" si="18"/>
        <v>135:10</v>
      </c>
    </row>
    <row r="138" spans="2:8" x14ac:dyDescent="0.2">
      <c r="B138">
        <f t="shared" si="13"/>
        <v>136</v>
      </c>
      <c r="C138">
        <f t="shared" si="14"/>
        <v>136</v>
      </c>
      <c r="D138">
        <f t="shared" si="15"/>
        <v>272</v>
      </c>
      <c r="E138">
        <v>10</v>
      </c>
      <c r="F138" t="str">
        <f t="shared" si="16"/>
        <v>136:136</v>
      </c>
      <c r="G138" t="str">
        <f t="shared" si="17"/>
        <v>136:272</v>
      </c>
      <c r="H138" t="str">
        <f t="shared" si="18"/>
        <v>136:10</v>
      </c>
    </row>
    <row r="139" spans="2:8" x14ac:dyDescent="0.2">
      <c r="B139">
        <f t="shared" si="13"/>
        <v>137</v>
      </c>
      <c r="C139">
        <f t="shared" si="14"/>
        <v>137</v>
      </c>
      <c r="D139">
        <f t="shared" si="15"/>
        <v>274</v>
      </c>
      <c r="E139">
        <v>10</v>
      </c>
      <c r="F139" t="str">
        <f t="shared" si="16"/>
        <v>137:137</v>
      </c>
      <c r="G139" t="str">
        <f t="shared" si="17"/>
        <v>137:274</v>
      </c>
      <c r="H139" t="str">
        <f t="shared" si="18"/>
        <v>137:10</v>
      </c>
    </row>
    <row r="140" spans="2:8" x14ac:dyDescent="0.2">
      <c r="B140">
        <f t="shared" si="13"/>
        <v>138</v>
      </c>
      <c r="C140">
        <f t="shared" si="14"/>
        <v>138</v>
      </c>
      <c r="D140">
        <f t="shared" si="15"/>
        <v>276</v>
      </c>
      <c r="E140">
        <v>10</v>
      </c>
      <c r="F140" t="str">
        <f t="shared" si="16"/>
        <v>138:138</v>
      </c>
      <c r="G140" t="str">
        <f t="shared" si="17"/>
        <v>138:276</v>
      </c>
      <c r="H140" t="str">
        <f t="shared" si="18"/>
        <v>138:10</v>
      </c>
    </row>
    <row r="141" spans="2:8" x14ac:dyDescent="0.2">
      <c r="B141">
        <f t="shared" si="13"/>
        <v>139</v>
      </c>
      <c r="C141">
        <f t="shared" si="14"/>
        <v>139</v>
      </c>
      <c r="D141">
        <f t="shared" si="15"/>
        <v>278</v>
      </c>
      <c r="E141">
        <v>10</v>
      </c>
      <c r="F141" t="str">
        <f t="shared" si="16"/>
        <v>139:139</v>
      </c>
      <c r="G141" t="str">
        <f t="shared" si="17"/>
        <v>139:278</v>
      </c>
      <c r="H141" t="str">
        <f t="shared" si="18"/>
        <v>139:10</v>
      </c>
    </row>
    <row r="142" spans="2:8" x14ac:dyDescent="0.2">
      <c r="B142">
        <f t="shared" si="13"/>
        <v>140</v>
      </c>
      <c r="C142">
        <f t="shared" si="14"/>
        <v>140</v>
      </c>
      <c r="D142">
        <f t="shared" si="15"/>
        <v>280</v>
      </c>
      <c r="E142">
        <v>10</v>
      </c>
      <c r="F142" t="str">
        <f t="shared" si="16"/>
        <v>140:140</v>
      </c>
      <c r="G142" t="str">
        <f t="shared" si="17"/>
        <v>140:280</v>
      </c>
      <c r="H142" t="str">
        <f t="shared" si="18"/>
        <v>140:10</v>
      </c>
    </row>
    <row r="143" spans="2:8" x14ac:dyDescent="0.2">
      <c r="B143">
        <f t="shared" si="13"/>
        <v>141</v>
      </c>
      <c r="C143">
        <f t="shared" si="14"/>
        <v>141</v>
      </c>
      <c r="D143">
        <f t="shared" si="15"/>
        <v>282</v>
      </c>
      <c r="E143">
        <v>10</v>
      </c>
      <c r="F143" t="str">
        <f t="shared" si="16"/>
        <v>141:141</v>
      </c>
      <c r="G143" t="str">
        <f t="shared" si="17"/>
        <v>141:282</v>
      </c>
      <c r="H143" t="str">
        <f t="shared" si="18"/>
        <v>141:10</v>
      </c>
    </row>
    <row r="144" spans="2:8" x14ac:dyDescent="0.2">
      <c r="B144">
        <f t="shared" si="13"/>
        <v>142</v>
      </c>
      <c r="C144">
        <f t="shared" si="14"/>
        <v>142</v>
      </c>
      <c r="D144">
        <f t="shared" si="15"/>
        <v>284</v>
      </c>
      <c r="E144">
        <v>10</v>
      </c>
      <c r="F144" t="str">
        <f t="shared" si="16"/>
        <v>142:142</v>
      </c>
      <c r="G144" t="str">
        <f t="shared" si="17"/>
        <v>142:284</v>
      </c>
      <c r="H144" t="str">
        <f t="shared" si="18"/>
        <v>142:10</v>
      </c>
    </row>
    <row r="145" spans="2:8" x14ac:dyDescent="0.2">
      <c r="B145">
        <f t="shared" si="13"/>
        <v>143</v>
      </c>
      <c r="C145">
        <f t="shared" si="14"/>
        <v>143</v>
      </c>
      <c r="D145">
        <f t="shared" si="15"/>
        <v>286</v>
      </c>
      <c r="E145">
        <v>10</v>
      </c>
      <c r="F145" t="str">
        <f t="shared" si="16"/>
        <v>143:143</v>
      </c>
      <c r="G145" t="str">
        <f t="shared" si="17"/>
        <v>143:286</v>
      </c>
      <c r="H145" t="str">
        <f t="shared" si="18"/>
        <v>143:10</v>
      </c>
    </row>
    <row r="146" spans="2:8" x14ac:dyDescent="0.2">
      <c r="B146">
        <f t="shared" si="13"/>
        <v>144</v>
      </c>
      <c r="C146">
        <f t="shared" si="14"/>
        <v>144</v>
      </c>
      <c r="D146">
        <f t="shared" si="15"/>
        <v>288</v>
      </c>
      <c r="E146">
        <v>10</v>
      </c>
      <c r="F146" t="str">
        <f t="shared" si="16"/>
        <v>144:144</v>
      </c>
      <c r="G146" t="str">
        <f t="shared" si="17"/>
        <v>144:288</v>
      </c>
      <c r="H146" t="str">
        <f t="shared" si="18"/>
        <v>144:10</v>
      </c>
    </row>
    <row r="147" spans="2:8" x14ac:dyDescent="0.2">
      <c r="B147">
        <f t="shared" si="13"/>
        <v>145</v>
      </c>
      <c r="C147">
        <f t="shared" si="14"/>
        <v>145</v>
      </c>
      <c r="D147">
        <f t="shared" si="15"/>
        <v>290</v>
      </c>
      <c r="E147">
        <v>10</v>
      </c>
      <c r="F147" t="str">
        <f t="shared" si="16"/>
        <v>145:145</v>
      </c>
      <c r="G147" t="str">
        <f t="shared" si="17"/>
        <v>145:290</v>
      </c>
      <c r="H147" t="str">
        <f t="shared" si="18"/>
        <v>145:10</v>
      </c>
    </row>
    <row r="148" spans="2:8" x14ac:dyDescent="0.2">
      <c r="B148">
        <f t="shared" si="13"/>
        <v>146</v>
      </c>
      <c r="C148">
        <f t="shared" si="14"/>
        <v>146</v>
      </c>
      <c r="D148">
        <f t="shared" si="15"/>
        <v>292</v>
      </c>
      <c r="E148">
        <v>10</v>
      </c>
      <c r="F148" t="str">
        <f t="shared" si="16"/>
        <v>146:146</v>
      </c>
      <c r="G148" t="str">
        <f t="shared" si="17"/>
        <v>146:292</v>
      </c>
      <c r="H148" t="str">
        <f t="shared" si="18"/>
        <v>146:10</v>
      </c>
    </row>
    <row r="149" spans="2:8" x14ac:dyDescent="0.2">
      <c r="B149">
        <f t="shared" si="13"/>
        <v>147</v>
      </c>
      <c r="C149">
        <f t="shared" si="14"/>
        <v>147</v>
      </c>
      <c r="D149">
        <f t="shared" si="15"/>
        <v>294</v>
      </c>
      <c r="E149">
        <v>10</v>
      </c>
      <c r="F149" t="str">
        <f t="shared" si="16"/>
        <v>147:147</v>
      </c>
      <c r="G149" t="str">
        <f t="shared" si="17"/>
        <v>147:294</v>
      </c>
      <c r="H149" t="str">
        <f t="shared" si="18"/>
        <v>147:10</v>
      </c>
    </row>
    <row r="150" spans="2:8" x14ac:dyDescent="0.2">
      <c r="B150">
        <f t="shared" si="13"/>
        <v>148</v>
      </c>
      <c r="C150">
        <f t="shared" si="14"/>
        <v>148</v>
      </c>
      <c r="D150">
        <f t="shared" si="15"/>
        <v>296</v>
      </c>
      <c r="E150">
        <v>10</v>
      </c>
      <c r="F150" t="str">
        <f t="shared" si="16"/>
        <v>148:148</v>
      </c>
      <c r="G150" t="str">
        <f t="shared" si="17"/>
        <v>148:296</v>
      </c>
      <c r="H150" t="str">
        <f t="shared" si="18"/>
        <v>148:10</v>
      </c>
    </row>
    <row r="151" spans="2:8" x14ac:dyDescent="0.2">
      <c r="B151">
        <f t="shared" si="13"/>
        <v>149</v>
      </c>
      <c r="C151">
        <f t="shared" si="14"/>
        <v>149</v>
      </c>
      <c r="D151">
        <f t="shared" si="15"/>
        <v>298</v>
      </c>
      <c r="E151">
        <v>10</v>
      </c>
      <c r="F151" t="str">
        <f t="shared" si="16"/>
        <v>149:149</v>
      </c>
      <c r="G151" t="str">
        <f t="shared" si="17"/>
        <v>149:298</v>
      </c>
      <c r="H151" t="str">
        <f t="shared" si="18"/>
        <v>149:10</v>
      </c>
    </row>
    <row r="152" spans="2:8" x14ac:dyDescent="0.2">
      <c r="B152">
        <f t="shared" si="13"/>
        <v>150</v>
      </c>
      <c r="C152">
        <f t="shared" si="14"/>
        <v>150</v>
      </c>
      <c r="D152">
        <f t="shared" si="15"/>
        <v>300</v>
      </c>
      <c r="E152">
        <v>10</v>
      </c>
      <c r="F152" t="str">
        <f t="shared" si="16"/>
        <v>150:150</v>
      </c>
      <c r="G152" t="str">
        <f t="shared" si="17"/>
        <v>150:300</v>
      </c>
      <c r="H152" t="str">
        <f t="shared" si="18"/>
        <v>150:10</v>
      </c>
    </row>
    <row r="153" spans="2:8" x14ac:dyDescent="0.2">
      <c r="B153">
        <f t="shared" si="13"/>
        <v>151</v>
      </c>
      <c r="C153">
        <f t="shared" si="14"/>
        <v>151</v>
      </c>
      <c r="D153">
        <f t="shared" si="15"/>
        <v>302</v>
      </c>
      <c r="E153">
        <v>10</v>
      </c>
      <c r="F153" t="str">
        <f t="shared" si="16"/>
        <v>151:151</v>
      </c>
      <c r="G153" t="str">
        <f t="shared" si="17"/>
        <v>151:302</v>
      </c>
      <c r="H153" t="str">
        <f t="shared" si="18"/>
        <v>151:10</v>
      </c>
    </row>
    <row r="154" spans="2:8" x14ac:dyDescent="0.2">
      <c r="B154">
        <f t="shared" si="13"/>
        <v>152</v>
      </c>
      <c r="C154">
        <f t="shared" si="14"/>
        <v>152</v>
      </c>
      <c r="D154">
        <f t="shared" si="15"/>
        <v>304</v>
      </c>
      <c r="E154">
        <v>10</v>
      </c>
      <c r="F154" t="str">
        <f t="shared" si="16"/>
        <v>152:152</v>
      </c>
      <c r="G154" t="str">
        <f t="shared" si="17"/>
        <v>152:304</v>
      </c>
      <c r="H154" t="str">
        <f t="shared" si="18"/>
        <v>152:10</v>
      </c>
    </row>
    <row r="155" spans="2:8" x14ac:dyDescent="0.2">
      <c r="B155">
        <f t="shared" si="13"/>
        <v>153</v>
      </c>
      <c r="C155">
        <f t="shared" si="14"/>
        <v>153</v>
      </c>
      <c r="D155">
        <f t="shared" si="15"/>
        <v>306</v>
      </c>
      <c r="E155">
        <v>10</v>
      </c>
      <c r="F155" t="str">
        <f t="shared" si="16"/>
        <v>153:153</v>
      </c>
      <c r="G155" t="str">
        <f t="shared" si="17"/>
        <v>153:306</v>
      </c>
      <c r="H155" t="str">
        <f t="shared" si="18"/>
        <v>153:10</v>
      </c>
    </row>
    <row r="156" spans="2:8" x14ac:dyDescent="0.2">
      <c r="B156">
        <f t="shared" si="13"/>
        <v>154</v>
      </c>
      <c r="C156">
        <f t="shared" si="14"/>
        <v>154</v>
      </c>
      <c r="D156">
        <f t="shared" si="15"/>
        <v>308</v>
      </c>
      <c r="E156">
        <v>10</v>
      </c>
      <c r="F156" t="str">
        <f t="shared" si="16"/>
        <v>154:154</v>
      </c>
      <c r="G156" t="str">
        <f t="shared" si="17"/>
        <v>154:308</v>
      </c>
      <c r="H156" t="str">
        <f t="shared" si="18"/>
        <v>154:10</v>
      </c>
    </row>
    <row r="157" spans="2:8" x14ac:dyDescent="0.2">
      <c r="B157">
        <f t="shared" si="13"/>
        <v>155</v>
      </c>
      <c r="C157">
        <f t="shared" si="14"/>
        <v>155</v>
      </c>
      <c r="D157">
        <f t="shared" si="15"/>
        <v>310</v>
      </c>
      <c r="E157">
        <v>10</v>
      </c>
      <c r="F157" t="str">
        <f t="shared" si="16"/>
        <v>155:155</v>
      </c>
      <c r="G157" t="str">
        <f t="shared" si="17"/>
        <v>155:310</v>
      </c>
      <c r="H157" t="str">
        <f t="shared" si="18"/>
        <v>155:10</v>
      </c>
    </row>
    <row r="158" spans="2:8" x14ac:dyDescent="0.2">
      <c r="B158">
        <f t="shared" si="13"/>
        <v>156</v>
      </c>
      <c r="C158">
        <f t="shared" si="14"/>
        <v>156</v>
      </c>
      <c r="D158">
        <f t="shared" si="15"/>
        <v>312</v>
      </c>
      <c r="E158">
        <v>10</v>
      </c>
      <c r="F158" t="str">
        <f t="shared" si="16"/>
        <v>156:156</v>
      </c>
      <c r="G158" t="str">
        <f t="shared" si="17"/>
        <v>156:312</v>
      </c>
      <c r="H158" t="str">
        <f t="shared" si="18"/>
        <v>156:10</v>
      </c>
    </row>
    <row r="159" spans="2:8" x14ac:dyDescent="0.2">
      <c r="B159">
        <f t="shared" ref="B159:B162" si="19">B158+1</f>
        <v>157</v>
      </c>
      <c r="C159">
        <f t="shared" si="14"/>
        <v>157</v>
      </c>
      <c r="D159">
        <f t="shared" si="15"/>
        <v>314</v>
      </c>
      <c r="E159">
        <v>10</v>
      </c>
      <c r="F159" t="str">
        <f t="shared" si="16"/>
        <v>157:157</v>
      </c>
      <c r="G159" t="str">
        <f t="shared" si="17"/>
        <v>157:314</v>
      </c>
      <c r="H159" t="str">
        <f t="shared" si="18"/>
        <v>157:10</v>
      </c>
    </row>
    <row r="160" spans="2:8" x14ac:dyDescent="0.2">
      <c r="B160">
        <f t="shared" si="19"/>
        <v>158</v>
      </c>
      <c r="C160">
        <f t="shared" si="14"/>
        <v>158</v>
      </c>
      <c r="D160">
        <f t="shared" si="15"/>
        <v>316</v>
      </c>
      <c r="E160">
        <v>10</v>
      </c>
      <c r="F160" t="str">
        <f t="shared" si="16"/>
        <v>158:158</v>
      </c>
      <c r="G160" t="str">
        <f t="shared" si="17"/>
        <v>158:316</v>
      </c>
      <c r="H160" t="str">
        <f t="shared" si="18"/>
        <v>158:10</v>
      </c>
    </row>
    <row r="161" spans="2:8" x14ac:dyDescent="0.2">
      <c r="B161">
        <f t="shared" si="19"/>
        <v>159</v>
      </c>
      <c r="C161">
        <f t="shared" si="14"/>
        <v>159</v>
      </c>
      <c r="D161">
        <f t="shared" si="15"/>
        <v>318</v>
      </c>
      <c r="E161">
        <v>10</v>
      </c>
      <c r="F161" t="str">
        <f t="shared" si="16"/>
        <v>159:159</v>
      </c>
      <c r="G161" t="str">
        <f t="shared" si="17"/>
        <v>159:318</v>
      </c>
      <c r="H161" t="str">
        <f t="shared" si="18"/>
        <v>159:10</v>
      </c>
    </row>
    <row r="162" spans="2:8" x14ac:dyDescent="0.2">
      <c r="B162">
        <f t="shared" si="19"/>
        <v>160</v>
      </c>
      <c r="C162">
        <f t="shared" si="14"/>
        <v>160</v>
      </c>
      <c r="D162">
        <f t="shared" si="15"/>
        <v>320</v>
      </c>
      <c r="E162">
        <v>10</v>
      </c>
      <c r="F162" t="str">
        <f t="shared" si="16"/>
        <v>160:160</v>
      </c>
      <c r="G162" t="str">
        <f t="shared" si="17"/>
        <v>160:320</v>
      </c>
      <c r="H162" t="str">
        <f t="shared" si="18"/>
        <v>160:10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maze_foe_v8</vt:lpstr>
      <vt:lpstr>怪物难度</vt:lpstr>
      <vt:lpstr>备注资源组与动作id</vt:lpstr>
      <vt:lpstr>掉落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2025-07-23T12:36:59Z</dcterms:modified>
</cp:coreProperties>
</file>