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D4BA7A6-D71E-47FA-B800-93E317B5EE3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<sst xmlns="http://schemas.openxmlformats.org/spreadsheetml/2006/main" count="2244" uniqueCount="248">
  <si>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</si>
  <si>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</si>
  <si>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</si>
  <si>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</si>
  <si>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</si>
  <si>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</si>
  <si>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</si>
  <si>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</si>
  <si>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</si>
  <si>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</si>
  <si>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</si>
  <si>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</si>
  <si>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</si>
  <si>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</si>
  <si>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</si>
  <si>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</si>
  <si>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</si>
  <si>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</si>
  <si>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</si>
  <si>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</si>
  <si>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</si>
  <si>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</si>
  <si>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</si>
  <si>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</si>
  <si>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</si>
  <si>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</si>
  <si>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</si>
  <si>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</si>
  <si>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</si>
  <si>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</si>
  <si>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</si>
  <si>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</si>
  <si>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</si>
  <si>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</si>
  <si>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</si>
  <si>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</si>
  <si>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</si>
  <si>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</si>
  <si>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</si>
  <si>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</si>
  <si>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</si>
  <si>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</si>
  <si>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</si>
  <si>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</si>
  <si>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</si>
  <si>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</si>
  <si>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</si>
  <si>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</si>
  <si>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</si>
  <si>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</si>
  <si>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</si>
  <si>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</si>
  <si>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</si>
  <si>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</si>
  <si>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</si>
  <si>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</si>
  <si>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</si>
  <si>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</si>
  <si>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</si>
  <si>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</si>
  <si>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</si>
  <si>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</si>
  <si>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</si>
  <si>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</si>
  <si>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</si>
  <si>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</si>
  <si>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</si>
  <si>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</si>
  <si>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</si>
  <si>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</si>
  <si>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</si>
  <si>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</si>
  <si>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</si>
  <si>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</si>
  <si>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</si>
  <si>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</si>
  <si>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</si>
  <si>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</si>
  <si>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</si>
  <si>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</si>
  <si>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</si>
  <si>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</si>
  <si>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</si>
  <si>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</si>
  <si>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</si>
  <si>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</si>
  <si>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</si>
  <si>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</si>
  <si>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</si>
  <si>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</si>
  <si>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</si>
  <si>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</si>
  <si>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</si>
  <si>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</si>
  <si>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</si>
  <si>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</si>
  <si>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</si>
  <si>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</si>
  <si>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</si>
  <si>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</si>
  <si>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</si>
  <si>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</si>
  <si>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</si>
  <si>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</si>
  <si>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</si>
  <si>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</si>
  <si>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</si>
  <si>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</si>
  <si>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</si>
  <si>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</si>
  <si>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</si>
  <si>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</si>
  <si>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92_2:92_3:92_4:92_5:92_6:92_7:92_8:92_9:92_10:92_11:92_12:92_13:92_14:92_15:92_16:92_17:92_18:92_19:92_20:92_21:92_22:92_23:92_24:92_25:92_26:92_27:92_28:92_29:92_30:92_31:92_32:92_33:92_34:92_35:92_36:92_37:92_38:92_39:92_40:92_41:92_42:92_43:92_44:92_45:92_46:92_47:92_48:92_49:92_50:92_51:92_52:92_53:92_54:92_55:92_56:92_57:92_58:92_59:92_60:92_61:92_62:92_63:92_64:92_65:92_66:92_67:92_68:92_69:92_70:92_71:92_72:92_73:92_74:92_75:92_76:92_77:92_78:92_79:92_80:92_81:92_82:92_83:92_84:92_85:92_86:92_87:92_88:92_89:92_90:92_91:92_92:92_93:92_94:92_95:92_96:92_97:92_98:92_99:92_100:92_101:92_102:92_103:92_104:92_105:92_106:92_107:92_108:92_109:92_110:92_111:92_112:92_113:92_114:92_115:92_116:92_117:92_118:92_119:92_120:92_121:92_122:92_123:92_124:92_125:92_126:92_127:92_128:92_129:92_130:92_131:92_132:92_133:92_134:92_135:92_136:92_137:92_138:92_139:92_140:92_141:92_142:92_143:92_144:92_145:92_146:92_147:92_148:92_149:92_150:92_151:92_152:92_153:92_154:92_155:92_156:92_157:92_158:92_159:92_160:92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</si>
  <si>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</si>
  <si>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</si>
  <si>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</si>
  <si>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</si>
  <si>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</si>
  <si>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</si>
  <si>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</si>
  <si>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</si>
  <si>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</si>
  <si>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</si>
  <si>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</si>
  <si>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</si>
  <si>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</si>
  <si>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</si>
  <si>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</si>
  <si>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</si>
  <si>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</si>
  <si>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</si>
  <si>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</si>
  <si>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</si>
  <si>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</si>
  <si>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</si>
  <si>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</si>
  <si>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</si>
  <si>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</si>
  <si>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</si>
  <si>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</si>
  <si>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</si>
  <si>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</si>
  <si>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</si>
  <si>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</si>
  <si>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</si>
  <si>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</si>
  <si>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</si>
  <si>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</si>
  <si>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</si>
  <si>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</si>
  <si>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</si>
  <si>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</si>
  <si>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</si>
  <si>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</si>
  <si>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</si>
  <si>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</si>
  <si>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</si>
  <si>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</si>
  <si>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</si>
  <si>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</si>
  <si>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</si>
  <si>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</si>
  <si>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</si>
  <si>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</si>
  <si>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</si>
  <si>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</si>
  <si>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</si>
  <si>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</si>
  <si>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</si>
  <si>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</si>
  <si>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</si>
  <si>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</si>
  <si>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</si>
  <si>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</si>
  <si>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</si>
  <si>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</si>
  <si>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</si>
  <si>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</si>
  <si>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</si>
  <si>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</si>
  <si>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</si>
  <si>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</si>
  <si>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</si>
  <si>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</si>
  <si>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</si>
  <si>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</si>
  <si>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</si>
  <si>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</si>
  <si>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</si>
  <si>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</si>
  <si>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</si>
  <si>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</si>
  <si>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</si>
  <si>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</si>
  <si>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</si>
  <si>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</si>
  <si>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</si>
  <si>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</si>
  <si>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</si>
  <si>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</si>
  <si>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</si>
  <si>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</si>
  <si>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</si>
  <si>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</si>
  <si>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</si>
  <si>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</si>
  <si>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</si>
  <si>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</si>
  <si>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</si>
  <si>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</si>
  <si>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</si>
  <si>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</si>
  <si>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</si>
  <si>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</si>
  <si>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</si>
  <si>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</si>
  <si>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</si>
  <si>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</si>
  <si>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</si>
  <si>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</si>
  <si>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</si>
  <si>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</si>
  <si>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</si>
  <si>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</si>
  <si>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</si>
  <si>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</si>
  <si>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</si>
  <si>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</si>
  <si>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</si>
  <si>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</si>
  <si>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</si>
  <si>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</si>
  <si>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</si>
  <si>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</si>
  <si>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</si>
  <si>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</si>
  <si>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</si>
  <si>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</si>
  <si>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</si>
  <si>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</si>
  <si>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</si>
  <si>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</si>
  <si>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</si>
  <si>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</si>
  <si>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</si>
  <si>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</si>
  <si>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熊3</t>
    <phoneticPr fontId="13" type="noConversion"/>
  </si>
  <si>
    <t>4-守卫0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</si>
</sst>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5"/>
  <sheetViews>
    <sheetView tabSelected="1" zoomScale="85" zoomScaleNormal="85" workbookViewId="0">
      <pane xSplit="1" ySplit="4" topLeftCell="Q25" activePane="bottomRight" state="frozen"/>
      <selection pane="topRight"/>
      <selection pane="bottomLeft"/>
      <selection pane="bottomRight" activeCell="X48" sqref="X48:X91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7" width="10.625" style="9" customWidth="1"/>
    <col min="8" max="8" width="40.875" style="9" customWidth="1"/>
    <col min="9" max="9" width="10.625" style="9" customWidth="1"/>
    <col min="10" max="10" width="19.375" style="9" customWidth="1"/>
    <col min="11" max="11" width="14.125" style="9" customWidth="1"/>
    <col min="12" max="20" width="10.625" style="9" customWidth="1"/>
    <col min="21" max="21" width="13.375" style="9" customWidth="1"/>
    <col min="22" max="23" width="10.625" style="9" customWidth="1"/>
    <col min="24" max="24" width="29.25" style="9" customWidth="1"/>
    <col min="25" max="27" width="10.625" style="9" customWidth="1"/>
    <col min="28" max="28" width="49.875" style="9" customWidth="1"/>
    <col min="29" max="29" width="44.625" style="9" customWidth="1"/>
    <col min="30" max="31" width="53" style="9" customWidth="1"/>
    <col min="32" max="33" width="27.75" style="9" customWidth="1"/>
    <col min="34" max="34" width="40.125" style="9" customWidth="1"/>
    <col min="35" max="35" width="13.875" style="9" customWidth="1"/>
    <col min="36" max="36" width="20.5" style="9" customWidth="1"/>
    <col min="37" max="16384" width="9" style="9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10" t="s">
        <v>1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</v>
      </c>
      <c r="G2" s="10" t="s">
        <v>3</v>
      </c>
      <c r="H2" s="10" t="s">
        <v>3</v>
      </c>
      <c r="I2" s="10" t="s">
        <v>4</v>
      </c>
      <c r="J2" s="10" t="s">
        <v>5</v>
      </c>
      <c r="K2" s="10" t="s">
        <v>6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4</v>
      </c>
      <c r="W2" s="10" t="s">
        <v>4</v>
      </c>
      <c r="X2" s="10" t="s">
        <v>4</v>
      </c>
      <c r="Y2" s="10" t="s">
        <v>3</v>
      </c>
      <c r="Z2" s="10" t="s">
        <v>5</v>
      </c>
      <c r="AA2" s="10" t="s">
        <v>7</v>
      </c>
      <c r="AB2" s="10" t="s">
        <v>8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</row>
    <row r="3" spans="1:36" x14ac:dyDescent="0.2">
      <c r="A3" s="12" t="s">
        <v>9</v>
      </c>
      <c r="B3" s="11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12" t="s">
        <v>40</v>
      </c>
      <c r="AG3" s="12" t="s">
        <v>41</v>
      </c>
      <c r="AH3" s="12" t="s">
        <v>42</v>
      </c>
      <c r="AI3" s="9" t="s">
        <v>43</v>
      </c>
      <c r="AJ3" s="9" t="s">
        <v>44</v>
      </c>
    </row>
    <row r="4" spans="1:36" ht="25.5" customHeight="1" x14ac:dyDescent="0.2">
      <c r="A4" s="12" t="s">
        <v>45</v>
      </c>
      <c r="B4" s="11" t="s">
        <v>46</v>
      </c>
      <c r="C4" s="11" t="s">
        <v>47</v>
      </c>
      <c r="D4" s="11" t="s">
        <v>47</v>
      </c>
      <c r="E4" s="11" t="s">
        <v>48</v>
      </c>
      <c r="F4" s="11" t="s">
        <v>49</v>
      </c>
      <c r="G4" s="12" t="s">
        <v>50</v>
      </c>
      <c r="H4" s="12" t="s">
        <v>51</v>
      </c>
      <c r="I4" s="12" t="s">
        <v>52</v>
      </c>
      <c r="J4" s="12" t="s">
        <v>53</v>
      </c>
      <c r="K4" s="12" t="s">
        <v>54</v>
      </c>
      <c r="L4" s="12" t="s">
        <v>55</v>
      </c>
      <c r="M4" s="12" t="s">
        <v>56</v>
      </c>
      <c r="N4" s="12" t="s">
        <v>57</v>
      </c>
      <c r="O4" s="12" t="s">
        <v>58</v>
      </c>
      <c r="P4" s="12" t="s">
        <v>59</v>
      </c>
      <c r="Q4" s="12" t="s">
        <v>60</v>
      </c>
      <c r="R4" s="12" t="s">
        <v>61</v>
      </c>
      <c r="S4" s="12" t="s">
        <v>62</v>
      </c>
      <c r="T4" s="12" t="s">
        <v>63</v>
      </c>
      <c r="U4" s="12" t="s">
        <v>64</v>
      </c>
      <c r="V4" s="12" t="s">
        <v>65</v>
      </c>
      <c r="W4" s="12" t="s">
        <v>66</v>
      </c>
      <c r="X4" s="12" t="s">
        <v>67</v>
      </c>
      <c r="Y4" s="12" t="s">
        <v>68</v>
      </c>
      <c r="Z4" s="12" t="s">
        <v>69</v>
      </c>
      <c r="AA4" s="12" t="s">
        <v>70</v>
      </c>
      <c r="AB4" s="12" t="s">
        <v>71</v>
      </c>
      <c r="AC4" s="12" t="s">
        <v>72</v>
      </c>
      <c r="AD4" s="12" t="s">
        <v>73</v>
      </c>
      <c r="AE4" s="12" t="s">
        <v>74</v>
      </c>
      <c r="AF4" s="12" t="s">
        <v>75</v>
      </c>
      <c r="AG4" s="12" t="s">
        <v>76</v>
      </c>
      <c r="AH4" s="12" t="s">
        <v>77</v>
      </c>
      <c r="AI4" s="9" t="s">
        <v>78</v>
      </c>
      <c r="AJ4" s="9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32" t="s">
        <v>81</v>
      </c>
      <c r="J5" s="3">
        <v>0</v>
      </c>
      <c r="K5" s="3">
        <v>800001021</v>
      </c>
      <c r="L5" s="3">
        <v>800001021</v>
      </c>
      <c r="M5" s="3">
        <v>1</v>
      </c>
      <c r="N5" s="14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9" t="s">
        <v>83</v>
      </c>
      <c r="AC5" s="3">
        <v>10000</v>
      </c>
      <c r="AD5" s="3">
        <v>10000</v>
      </c>
      <c r="AE5" s="3">
        <v>0</v>
      </c>
      <c r="AF5" s="9">
        <v>40</v>
      </c>
      <c r="AG5" s="9">
        <v>0</v>
      </c>
      <c r="AH5" s="9">
        <v>0</v>
      </c>
      <c r="AI5" s="9">
        <v>0</v>
      </c>
      <c r="AJ5" s="9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32" t="s">
        <v>81</v>
      </c>
      <c r="J6" s="3">
        <v>0</v>
      </c>
      <c r="K6" s="3">
        <v>800001021</v>
      </c>
      <c r="L6" s="3">
        <v>800001021</v>
      </c>
      <c r="M6" s="3">
        <v>1</v>
      </c>
      <c r="N6" s="14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9" t="s">
        <v>83</v>
      </c>
      <c r="AC6" s="3">
        <v>10000</v>
      </c>
      <c r="AD6" s="3">
        <v>10000</v>
      </c>
      <c r="AE6" s="3">
        <v>0</v>
      </c>
      <c r="AF6" s="9">
        <v>40</v>
      </c>
      <c r="AG6" s="9">
        <v>0</v>
      </c>
      <c r="AH6" s="9">
        <v>0</v>
      </c>
      <c r="AI6" s="9">
        <v>0</v>
      </c>
      <c r="AJ6" s="9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32" t="s">
        <v>81</v>
      </c>
      <c r="J7" s="3">
        <v>0</v>
      </c>
      <c r="K7" s="3">
        <v>800001021</v>
      </c>
      <c r="L7" s="3">
        <v>800001021</v>
      </c>
      <c r="M7" s="3">
        <v>1</v>
      </c>
      <c r="N7" s="14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9" t="s">
        <v>83</v>
      </c>
      <c r="AC7" s="3">
        <v>10000</v>
      </c>
      <c r="AD7" s="3">
        <v>10000</v>
      </c>
      <c r="AE7" s="3">
        <v>0</v>
      </c>
      <c r="AF7" s="9">
        <v>40</v>
      </c>
      <c r="AG7" s="9">
        <v>0</v>
      </c>
      <c r="AH7" s="9">
        <v>0</v>
      </c>
      <c r="AI7" s="9">
        <v>0</v>
      </c>
      <c r="AJ7" s="9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32" t="s">
        <v>81</v>
      </c>
      <c r="J8" s="3">
        <v>0</v>
      </c>
      <c r="K8" s="3">
        <v>800001021</v>
      </c>
      <c r="L8" s="3">
        <v>800001021</v>
      </c>
      <c r="M8" s="3">
        <v>1</v>
      </c>
      <c r="N8" s="14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9" t="s">
        <v>83</v>
      </c>
      <c r="AC8" s="3">
        <v>10000</v>
      </c>
      <c r="AD8" s="3">
        <v>10000</v>
      </c>
      <c r="AE8" s="3">
        <v>0</v>
      </c>
      <c r="AF8" s="9">
        <v>40</v>
      </c>
      <c r="AG8" s="9">
        <v>0</v>
      </c>
      <c r="AH8" s="9">
        <v>0</v>
      </c>
      <c r="AI8" s="9">
        <v>0</v>
      </c>
      <c r="AJ8" s="9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32" t="s">
        <v>81</v>
      </c>
      <c r="J9" s="3">
        <v>0</v>
      </c>
      <c r="K9" s="3">
        <v>800001021</v>
      </c>
      <c r="L9" s="3">
        <v>800001021</v>
      </c>
      <c r="M9" s="3">
        <v>1</v>
      </c>
      <c r="N9" s="14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9" t="s">
        <v>83</v>
      </c>
      <c r="AC9" s="3">
        <v>10000</v>
      </c>
      <c r="AD9" s="3">
        <v>10000</v>
      </c>
      <c r="AE9" s="3">
        <v>0</v>
      </c>
      <c r="AF9" s="9">
        <v>40</v>
      </c>
      <c r="AG9" s="9">
        <v>0</v>
      </c>
      <c r="AH9" s="9">
        <v>0</v>
      </c>
      <c r="AI9" s="9">
        <v>0</v>
      </c>
      <c r="AJ9" s="9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32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4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9" t="s">
        <v>83</v>
      </c>
      <c r="AC10" s="3">
        <v>10000</v>
      </c>
      <c r="AD10" s="3">
        <v>10000</v>
      </c>
      <c r="AE10" s="3">
        <v>0</v>
      </c>
      <c r="AF10" s="9">
        <v>40</v>
      </c>
      <c r="AG10" s="9">
        <v>0</v>
      </c>
      <c r="AH10" s="9">
        <v>0</v>
      </c>
      <c r="AI10" s="9">
        <v>0</v>
      </c>
      <c r="AJ10" s="9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32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4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9" t="s">
        <v>83</v>
      </c>
      <c r="AC11" s="3">
        <v>10000</v>
      </c>
      <c r="AD11" s="3">
        <v>10000</v>
      </c>
      <c r="AE11" s="3">
        <v>0</v>
      </c>
      <c r="AF11" s="9">
        <v>40</v>
      </c>
      <c r="AG11" s="9">
        <v>0</v>
      </c>
      <c r="AH11" s="9">
        <v>0</v>
      </c>
      <c r="AI11" s="9">
        <v>0</v>
      </c>
      <c r="AJ11" s="9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32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4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9" t="s">
        <v>83</v>
      </c>
      <c r="AC12" s="3">
        <v>10000</v>
      </c>
      <c r="AD12" s="3">
        <v>10000</v>
      </c>
      <c r="AE12" s="3">
        <v>0</v>
      </c>
      <c r="AF12" s="9">
        <v>40</v>
      </c>
      <c r="AG12" s="9">
        <v>0</v>
      </c>
      <c r="AH12" s="9">
        <v>0</v>
      </c>
      <c r="AI12" s="9">
        <v>0</v>
      </c>
      <c r="AJ12" s="9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32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4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9" t="s">
        <v>83</v>
      </c>
      <c r="AC13" s="3">
        <v>10000</v>
      </c>
      <c r="AD13" s="3">
        <v>10000</v>
      </c>
      <c r="AE13" s="3">
        <v>0</v>
      </c>
      <c r="AF13" s="9">
        <v>40</v>
      </c>
      <c r="AG13" s="9">
        <v>0</v>
      </c>
      <c r="AH13" s="9">
        <v>0</v>
      </c>
      <c r="AI13" s="9">
        <v>0</v>
      </c>
      <c r="AJ13" s="9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32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4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9" t="s">
        <v>83</v>
      </c>
      <c r="AC14" s="3">
        <v>10000</v>
      </c>
      <c r="AD14" s="3">
        <v>10000</v>
      </c>
      <c r="AE14" s="3">
        <v>0</v>
      </c>
      <c r="AF14" s="9">
        <v>40</v>
      </c>
      <c r="AG14" s="9">
        <v>0</v>
      </c>
      <c r="AH14" s="9">
        <v>0</v>
      </c>
      <c r="AI14" s="9">
        <v>0</v>
      </c>
      <c r="AJ14" s="9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32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4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9" t="s">
        <v>83</v>
      </c>
      <c r="AC15" s="3">
        <v>10000</v>
      </c>
      <c r="AD15" s="3">
        <v>10000</v>
      </c>
      <c r="AE15" s="3">
        <v>0</v>
      </c>
      <c r="AF15" s="9">
        <v>40</v>
      </c>
      <c r="AG15" s="9">
        <v>0</v>
      </c>
      <c r="AH15" s="9">
        <v>0</v>
      </c>
      <c r="AI15" s="9">
        <v>0</v>
      </c>
      <c r="AJ15" s="9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32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9" t="s">
        <v>95</v>
      </c>
      <c r="AC16" s="3">
        <v>10000</v>
      </c>
      <c r="AD16" s="3">
        <v>10000</v>
      </c>
      <c r="AE16" s="3">
        <v>0</v>
      </c>
      <c r="AF16" s="9">
        <v>40</v>
      </c>
      <c r="AG16" s="9">
        <v>0</v>
      </c>
      <c r="AH16" s="9">
        <v>0</v>
      </c>
      <c r="AI16" s="9">
        <v>0</v>
      </c>
      <c r="AJ16" s="9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32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9" t="s">
        <v>95</v>
      </c>
      <c r="AC17" s="3">
        <v>10000</v>
      </c>
      <c r="AD17" s="3">
        <v>10000</v>
      </c>
      <c r="AE17" s="3">
        <v>0</v>
      </c>
      <c r="AF17" s="9">
        <v>40</v>
      </c>
      <c r="AG17" s="9">
        <v>0</v>
      </c>
      <c r="AH17" s="9">
        <v>0</v>
      </c>
      <c r="AI17" s="9">
        <v>0</v>
      </c>
      <c r="AJ17" s="9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32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9" t="s">
        <v>95</v>
      </c>
      <c r="AC18" s="3">
        <v>10000</v>
      </c>
      <c r="AD18" s="3">
        <v>10000</v>
      </c>
      <c r="AE18" s="3">
        <v>0</v>
      </c>
      <c r="AF18" s="9">
        <v>40</v>
      </c>
      <c r="AG18" s="9">
        <v>0</v>
      </c>
      <c r="AH18" s="9">
        <v>0</v>
      </c>
      <c r="AI18" s="9">
        <v>0</v>
      </c>
      <c r="AJ18" s="9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32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4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9" t="s">
        <v>83</v>
      </c>
      <c r="AC19" s="3">
        <v>10000</v>
      </c>
      <c r="AD19" s="3">
        <v>10000</v>
      </c>
      <c r="AE19" s="3">
        <v>25010001</v>
      </c>
      <c r="AF19" s="9">
        <v>40</v>
      </c>
      <c r="AG19" s="9">
        <v>0</v>
      </c>
      <c r="AH19" s="9">
        <v>0</v>
      </c>
      <c r="AI19" s="9">
        <v>0</v>
      </c>
      <c r="AJ19" s="9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32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4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9" t="s">
        <v>83</v>
      </c>
      <c r="AC20" s="3">
        <v>10000</v>
      </c>
      <c r="AD20" s="3">
        <v>10000</v>
      </c>
      <c r="AE20" s="3">
        <v>25010001</v>
      </c>
      <c r="AF20" s="9">
        <v>40</v>
      </c>
      <c r="AG20" s="9">
        <v>0</v>
      </c>
      <c r="AH20" s="9">
        <v>0</v>
      </c>
      <c r="AI20" s="9">
        <v>0</v>
      </c>
      <c r="AJ20" s="9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32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4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9" t="s">
        <v>83</v>
      </c>
      <c r="AC21" s="3">
        <v>10000</v>
      </c>
      <c r="AD21" s="3">
        <v>10000</v>
      </c>
      <c r="AE21" s="3">
        <v>25010001</v>
      </c>
      <c r="AF21" s="9">
        <v>40</v>
      </c>
      <c r="AG21" s="9">
        <v>0</v>
      </c>
      <c r="AH21" s="9">
        <v>0</v>
      </c>
      <c r="AI21" s="9">
        <v>0</v>
      </c>
      <c r="AJ21" s="9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32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4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9" t="s">
        <v>83</v>
      </c>
      <c r="AC22" s="3">
        <v>10000</v>
      </c>
      <c r="AD22" s="3">
        <v>10000</v>
      </c>
      <c r="AE22" s="3">
        <v>25010001</v>
      </c>
      <c r="AF22" s="9">
        <v>40</v>
      </c>
      <c r="AG22" s="9">
        <v>0</v>
      </c>
      <c r="AH22" s="9">
        <v>0</v>
      </c>
      <c r="AI22" s="9">
        <v>0</v>
      </c>
      <c r="AJ22" s="9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32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4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9" t="s">
        <v>83</v>
      </c>
      <c r="AC23" s="3">
        <v>10000</v>
      </c>
      <c r="AD23" s="3">
        <v>10000</v>
      </c>
      <c r="AE23" s="3">
        <v>25010001</v>
      </c>
      <c r="AF23" s="9">
        <v>40</v>
      </c>
      <c r="AG23" s="9">
        <v>0</v>
      </c>
      <c r="AH23" s="9">
        <v>0</v>
      </c>
      <c r="AI23" s="9">
        <v>0</v>
      </c>
      <c r="AJ23" s="9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32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4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9" t="s">
        <v>83</v>
      </c>
      <c r="AC24" s="3">
        <v>10000</v>
      </c>
      <c r="AD24" s="3">
        <v>10000</v>
      </c>
      <c r="AE24" s="3">
        <v>25010001</v>
      </c>
      <c r="AF24" s="9">
        <v>40</v>
      </c>
      <c r="AG24" s="9">
        <v>0</v>
      </c>
      <c r="AH24" s="9">
        <v>0</v>
      </c>
      <c r="AI24" s="9">
        <v>0</v>
      </c>
      <c r="AJ24" s="9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32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4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9" t="s">
        <v>83</v>
      </c>
      <c r="AC25" s="3">
        <v>10000</v>
      </c>
      <c r="AD25" s="3">
        <v>10000</v>
      </c>
      <c r="AE25" s="3">
        <v>25010001</v>
      </c>
      <c r="AF25" s="9">
        <v>40</v>
      </c>
      <c r="AG25" s="9">
        <v>0</v>
      </c>
      <c r="AH25" s="9">
        <v>0</v>
      </c>
      <c r="AI25" s="9">
        <v>0</v>
      </c>
      <c r="AJ25" s="9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32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4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9" t="s">
        <v>83</v>
      </c>
      <c r="AC26" s="3">
        <v>10000</v>
      </c>
      <c r="AD26" s="3">
        <v>10000</v>
      </c>
      <c r="AE26" s="3">
        <v>25010001</v>
      </c>
      <c r="AF26" s="9">
        <v>40</v>
      </c>
      <c r="AG26" s="9">
        <v>0</v>
      </c>
      <c r="AH26" s="9">
        <v>0</v>
      </c>
      <c r="AI26" s="9">
        <v>0</v>
      </c>
      <c r="AJ26" s="9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32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9" t="s">
        <v>83</v>
      </c>
      <c r="AC27" s="3">
        <v>10000</v>
      </c>
      <c r="AD27" s="3">
        <v>10000</v>
      </c>
      <c r="AE27" s="3">
        <v>25010001</v>
      </c>
      <c r="AF27" s="9">
        <v>40</v>
      </c>
      <c r="AG27" s="9">
        <v>0</v>
      </c>
      <c r="AH27" s="9">
        <v>0</v>
      </c>
      <c r="AI27" s="9">
        <v>0</v>
      </c>
      <c r="AJ27" s="9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32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9" t="s">
        <v>83</v>
      </c>
      <c r="AC28" s="3">
        <v>10000</v>
      </c>
      <c r="AD28" s="3">
        <v>10000</v>
      </c>
      <c r="AE28" s="3">
        <v>25010001</v>
      </c>
      <c r="AF28" s="9">
        <v>40</v>
      </c>
      <c r="AG28" s="9">
        <v>0</v>
      </c>
      <c r="AH28" s="9">
        <v>0</v>
      </c>
      <c r="AI28" s="9">
        <v>0</v>
      </c>
      <c r="AJ28" s="9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32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9" t="s">
        <v>83</v>
      </c>
      <c r="AC29" s="3">
        <v>10000</v>
      </c>
      <c r="AD29" s="3">
        <v>10000</v>
      </c>
      <c r="AE29" s="3">
        <v>25010001</v>
      </c>
      <c r="AF29" s="9">
        <v>40</v>
      </c>
      <c r="AG29" s="9">
        <v>0</v>
      </c>
      <c r="AH29" s="9">
        <v>0</v>
      </c>
      <c r="AI29" s="9">
        <v>0</v>
      </c>
      <c r="AJ29" s="9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32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9" t="s">
        <v>83</v>
      </c>
      <c r="AC30" s="3">
        <v>10000</v>
      </c>
      <c r="AD30" s="3">
        <v>10000</v>
      </c>
      <c r="AE30" s="3">
        <v>25010001</v>
      </c>
      <c r="AF30" s="9">
        <v>40</v>
      </c>
      <c r="AG30" s="9">
        <v>0</v>
      </c>
      <c r="AH30" s="9">
        <v>0</v>
      </c>
      <c r="AI30" s="9">
        <v>0</v>
      </c>
      <c r="AJ30" s="9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32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9" t="s">
        <v>83</v>
      </c>
      <c r="AC31" s="3">
        <v>10000</v>
      </c>
      <c r="AD31" s="3">
        <v>10000</v>
      </c>
      <c r="AE31" s="3">
        <v>0</v>
      </c>
      <c r="AF31" s="9">
        <v>40</v>
      </c>
      <c r="AG31" s="9">
        <v>0</v>
      </c>
      <c r="AH31" s="9">
        <v>0</v>
      </c>
      <c r="AI31" s="9">
        <v>0</v>
      </c>
      <c r="AJ31" s="9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32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9" t="s">
        <v>83</v>
      </c>
      <c r="AC32" s="3">
        <v>10000</v>
      </c>
      <c r="AD32" s="3">
        <v>10000</v>
      </c>
      <c r="AE32" s="3">
        <v>0</v>
      </c>
      <c r="AF32" s="9">
        <v>40</v>
      </c>
      <c r="AG32" s="9">
        <v>0</v>
      </c>
      <c r="AH32" s="9">
        <v>0</v>
      </c>
      <c r="AI32" s="9">
        <v>0</v>
      </c>
      <c r="AJ32" s="9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32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5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9" t="s">
        <v>83</v>
      </c>
      <c r="AC33" s="3">
        <v>10000</v>
      </c>
      <c r="AD33" s="3">
        <v>10000</v>
      </c>
      <c r="AE33" s="3">
        <v>0</v>
      </c>
      <c r="AF33" s="9">
        <v>40</v>
      </c>
      <c r="AG33" s="9">
        <v>0</v>
      </c>
      <c r="AH33" s="9">
        <v>0</v>
      </c>
      <c r="AI33" s="9">
        <v>0</v>
      </c>
      <c r="AJ33" s="9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32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5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9" t="s">
        <v>83</v>
      </c>
      <c r="AC34" s="3">
        <v>10000</v>
      </c>
      <c r="AD34" s="3">
        <v>10000</v>
      </c>
      <c r="AE34" s="3">
        <v>0</v>
      </c>
      <c r="AF34" s="9">
        <v>40</v>
      </c>
      <c r="AG34" s="9">
        <v>0</v>
      </c>
      <c r="AH34" s="9">
        <v>0</v>
      </c>
      <c r="AI34" s="9">
        <v>0</v>
      </c>
      <c r="AJ34" s="9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32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5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9" t="s">
        <v>83</v>
      </c>
      <c r="AC35" s="3">
        <v>10000</v>
      </c>
      <c r="AD35" s="3">
        <v>10000</v>
      </c>
      <c r="AE35" s="3">
        <v>0</v>
      </c>
      <c r="AF35" s="9">
        <v>40</v>
      </c>
      <c r="AG35" s="9">
        <v>0</v>
      </c>
      <c r="AH35" s="9">
        <v>0</v>
      </c>
      <c r="AI35" s="9">
        <v>0</v>
      </c>
      <c r="AJ35" s="9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32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5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9" t="s">
        <v>83</v>
      </c>
      <c r="AC36" s="3">
        <v>10000</v>
      </c>
      <c r="AD36" s="3">
        <v>10000</v>
      </c>
      <c r="AE36" s="3">
        <v>0</v>
      </c>
      <c r="AF36" s="9">
        <v>40</v>
      </c>
      <c r="AG36" s="9">
        <v>0</v>
      </c>
      <c r="AH36" s="9">
        <v>0</v>
      </c>
      <c r="AI36" s="9">
        <v>0</v>
      </c>
      <c r="AJ36" s="9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32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5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9" t="s">
        <v>83</v>
      </c>
      <c r="AC37" s="3">
        <v>10000</v>
      </c>
      <c r="AD37" s="3">
        <v>10000</v>
      </c>
      <c r="AE37" s="3">
        <v>0</v>
      </c>
      <c r="AF37" s="9">
        <v>40</v>
      </c>
      <c r="AG37" s="9">
        <v>0</v>
      </c>
      <c r="AH37" s="9">
        <v>0</v>
      </c>
      <c r="AI37" s="9">
        <v>0</v>
      </c>
      <c r="AJ37" s="9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32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5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9" t="s">
        <v>83</v>
      </c>
      <c r="AC38" s="3">
        <v>10000</v>
      </c>
      <c r="AD38" s="3">
        <v>10000</v>
      </c>
      <c r="AE38" s="3">
        <v>0</v>
      </c>
      <c r="AF38" s="9">
        <v>40</v>
      </c>
      <c r="AG38" s="9">
        <v>0</v>
      </c>
      <c r="AH38" s="9">
        <v>0</v>
      </c>
      <c r="AI38" s="9">
        <v>0</v>
      </c>
      <c r="AJ38" s="9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32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5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9" t="s">
        <v>83</v>
      </c>
      <c r="AC39" s="3">
        <v>10000</v>
      </c>
      <c r="AD39" s="3">
        <v>10000</v>
      </c>
      <c r="AE39" s="3">
        <v>0</v>
      </c>
      <c r="AF39" s="9">
        <v>40</v>
      </c>
      <c r="AG39" s="9">
        <v>0</v>
      </c>
      <c r="AH39" s="9">
        <v>0</v>
      </c>
      <c r="AI39" s="9">
        <v>0</v>
      </c>
      <c r="AJ39" s="9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32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5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9" t="s">
        <v>83</v>
      </c>
      <c r="AC40" s="3">
        <v>10000</v>
      </c>
      <c r="AD40" s="3">
        <v>10000</v>
      </c>
      <c r="AE40" s="3">
        <v>0</v>
      </c>
      <c r="AF40" s="9">
        <v>40</v>
      </c>
      <c r="AG40" s="9">
        <v>0</v>
      </c>
      <c r="AH40" s="9">
        <v>0</v>
      </c>
      <c r="AI40" s="9">
        <v>0</v>
      </c>
      <c r="AJ40" s="9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32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5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9" t="s">
        <v>83</v>
      </c>
      <c r="AC41" s="3">
        <v>10000</v>
      </c>
      <c r="AD41" s="3">
        <v>10000</v>
      </c>
      <c r="AE41" s="3">
        <v>0</v>
      </c>
      <c r="AF41" s="9">
        <v>40</v>
      </c>
      <c r="AG41" s="9">
        <v>0</v>
      </c>
      <c r="AH41" s="9">
        <v>0</v>
      </c>
      <c r="AI41" s="9">
        <v>0</v>
      </c>
      <c r="AJ41" s="9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32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9" t="s">
        <v>83</v>
      </c>
      <c r="AC42" s="3">
        <v>10000</v>
      </c>
      <c r="AD42" s="3">
        <v>10000</v>
      </c>
      <c r="AE42" s="3">
        <v>0</v>
      </c>
      <c r="AF42" s="9">
        <v>40</v>
      </c>
      <c r="AG42" s="9">
        <v>0</v>
      </c>
      <c r="AH42" s="9">
        <v>0</v>
      </c>
      <c r="AI42" s="9">
        <v>0</v>
      </c>
      <c r="AJ42" s="9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32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9" t="s">
        <v>83</v>
      </c>
      <c r="AC43" s="3">
        <v>10000</v>
      </c>
      <c r="AD43" s="3">
        <v>10000</v>
      </c>
      <c r="AE43" s="3">
        <v>0</v>
      </c>
      <c r="AF43" s="9">
        <v>40</v>
      </c>
      <c r="AG43" s="9">
        <v>0</v>
      </c>
      <c r="AH43" s="9">
        <v>0</v>
      </c>
      <c r="AI43" s="9">
        <v>0</v>
      </c>
      <c r="AJ43" s="9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32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9" t="s">
        <v>95</v>
      </c>
      <c r="AC44" s="3">
        <v>10000</v>
      </c>
      <c r="AD44" s="3">
        <v>10000</v>
      </c>
      <c r="AE44" s="3">
        <v>0</v>
      </c>
      <c r="AF44" s="9">
        <v>40</v>
      </c>
      <c r="AG44" s="9">
        <v>0</v>
      </c>
      <c r="AH44" s="9">
        <v>0</v>
      </c>
      <c r="AI44" s="9">
        <v>0</v>
      </c>
      <c r="AJ44" s="9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32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9" t="s">
        <v>95</v>
      </c>
      <c r="AC45" s="3">
        <v>10000</v>
      </c>
      <c r="AD45" s="3">
        <v>10000</v>
      </c>
      <c r="AE45" s="3">
        <v>0</v>
      </c>
      <c r="AF45" s="9">
        <v>40</v>
      </c>
      <c r="AG45" s="9">
        <v>0</v>
      </c>
      <c r="AH45" s="9">
        <v>0</v>
      </c>
      <c r="AI45" s="9">
        <v>0</v>
      </c>
      <c r="AJ45" s="9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32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9" t="s">
        <v>95</v>
      </c>
      <c r="AC46" s="3">
        <v>10000</v>
      </c>
      <c r="AD46" s="3">
        <v>10000</v>
      </c>
      <c r="AE46" s="3">
        <v>0</v>
      </c>
      <c r="AF46" s="9">
        <v>40</v>
      </c>
      <c r="AG46" s="9">
        <v>0</v>
      </c>
      <c r="AH46" s="9">
        <v>0</v>
      </c>
      <c r="AI46" s="9">
        <v>0</v>
      </c>
      <c r="AJ46" s="9">
        <v>0</v>
      </c>
    </row>
    <row r="47" spans="1:36" s="8" customFormat="1" x14ac:dyDescent="0.2">
      <c r="A47" s="13">
        <v>11101</v>
      </c>
      <c r="B47" s="13">
        <v>1</v>
      </c>
      <c r="C47" s="13" t="s">
        <v>108</v>
      </c>
      <c r="D47" s="13"/>
      <c r="F47" s="13"/>
      <c r="G47" s="13">
        <v>12</v>
      </c>
      <c r="H47" s="13">
        <v>1</v>
      </c>
      <c r="I47" s="13" t="s">
        <v>81</v>
      </c>
      <c r="J47" s="13">
        <v>0</v>
      </c>
      <c r="K47" s="13" t="s">
        <v>109</v>
      </c>
      <c r="L47" s="13">
        <v>800001011</v>
      </c>
      <c r="M47" s="13">
        <v>1</v>
      </c>
      <c r="N47" s="13">
        <v>70</v>
      </c>
      <c r="O47" s="13">
        <v>0</v>
      </c>
      <c r="P47" s="13">
        <v>15</v>
      </c>
      <c r="Q47" s="13">
        <v>0</v>
      </c>
      <c r="R47" s="13">
        <v>20</v>
      </c>
      <c r="S47" s="13">
        <v>-5500</v>
      </c>
      <c r="T47" s="13">
        <v>1</v>
      </c>
      <c r="U47" s="13">
        <v>0</v>
      </c>
      <c r="V47" s="13" t="s">
        <v>110</v>
      </c>
      <c r="W47" s="13" t="s">
        <v>111</v>
      </c>
      <c r="X47" s="13" t="s">
        <v>112</v>
      </c>
      <c r="Y47" s="17">
        <v>201001011</v>
      </c>
      <c r="Z47" s="17">
        <v>0</v>
      </c>
      <c r="AA47" s="13">
        <v>1</v>
      </c>
      <c r="AB47" s="8" t="s">
        <v>113</v>
      </c>
      <c r="AC47" s="13">
        <v>15000</v>
      </c>
      <c r="AD47" s="13">
        <v>10000</v>
      </c>
      <c r="AE47" s="13">
        <v>0</v>
      </c>
      <c r="AF47" s="8">
        <v>40</v>
      </c>
      <c r="AG47" s="8">
        <v>10000</v>
      </c>
      <c r="AH47" s="8">
        <v>10000</v>
      </c>
      <c r="AI47" s="8">
        <v>30</v>
      </c>
      <c r="AJ47" s="8">
        <v>0</v>
      </c>
    </row>
    <row r="48" spans="1:36" x14ac:dyDescent="0.2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9" t="s">
        <v>116</v>
      </c>
      <c r="AC48" s="3">
        <v>15000</v>
      </c>
      <c r="AD48" s="3">
        <v>10000</v>
      </c>
      <c r="AE48" s="3">
        <v>0</v>
      </c>
      <c r="AF48" s="9">
        <v>40</v>
      </c>
      <c r="AG48" s="9">
        <v>10000</v>
      </c>
      <c r="AH48" s="9">
        <v>10000</v>
      </c>
      <c r="AI48" s="9">
        <v>0</v>
      </c>
      <c r="AJ48" s="9">
        <v>0</v>
      </c>
    </row>
    <row r="49" spans="1:36" x14ac:dyDescent="0.2">
      <c r="A49" s="3">
        <v>11103</v>
      </c>
      <c r="B49" s="3">
        <v>1</v>
      </c>
      <c r="C49" s="3" t="s">
        <v>117</v>
      </c>
      <c r="D49" s="3"/>
      <c r="F49" s="3"/>
      <c r="G49" s="3">
        <v>12</v>
      </c>
      <c r="H49" s="3">
        <v>1</v>
      </c>
      <c r="I49" s="3" t="s">
        <v>81</v>
      </c>
      <c r="J49" s="3">
        <v>0</v>
      </c>
      <c r="K49" s="3"/>
      <c r="L49" s="3">
        <v>800001021</v>
      </c>
      <c r="M49" s="3">
        <v>1</v>
      </c>
      <c r="N49" s="3">
        <v>70</v>
      </c>
      <c r="O49" s="3">
        <v>0</v>
      </c>
      <c r="P49" s="3">
        <v>15</v>
      </c>
      <c r="Q49" s="3">
        <v>1</v>
      </c>
      <c r="R49" s="3">
        <v>300</v>
      </c>
      <c r="S49" s="3">
        <v>-5500</v>
      </c>
      <c r="T49" s="3">
        <v>1</v>
      </c>
      <c r="U49" s="3">
        <v>0</v>
      </c>
      <c r="V49" s="3" t="s">
        <v>110</v>
      </c>
      <c r="W49" s="3" t="s">
        <v>111</v>
      </c>
      <c r="X49" s="3" t="s">
        <v>112</v>
      </c>
      <c r="Y49" s="16">
        <v>201001011</v>
      </c>
      <c r="Z49" s="16">
        <v>0</v>
      </c>
      <c r="AA49" s="3">
        <v>1</v>
      </c>
      <c r="AB49" s="9" t="s">
        <v>113</v>
      </c>
      <c r="AC49" s="3">
        <v>15000</v>
      </c>
      <c r="AD49" s="3">
        <v>10000</v>
      </c>
      <c r="AE49" s="3">
        <v>0</v>
      </c>
      <c r="AF49" s="9">
        <v>40</v>
      </c>
      <c r="AG49" s="9">
        <v>10000</v>
      </c>
      <c r="AH49" s="9">
        <v>10000</v>
      </c>
      <c r="AI49" s="9">
        <v>0</v>
      </c>
      <c r="AJ49" s="9">
        <v>0</v>
      </c>
    </row>
    <row r="50" spans="1:36" x14ac:dyDescent="0.2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9" t="s">
        <v>113</v>
      </c>
      <c r="AC50" s="3">
        <v>15000</v>
      </c>
      <c r="AD50" s="3">
        <v>10000</v>
      </c>
      <c r="AE50" s="3">
        <v>0</v>
      </c>
      <c r="AF50" s="9">
        <v>40</v>
      </c>
      <c r="AG50" s="9">
        <v>10000</v>
      </c>
      <c r="AH50" s="9">
        <v>10000</v>
      </c>
      <c r="AI50" s="9">
        <v>0</v>
      </c>
      <c r="AJ50" s="9">
        <v>0</v>
      </c>
    </row>
    <row r="51" spans="1:36" x14ac:dyDescent="0.2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9" t="s">
        <v>122</v>
      </c>
      <c r="AC51" s="3">
        <v>15000</v>
      </c>
      <c r="AD51" s="3">
        <v>10000</v>
      </c>
      <c r="AE51" s="3">
        <v>0</v>
      </c>
      <c r="AF51" s="9">
        <v>40</v>
      </c>
      <c r="AG51" s="9">
        <v>10000</v>
      </c>
      <c r="AH51" s="9">
        <v>10000</v>
      </c>
      <c r="AI51" s="9">
        <v>0</v>
      </c>
      <c r="AJ51" s="9">
        <v>0</v>
      </c>
    </row>
    <row r="52" spans="1:36" s="8" customFormat="1" x14ac:dyDescent="0.2">
      <c r="A52" s="13">
        <v>11106</v>
      </c>
      <c r="B52" s="13">
        <v>1</v>
      </c>
      <c r="C52" s="13" t="s">
        <v>123</v>
      </c>
      <c r="D52" s="13"/>
      <c r="F52" s="13"/>
      <c r="G52" s="13">
        <v>12</v>
      </c>
      <c r="H52" s="13">
        <v>1</v>
      </c>
      <c r="I52" s="13" t="s">
        <v>81</v>
      </c>
      <c r="J52" s="13">
        <v>0</v>
      </c>
      <c r="K52" s="13" t="s">
        <v>124</v>
      </c>
      <c r="L52" s="13">
        <v>800014011</v>
      </c>
      <c r="M52" s="13">
        <v>1</v>
      </c>
      <c r="N52" s="13">
        <v>120</v>
      </c>
      <c r="O52" s="13">
        <v>0</v>
      </c>
      <c r="P52" s="13">
        <v>15</v>
      </c>
      <c r="Q52" s="13">
        <v>0</v>
      </c>
      <c r="R52" s="13">
        <v>36</v>
      </c>
      <c r="S52" s="13">
        <v>-5500</v>
      </c>
      <c r="T52" s="13">
        <v>1</v>
      </c>
      <c r="U52" s="13">
        <v>0</v>
      </c>
      <c r="V52" s="13" t="s">
        <v>110</v>
      </c>
      <c r="W52" s="13" t="s">
        <v>111</v>
      </c>
      <c r="X52" s="13" t="s">
        <v>112</v>
      </c>
      <c r="Y52" s="17">
        <v>214001011</v>
      </c>
      <c r="Z52" s="17">
        <v>0</v>
      </c>
      <c r="AA52" s="13">
        <v>1</v>
      </c>
      <c r="AB52" s="8" t="s">
        <v>83</v>
      </c>
      <c r="AC52" s="13">
        <v>15000</v>
      </c>
      <c r="AD52" s="13">
        <v>10000</v>
      </c>
      <c r="AE52" s="13">
        <v>0</v>
      </c>
      <c r="AF52" s="8">
        <v>40</v>
      </c>
      <c r="AG52" s="8">
        <v>10000</v>
      </c>
      <c r="AH52" s="8">
        <v>10000</v>
      </c>
      <c r="AI52" s="8">
        <v>4</v>
      </c>
      <c r="AJ52" s="8">
        <v>0</v>
      </c>
    </row>
    <row r="53" spans="1:36" x14ac:dyDescent="0.2">
      <c r="A53" s="3">
        <v>11107</v>
      </c>
      <c r="B53" s="3">
        <v>1</v>
      </c>
      <c r="C53" s="3" t="s">
        <v>126</v>
      </c>
      <c r="D53" s="3"/>
      <c r="F53" s="3"/>
      <c r="G53" s="3">
        <v>12</v>
      </c>
      <c r="H53" s="3">
        <v>1</v>
      </c>
      <c r="I53" s="3" t="s">
        <v>81</v>
      </c>
      <c r="J53" s="3">
        <v>0</v>
      </c>
      <c r="K53" s="3" t="s">
        <v>121</v>
      </c>
      <c r="L53" s="3">
        <v>800014011</v>
      </c>
      <c r="M53" s="3">
        <v>1</v>
      </c>
      <c r="N53" s="3">
        <v>100</v>
      </c>
      <c r="O53" s="3">
        <v>0</v>
      </c>
      <c r="P53" s="3">
        <v>15</v>
      </c>
      <c r="Q53" s="3">
        <v>0</v>
      </c>
      <c r="R53" s="3">
        <v>36</v>
      </c>
      <c r="S53" s="3">
        <v>-5500</v>
      </c>
      <c r="T53" s="3">
        <v>1</v>
      </c>
      <c r="U53" s="3">
        <v>0</v>
      </c>
      <c r="V53" s="3" t="s">
        <v>110</v>
      </c>
      <c r="W53" s="3" t="s">
        <v>111</v>
      </c>
      <c r="X53" s="3" t="s">
        <v>112</v>
      </c>
      <c r="Y53" s="16">
        <v>214001011</v>
      </c>
      <c r="Z53" s="16">
        <v>0</v>
      </c>
      <c r="AA53" s="3">
        <v>1</v>
      </c>
      <c r="AB53" s="9" t="s">
        <v>83</v>
      </c>
      <c r="AC53" s="3">
        <v>15000</v>
      </c>
      <c r="AD53" s="3">
        <v>10000</v>
      </c>
      <c r="AE53" s="3">
        <v>0</v>
      </c>
      <c r="AF53" s="9">
        <v>40</v>
      </c>
      <c r="AG53" s="9">
        <v>10000</v>
      </c>
      <c r="AH53" s="9">
        <v>10000</v>
      </c>
      <c r="AI53" s="9">
        <v>0</v>
      </c>
      <c r="AJ53" s="9">
        <v>0</v>
      </c>
    </row>
    <row r="54" spans="1:36" x14ac:dyDescent="0.2">
      <c r="A54" s="3">
        <v>11108</v>
      </c>
      <c r="B54" s="3">
        <v>1</v>
      </c>
      <c r="C54" s="3" t="s">
        <v>127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128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3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112</v>
      </c>
      <c r="Y54" s="16">
        <v>204001001</v>
      </c>
      <c r="Z54" s="16">
        <v>0</v>
      </c>
      <c r="AA54" s="3">
        <v>1</v>
      </c>
      <c r="AB54" s="9" t="s">
        <v>83</v>
      </c>
      <c r="AC54" s="3">
        <v>15000</v>
      </c>
      <c r="AD54" s="3">
        <v>10000</v>
      </c>
      <c r="AE54" s="3">
        <v>0</v>
      </c>
      <c r="AF54" s="9">
        <v>40</v>
      </c>
      <c r="AG54" s="9">
        <v>10000</v>
      </c>
      <c r="AH54" s="9">
        <v>10000</v>
      </c>
      <c r="AI54" s="9">
        <v>0</v>
      </c>
      <c r="AJ54" s="9">
        <v>0</v>
      </c>
    </row>
    <row r="55" spans="1:36" x14ac:dyDescent="0.2">
      <c r="A55" s="3">
        <v>11109</v>
      </c>
      <c r="B55" s="3">
        <v>1</v>
      </c>
      <c r="C55" s="3" t="s">
        <v>129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130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3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112</v>
      </c>
      <c r="Y55" s="16">
        <v>204002001</v>
      </c>
      <c r="Z55" s="16">
        <v>0</v>
      </c>
      <c r="AA55" s="3">
        <v>1</v>
      </c>
      <c r="AB55" s="9" t="s">
        <v>83</v>
      </c>
      <c r="AC55" s="3">
        <v>15000</v>
      </c>
      <c r="AD55" s="3">
        <v>10000</v>
      </c>
      <c r="AE55" s="3">
        <v>0</v>
      </c>
      <c r="AF55" s="9">
        <v>40</v>
      </c>
      <c r="AG55" s="9">
        <v>10000</v>
      </c>
      <c r="AH55" s="9">
        <v>10000</v>
      </c>
      <c r="AI55" s="9">
        <v>0</v>
      </c>
      <c r="AJ55" s="9">
        <v>0</v>
      </c>
    </row>
    <row r="56" spans="1:36" x14ac:dyDescent="0.2">
      <c r="A56" s="3">
        <v>11110</v>
      </c>
      <c r="B56" s="3">
        <v>1</v>
      </c>
      <c r="C56" s="3" t="s">
        <v>131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132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3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112</v>
      </c>
      <c r="Y56" s="16">
        <v>211001001</v>
      </c>
      <c r="Z56" s="16">
        <v>0</v>
      </c>
      <c r="AA56" s="3">
        <v>1</v>
      </c>
      <c r="AB56" s="9" t="s">
        <v>83</v>
      </c>
      <c r="AC56" s="3">
        <v>15000</v>
      </c>
      <c r="AD56" s="3">
        <v>10000</v>
      </c>
      <c r="AE56" s="3">
        <v>0</v>
      </c>
      <c r="AF56" s="9">
        <v>40</v>
      </c>
      <c r="AG56" s="9">
        <v>10000</v>
      </c>
      <c r="AH56" s="9">
        <v>10000</v>
      </c>
      <c r="AI56" s="9">
        <v>0</v>
      </c>
      <c r="AJ56" s="9">
        <v>0</v>
      </c>
    </row>
    <row r="57" spans="1:36" x14ac:dyDescent="0.2">
      <c r="A57" s="3">
        <v>11111</v>
      </c>
      <c r="B57" s="3">
        <v>1</v>
      </c>
      <c r="C57" s="3" t="s">
        <v>133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134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3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112</v>
      </c>
      <c r="Y57" s="16">
        <v>211002001</v>
      </c>
      <c r="Z57" s="16">
        <v>0</v>
      </c>
      <c r="AA57" s="3">
        <v>1</v>
      </c>
      <c r="AB57" s="9" t="s">
        <v>83</v>
      </c>
      <c r="AC57" s="3">
        <v>15000</v>
      </c>
      <c r="AD57" s="3">
        <v>10000</v>
      </c>
      <c r="AE57" s="3">
        <v>0</v>
      </c>
      <c r="AF57" s="9">
        <v>40</v>
      </c>
      <c r="AG57" s="9">
        <v>10000</v>
      </c>
      <c r="AH57" s="9">
        <v>10000</v>
      </c>
      <c r="AI57" s="9">
        <v>0</v>
      </c>
      <c r="AJ57" s="9">
        <v>0</v>
      </c>
    </row>
    <row r="58" spans="1:36" s="8" customFormat="1" x14ac:dyDescent="0.2">
      <c r="A58" s="13">
        <v>11112</v>
      </c>
      <c r="B58" s="13">
        <v>1</v>
      </c>
      <c r="C58" s="13" t="s">
        <v>135</v>
      </c>
      <c r="D58" s="13"/>
      <c r="F58" s="13"/>
      <c r="G58" s="13">
        <v>12</v>
      </c>
      <c r="H58" s="13">
        <v>1</v>
      </c>
      <c r="I58" s="13" t="s">
        <v>81</v>
      </c>
      <c r="J58" s="13">
        <v>0</v>
      </c>
      <c r="K58" s="13" t="s">
        <v>136</v>
      </c>
      <c r="L58" s="13">
        <v>800003011</v>
      </c>
      <c r="M58" s="13">
        <v>1</v>
      </c>
      <c r="N58" s="13">
        <v>90</v>
      </c>
      <c r="O58" s="13">
        <v>0</v>
      </c>
      <c r="P58" s="13">
        <v>15</v>
      </c>
      <c r="Q58" s="13">
        <v>0</v>
      </c>
      <c r="R58" s="13">
        <v>36</v>
      </c>
      <c r="S58" s="13">
        <v>-5500</v>
      </c>
      <c r="T58" s="13">
        <v>1</v>
      </c>
      <c r="U58" s="13">
        <v>0</v>
      </c>
      <c r="V58" s="13" t="s">
        <v>110</v>
      </c>
      <c r="W58" s="13" t="s">
        <v>111</v>
      </c>
      <c r="X58" s="13" t="s">
        <v>112</v>
      </c>
      <c r="Y58" s="17">
        <v>203001001</v>
      </c>
      <c r="Z58" s="17">
        <v>0</v>
      </c>
      <c r="AA58" s="13">
        <v>1</v>
      </c>
      <c r="AB58" s="8" t="s">
        <v>83</v>
      </c>
      <c r="AC58" s="13">
        <v>15000</v>
      </c>
      <c r="AD58" s="13">
        <v>10000</v>
      </c>
      <c r="AE58" s="13">
        <v>0</v>
      </c>
      <c r="AF58" s="8">
        <v>40</v>
      </c>
      <c r="AG58" s="8">
        <v>10000</v>
      </c>
      <c r="AH58" s="8">
        <v>10000</v>
      </c>
      <c r="AI58" s="8">
        <v>16</v>
      </c>
      <c r="AJ58" s="8">
        <v>0</v>
      </c>
    </row>
    <row r="59" spans="1:36" x14ac:dyDescent="0.2">
      <c r="A59" s="3">
        <v>11113</v>
      </c>
      <c r="B59" s="3">
        <v>1</v>
      </c>
      <c r="C59" s="3" t="s">
        <v>137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138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3">
        <v>1496</v>
      </c>
      <c r="S59" s="3">
        <v>-5500</v>
      </c>
      <c r="T59" s="3">
        <v>1</v>
      </c>
      <c r="U59" s="3">
        <v>0</v>
      </c>
      <c r="V59" s="3" t="s">
        <v>110</v>
      </c>
      <c r="W59" s="3" t="s">
        <v>111</v>
      </c>
      <c r="X59" s="3" t="s">
        <v>112</v>
      </c>
      <c r="Y59" s="16">
        <v>203002011</v>
      </c>
      <c r="Z59" s="16">
        <v>0</v>
      </c>
      <c r="AA59" s="3">
        <v>1</v>
      </c>
      <c r="AB59" s="9" t="s">
        <v>140</v>
      </c>
      <c r="AC59" s="3">
        <v>15000</v>
      </c>
      <c r="AD59" s="3">
        <v>10000</v>
      </c>
      <c r="AE59" s="3">
        <v>0</v>
      </c>
      <c r="AF59" s="9">
        <v>40</v>
      </c>
      <c r="AG59" s="9">
        <v>10000</v>
      </c>
      <c r="AH59" s="9">
        <v>10000</v>
      </c>
      <c r="AI59" s="9">
        <v>0</v>
      </c>
      <c r="AJ59" s="9">
        <v>0</v>
      </c>
    </row>
    <row r="60" spans="1:36" x14ac:dyDescent="0.2">
      <c r="A60" s="3">
        <v>11114</v>
      </c>
      <c r="B60" s="3">
        <v>1</v>
      </c>
      <c r="C60" s="3" t="s">
        <v>141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142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3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112</v>
      </c>
      <c r="Y60" s="16">
        <v>203003001</v>
      </c>
      <c r="Z60" s="16">
        <v>0</v>
      </c>
      <c r="AA60" s="3">
        <v>1</v>
      </c>
      <c r="AB60" s="9" t="s">
        <v>83</v>
      </c>
      <c r="AC60" s="3">
        <v>15000</v>
      </c>
      <c r="AD60" s="3">
        <v>10000</v>
      </c>
      <c r="AE60" s="3">
        <v>0</v>
      </c>
      <c r="AF60" s="9">
        <v>40</v>
      </c>
      <c r="AG60" s="9">
        <v>10000</v>
      </c>
      <c r="AH60" s="9">
        <v>10000</v>
      </c>
      <c r="AI60" s="9">
        <v>0</v>
      </c>
      <c r="AJ60" s="9">
        <v>0</v>
      </c>
    </row>
    <row r="61" spans="1:36" x14ac:dyDescent="0.2">
      <c r="A61" s="3">
        <v>11115</v>
      </c>
      <c r="B61" s="3">
        <v>1</v>
      </c>
      <c r="C61" s="3" t="s">
        <v>143</v>
      </c>
      <c r="D61" s="3"/>
      <c r="F61" s="3"/>
      <c r="G61" s="3">
        <v>12</v>
      </c>
      <c r="H61" s="3">
        <v>1</v>
      </c>
      <c r="I61" s="3" t="s">
        <v>81</v>
      </c>
      <c r="J61" s="3">
        <v>0</v>
      </c>
      <c r="K61" s="3"/>
      <c r="L61" s="3">
        <v>800001011</v>
      </c>
      <c r="M61" s="3">
        <v>1</v>
      </c>
      <c r="N61" s="3">
        <v>100</v>
      </c>
      <c r="O61" s="3">
        <v>0</v>
      </c>
      <c r="P61" s="3">
        <v>15</v>
      </c>
      <c r="Q61" s="3">
        <v>0</v>
      </c>
      <c r="R61" s="3">
        <v>36</v>
      </c>
      <c r="S61" s="3">
        <v>-5500</v>
      </c>
      <c r="T61" s="3">
        <v>1</v>
      </c>
      <c r="U61" s="3">
        <v>0</v>
      </c>
      <c r="V61" s="3" t="s">
        <v>110</v>
      </c>
      <c r="W61" s="3" t="s">
        <v>111</v>
      </c>
      <c r="X61" s="3" t="s">
        <v>112</v>
      </c>
      <c r="Y61" s="16">
        <v>201002011</v>
      </c>
      <c r="Z61" s="16">
        <v>0</v>
      </c>
      <c r="AA61" s="3">
        <v>1</v>
      </c>
      <c r="AB61" s="9" t="s">
        <v>83</v>
      </c>
      <c r="AC61" s="3">
        <v>15000</v>
      </c>
      <c r="AD61" s="3">
        <v>10000</v>
      </c>
      <c r="AE61" s="3">
        <v>0</v>
      </c>
      <c r="AF61" s="9">
        <v>40</v>
      </c>
      <c r="AG61" s="9">
        <v>10000</v>
      </c>
      <c r="AH61" s="9">
        <v>10000</v>
      </c>
      <c r="AI61" s="9">
        <v>0</v>
      </c>
      <c r="AJ61" s="9">
        <v>0</v>
      </c>
    </row>
    <row r="62" spans="1:36" s="8" customFormat="1" x14ac:dyDescent="0.2">
      <c r="A62" s="13">
        <v>21101</v>
      </c>
      <c r="B62" s="13">
        <v>2</v>
      </c>
      <c r="C62" s="13" t="s">
        <v>108</v>
      </c>
      <c r="D62" s="13"/>
      <c r="F62" s="13"/>
      <c r="G62" s="13">
        <v>12</v>
      </c>
      <c r="H62" s="13">
        <v>1</v>
      </c>
      <c r="I62" s="13" t="s">
        <v>81</v>
      </c>
      <c r="J62" s="13">
        <v>0</v>
      </c>
      <c r="K62" s="13" t="s">
        <v>109</v>
      </c>
      <c r="L62" s="13">
        <v>800001011</v>
      </c>
      <c r="M62" s="13">
        <v>1</v>
      </c>
      <c r="N62" s="13">
        <v>120</v>
      </c>
      <c r="O62" s="13">
        <v>0</v>
      </c>
      <c r="P62" s="13">
        <v>15</v>
      </c>
      <c r="Q62" s="13">
        <v>0</v>
      </c>
      <c r="R62" s="13">
        <v>20</v>
      </c>
      <c r="S62" s="13">
        <v>-5500</v>
      </c>
      <c r="T62" s="13">
        <v>1</v>
      </c>
      <c r="U62" s="13">
        <v>0</v>
      </c>
      <c r="V62" s="13" t="s">
        <v>110</v>
      </c>
      <c r="W62" s="13" t="s">
        <v>111</v>
      </c>
      <c r="X62" s="13" t="s">
        <v>112</v>
      </c>
      <c r="Y62" s="17">
        <v>201001011</v>
      </c>
      <c r="Z62" s="17">
        <v>0</v>
      </c>
      <c r="AA62" s="13">
        <v>1</v>
      </c>
      <c r="AB62" s="8" t="s">
        <v>113</v>
      </c>
      <c r="AC62" s="13">
        <v>15000</v>
      </c>
      <c r="AD62" s="13">
        <v>10000</v>
      </c>
      <c r="AE62" s="13">
        <v>0</v>
      </c>
      <c r="AF62" s="8">
        <v>40</v>
      </c>
      <c r="AG62" s="8">
        <v>10000</v>
      </c>
      <c r="AH62" s="8">
        <v>10000</v>
      </c>
      <c r="AI62" s="8">
        <v>18</v>
      </c>
      <c r="AJ62" s="8">
        <v>0</v>
      </c>
    </row>
    <row r="63" spans="1:36" x14ac:dyDescent="0.2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9" t="s">
        <v>116</v>
      </c>
      <c r="AC63" s="3">
        <v>15000</v>
      </c>
      <c r="AD63" s="3">
        <v>10000</v>
      </c>
      <c r="AE63" s="3">
        <v>0</v>
      </c>
      <c r="AF63" s="9">
        <v>40</v>
      </c>
      <c r="AG63" s="9">
        <v>10000</v>
      </c>
      <c r="AH63" s="9">
        <v>10000</v>
      </c>
      <c r="AI63" s="9">
        <v>0</v>
      </c>
      <c r="AJ63" s="9">
        <v>0</v>
      </c>
    </row>
    <row r="64" spans="1:36" x14ac:dyDescent="0.2">
      <c r="A64" s="3">
        <v>21103</v>
      </c>
      <c r="B64" s="3">
        <v>2</v>
      </c>
      <c r="C64" s="3" t="s">
        <v>117</v>
      </c>
      <c r="D64" s="3"/>
      <c r="F64" s="3"/>
      <c r="G64" s="3">
        <v>12</v>
      </c>
      <c r="H64" s="3">
        <v>1</v>
      </c>
      <c r="I64" s="3" t="s">
        <v>81</v>
      </c>
      <c r="J64" s="3">
        <v>0</v>
      </c>
      <c r="K64" s="3"/>
      <c r="L64" s="3">
        <v>800001021</v>
      </c>
      <c r="M64" s="3">
        <v>1</v>
      </c>
      <c r="N64" s="3">
        <v>70</v>
      </c>
      <c r="O64" s="3">
        <v>0</v>
      </c>
      <c r="P64" s="3">
        <v>15</v>
      </c>
      <c r="Q64" s="3">
        <v>1</v>
      </c>
      <c r="R64" s="3">
        <v>300</v>
      </c>
      <c r="S64" s="3">
        <v>-5500</v>
      </c>
      <c r="T64" s="3">
        <v>1</v>
      </c>
      <c r="U64" s="3">
        <v>0</v>
      </c>
      <c r="V64" s="3" t="s">
        <v>110</v>
      </c>
      <c r="W64" s="3" t="s">
        <v>111</v>
      </c>
      <c r="X64" s="3" t="s">
        <v>112</v>
      </c>
      <c r="Y64" s="16">
        <v>201001011</v>
      </c>
      <c r="Z64" s="16">
        <v>0</v>
      </c>
      <c r="AA64" s="3">
        <v>1</v>
      </c>
      <c r="AB64" s="9" t="s">
        <v>113</v>
      </c>
      <c r="AC64" s="3">
        <v>15000</v>
      </c>
      <c r="AD64" s="3">
        <v>10000</v>
      </c>
      <c r="AE64" s="3">
        <v>0</v>
      </c>
      <c r="AF64" s="9">
        <v>40</v>
      </c>
      <c r="AG64" s="9">
        <v>10000</v>
      </c>
      <c r="AH64" s="9">
        <v>10000</v>
      </c>
      <c r="AI64" s="9">
        <v>0</v>
      </c>
      <c r="AJ64" s="9">
        <v>0</v>
      </c>
    </row>
    <row r="65" spans="1:36" x14ac:dyDescent="0.2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9" t="s">
        <v>113</v>
      </c>
      <c r="AC65" s="3">
        <v>15000</v>
      </c>
      <c r="AD65" s="3">
        <v>10000</v>
      </c>
      <c r="AE65" s="3">
        <v>0</v>
      </c>
      <c r="AF65" s="9">
        <v>40</v>
      </c>
      <c r="AG65" s="9">
        <v>10000</v>
      </c>
      <c r="AH65" s="9">
        <v>10000</v>
      </c>
      <c r="AI65" s="9">
        <v>0</v>
      </c>
      <c r="AJ65" s="9">
        <v>0</v>
      </c>
    </row>
    <row r="66" spans="1:36" x14ac:dyDescent="0.2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9" t="s">
        <v>122</v>
      </c>
      <c r="AC66" s="3">
        <v>15000</v>
      </c>
      <c r="AD66" s="3">
        <v>10000</v>
      </c>
      <c r="AE66" s="3">
        <v>0</v>
      </c>
      <c r="AF66" s="9">
        <v>40</v>
      </c>
      <c r="AG66" s="9">
        <v>10000</v>
      </c>
      <c r="AH66" s="9">
        <v>10000</v>
      </c>
      <c r="AI66" s="9">
        <v>0</v>
      </c>
      <c r="AJ66" s="9">
        <v>0</v>
      </c>
    </row>
    <row r="67" spans="1:36" s="8" customFormat="1" x14ac:dyDescent="0.2">
      <c r="A67" s="13">
        <v>21106</v>
      </c>
      <c r="B67" s="13">
        <v>2</v>
      </c>
      <c r="C67" s="13" t="s">
        <v>123</v>
      </c>
      <c r="D67" s="13"/>
      <c r="F67" s="13"/>
      <c r="G67" s="13">
        <v>12</v>
      </c>
      <c r="H67" s="13">
        <v>1</v>
      </c>
      <c r="I67" s="13" t="s">
        <v>81</v>
      </c>
      <c r="J67" s="13">
        <v>0</v>
      </c>
      <c r="K67" s="13" t="s">
        <v>124</v>
      </c>
      <c r="L67" s="13">
        <v>800014011</v>
      </c>
      <c r="M67" s="13">
        <v>1</v>
      </c>
      <c r="N67" s="13">
        <v>210</v>
      </c>
      <c r="O67" s="13">
        <v>0</v>
      </c>
      <c r="P67" s="13">
        <v>15</v>
      </c>
      <c r="Q67" s="13">
        <v>0</v>
      </c>
      <c r="R67" s="13">
        <v>36</v>
      </c>
      <c r="S67" s="13">
        <v>-5500</v>
      </c>
      <c r="T67" s="13">
        <v>1</v>
      </c>
      <c r="U67" s="13">
        <v>0</v>
      </c>
      <c r="V67" s="13" t="s">
        <v>110</v>
      </c>
      <c r="W67" s="13" t="s">
        <v>111</v>
      </c>
      <c r="X67" s="13" t="s">
        <v>112</v>
      </c>
      <c r="Y67" s="17">
        <v>214001011</v>
      </c>
      <c r="Z67" s="17">
        <v>0</v>
      </c>
      <c r="AA67" s="13">
        <v>1</v>
      </c>
      <c r="AB67" s="8" t="s">
        <v>83</v>
      </c>
      <c r="AC67" s="13">
        <v>15000</v>
      </c>
      <c r="AD67" s="13">
        <v>10000</v>
      </c>
      <c r="AE67" s="13">
        <v>0</v>
      </c>
      <c r="AF67" s="8">
        <v>40</v>
      </c>
      <c r="AG67" s="8">
        <v>10000</v>
      </c>
      <c r="AH67" s="8">
        <v>10000</v>
      </c>
      <c r="AI67" s="8">
        <v>2</v>
      </c>
      <c r="AJ67" s="8">
        <v>0</v>
      </c>
    </row>
    <row r="68" spans="1:36" s="8" customFormat="1" x14ac:dyDescent="0.2">
      <c r="A68" s="13">
        <v>21107</v>
      </c>
      <c r="B68" s="13">
        <v>2</v>
      </c>
      <c r="C68" s="13" t="s">
        <v>126</v>
      </c>
      <c r="D68" s="13"/>
      <c r="F68" s="13"/>
      <c r="G68" s="13">
        <v>12</v>
      </c>
      <c r="H68" s="13">
        <v>1</v>
      </c>
      <c r="I68" s="13" t="s">
        <v>81</v>
      </c>
      <c r="J68" s="13">
        <v>0</v>
      </c>
      <c r="K68" s="13" t="s">
        <v>144</v>
      </c>
      <c r="L68" s="13">
        <v>800004011</v>
      </c>
      <c r="M68" s="13">
        <v>1</v>
      </c>
      <c r="N68" s="13">
        <v>160</v>
      </c>
      <c r="O68" s="13">
        <v>0</v>
      </c>
      <c r="P68" s="13">
        <v>15</v>
      </c>
      <c r="Q68" s="13">
        <v>0</v>
      </c>
      <c r="R68" s="13">
        <v>36</v>
      </c>
      <c r="S68" s="13">
        <v>-5500</v>
      </c>
      <c r="T68" s="13">
        <v>1</v>
      </c>
      <c r="U68" s="13">
        <v>0</v>
      </c>
      <c r="V68" s="13" t="s">
        <v>110</v>
      </c>
      <c r="W68" s="13" t="s">
        <v>111</v>
      </c>
      <c r="X68" s="13" t="s">
        <v>112</v>
      </c>
      <c r="Y68" s="17">
        <v>204001001</v>
      </c>
      <c r="Z68" s="17">
        <v>0</v>
      </c>
      <c r="AA68" s="13">
        <v>1</v>
      </c>
      <c r="AB68" s="8" t="s">
        <v>83</v>
      </c>
      <c r="AC68" s="13">
        <v>15000</v>
      </c>
      <c r="AD68" s="13">
        <v>10000</v>
      </c>
      <c r="AE68" s="13">
        <v>0</v>
      </c>
      <c r="AF68" s="8">
        <v>40</v>
      </c>
      <c r="AG68" s="8">
        <v>10000</v>
      </c>
      <c r="AH68" s="8">
        <v>10000</v>
      </c>
      <c r="AI68" s="8">
        <v>12</v>
      </c>
      <c r="AJ68" s="8">
        <v>0</v>
      </c>
    </row>
    <row r="69" spans="1:36" x14ac:dyDescent="0.2">
      <c r="A69" s="3">
        <v>21108</v>
      </c>
      <c r="B69" s="3">
        <v>2</v>
      </c>
      <c r="C69" s="3" t="s">
        <v>127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128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3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112</v>
      </c>
      <c r="Y69" s="16">
        <v>204001001</v>
      </c>
      <c r="Z69" s="16">
        <v>0</v>
      </c>
      <c r="AA69" s="3">
        <v>1</v>
      </c>
      <c r="AB69" s="9" t="s">
        <v>83</v>
      </c>
      <c r="AC69" s="3">
        <v>15000</v>
      </c>
      <c r="AD69" s="3">
        <v>10000</v>
      </c>
      <c r="AE69" s="3">
        <v>0</v>
      </c>
      <c r="AF69" s="9">
        <v>40</v>
      </c>
      <c r="AG69" s="9">
        <v>10000</v>
      </c>
      <c r="AH69" s="9">
        <v>10000</v>
      </c>
      <c r="AI69" s="9">
        <v>0</v>
      </c>
      <c r="AJ69" s="9">
        <v>0</v>
      </c>
    </row>
    <row r="70" spans="1:36" x14ac:dyDescent="0.2">
      <c r="A70" s="3">
        <v>21109</v>
      </c>
      <c r="B70" s="3">
        <v>2</v>
      </c>
      <c r="C70" s="3" t="s">
        <v>129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130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3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112</v>
      </c>
      <c r="Y70" s="16">
        <v>204002001</v>
      </c>
      <c r="Z70" s="16">
        <v>0</v>
      </c>
      <c r="AA70" s="3">
        <v>1</v>
      </c>
      <c r="AB70" s="9" t="s">
        <v>83</v>
      </c>
      <c r="AC70" s="3">
        <v>15000</v>
      </c>
      <c r="AD70" s="3">
        <v>10000</v>
      </c>
      <c r="AE70" s="3">
        <v>0</v>
      </c>
      <c r="AF70" s="9">
        <v>40</v>
      </c>
      <c r="AG70" s="9">
        <v>10000</v>
      </c>
      <c r="AH70" s="9">
        <v>10000</v>
      </c>
      <c r="AI70" s="9">
        <v>0</v>
      </c>
      <c r="AJ70" s="9">
        <v>0</v>
      </c>
    </row>
    <row r="71" spans="1:36" x14ac:dyDescent="0.2">
      <c r="A71" s="3">
        <v>21110</v>
      </c>
      <c r="B71" s="3">
        <v>2</v>
      </c>
      <c r="C71" s="3" t="s">
        <v>131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132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3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112</v>
      </c>
      <c r="Y71" s="16">
        <v>211001001</v>
      </c>
      <c r="Z71" s="16">
        <v>0</v>
      </c>
      <c r="AA71" s="3">
        <v>1</v>
      </c>
      <c r="AB71" s="9" t="s">
        <v>83</v>
      </c>
      <c r="AC71" s="3">
        <v>15000</v>
      </c>
      <c r="AD71" s="3">
        <v>10000</v>
      </c>
      <c r="AE71" s="3">
        <v>0</v>
      </c>
      <c r="AF71" s="9">
        <v>40</v>
      </c>
      <c r="AG71" s="9">
        <v>10000</v>
      </c>
      <c r="AH71" s="9">
        <v>10000</v>
      </c>
      <c r="AI71" s="9">
        <v>0</v>
      </c>
      <c r="AJ71" s="9">
        <v>0</v>
      </c>
    </row>
    <row r="72" spans="1:36" x14ac:dyDescent="0.2">
      <c r="A72" s="3">
        <v>21111</v>
      </c>
      <c r="B72" s="3">
        <v>2</v>
      </c>
      <c r="C72" s="3" t="s">
        <v>133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134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3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112</v>
      </c>
      <c r="Y72" s="16">
        <v>211002001</v>
      </c>
      <c r="Z72" s="16">
        <v>0</v>
      </c>
      <c r="AA72" s="3">
        <v>1</v>
      </c>
      <c r="AB72" s="9" t="s">
        <v>83</v>
      </c>
      <c r="AC72" s="3">
        <v>15000</v>
      </c>
      <c r="AD72" s="3">
        <v>10000</v>
      </c>
      <c r="AE72" s="3">
        <v>0</v>
      </c>
      <c r="AF72" s="9">
        <v>40</v>
      </c>
      <c r="AG72" s="9">
        <v>10000</v>
      </c>
      <c r="AH72" s="9">
        <v>10000</v>
      </c>
      <c r="AI72" s="9">
        <v>0</v>
      </c>
      <c r="AJ72" s="9">
        <v>0</v>
      </c>
    </row>
    <row r="73" spans="1:36" x14ac:dyDescent="0.2">
      <c r="A73" s="3">
        <v>21112</v>
      </c>
      <c r="B73" s="3">
        <v>2</v>
      </c>
      <c r="C73" s="3" t="s">
        <v>135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145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3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112</v>
      </c>
      <c r="Y73" s="16">
        <v>203001001</v>
      </c>
      <c r="Z73" s="16">
        <v>0</v>
      </c>
      <c r="AA73" s="3">
        <v>1</v>
      </c>
      <c r="AB73" s="9" t="s">
        <v>83</v>
      </c>
      <c r="AC73" s="3">
        <v>15000</v>
      </c>
      <c r="AD73" s="3">
        <v>10000</v>
      </c>
      <c r="AE73" s="3">
        <v>0</v>
      </c>
      <c r="AF73" s="9">
        <v>40</v>
      </c>
      <c r="AG73" s="9">
        <v>10000</v>
      </c>
      <c r="AH73" s="9">
        <v>10000</v>
      </c>
      <c r="AI73" s="9">
        <v>0</v>
      </c>
      <c r="AJ73" s="9">
        <v>0</v>
      </c>
    </row>
    <row r="74" spans="1:36" x14ac:dyDescent="0.2">
      <c r="A74" s="3">
        <v>21113</v>
      </c>
      <c r="B74" s="3">
        <v>2</v>
      </c>
      <c r="C74" s="3" t="s">
        <v>137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138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3">
        <v>1496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112</v>
      </c>
      <c r="Y74" s="16">
        <v>203002011</v>
      </c>
      <c r="Z74" s="16">
        <v>0</v>
      </c>
      <c r="AA74" s="3">
        <v>1</v>
      </c>
      <c r="AB74" s="9" t="s">
        <v>140</v>
      </c>
      <c r="AC74" s="3">
        <v>15000</v>
      </c>
      <c r="AD74" s="3">
        <v>10000</v>
      </c>
      <c r="AE74" s="3">
        <v>0</v>
      </c>
      <c r="AF74" s="9">
        <v>40</v>
      </c>
      <c r="AG74" s="9">
        <v>10000</v>
      </c>
      <c r="AH74" s="9">
        <v>10000</v>
      </c>
      <c r="AI74" s="9">
        <v>0</v>
      </c>
      <c r="AJ74" s="9">
        <v>0</v>
      </c>
    </row>
    <row r="75" spans="1:36" x14ac:dyDescent="0.2">
      <c r="A75" s="3">
        <v>21114</v>
      </c>
      <c r="B75" s="3">
        <v>2</v>
      </c>
      <c r="C75" s="3" t="s">
        <v>141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142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3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112</v>
      </c>
      <c r="Y75" s="16">
        <v>203003001</v>
      </c>
      <c r="Z75" s="16">
        <v>0</v>
      </c>
      <c r="AA75" s="3">
        <v>1</v>
      </c>
      <c r="AB75" s="9" t="s">
        <v>83</v>
      </c>
      <c r="AC75" s="3">
        <v>15000</v>
      </c>
      <c r="AD75" s="3">
        <v>10000</v>
      </c>
      <c r="AE75" s="3">
        <v>0</v>
      </c>
      <c r="AF75" s="9">
        <v>40</v>
      </c>
      <c r="AG75" s="9">
        <v>10000</v>
      </c>
      <c r="AH75" s="9">
        <v>10000</v>
      </c>
      <c r="AI75" s="9">
        <v>0</v>
      </c>
      <c r="AJ75" s="9">
        <v>0</v>
      </c>
    </row>
    <row r="76" spans="1:36" x14ac:dyDescent="0.2">
      <c r="A76" s="3">
        <v>21115</v>
      </c>
      <c r="B76" s="3">
        <v>2</v>
      </c>
      <c r="C76" s="3" t="s">
        <v>143</v>
      </c>
      <c r="D76" s="3"/>
      <c r="F76" s="3"/>
      <c r="G76" s="3">
        <v>12</v>
      </c>
      <c r="H76" s="3">
        <v>1</v>
      </c>
      <c r="I76" s="3" t="s">
        <v>81</v>
      </c>
      <c r="J76" s="3">
        <v>0</v>
      </c>
      <c r="K76" s="3"/>
      <c r="L76" s="3">
        <v>800001011</v>
      </c>
      <c r="M76" s="3">
        <v>1</v>
      </c>
      <c r="N76" s="3">
        <v>100</v>
      </c>
      <c r="O76" s="3">
        <v>0</v>
      </c>
      <c r="P76" s="3">
        <v>15</v>
      </c>
      <c r="Q76" s="3">
        <v>0</v>
      </c>
      <c r="R76" s="3">
        <v>36</v>
      </c>
      <c r="S76" s="3">
        <v>-5500</v>
      </c>
      <c r="T76" s="3">
        <v>1</v>
      </c>
      <c r="U76" s="3">
        <v>0</v>
      </c>
      <c r="V76" s="3" t="s">
        <v>110</v>
      </c>
      <c r="W76" s="3" t="s">
        <v>111</v>
      </c>
      <c r="X76" s="3" t="s">
        <v>112</v>
      </c>
      <c r="Y76" s="16">
        <v>201002011</v>
      </c>
      <c r="Z76" s="16">
        <v>0</v>
      </c>
      <c r="AA76" s="3">
        <v>1</v>
      </c>
      <c r="AB76" s="9" t="s">
        <v>83</v>
      </c>
      <c r="AC76" s="3">
        <v>15000</v>
      </c>
      <c r="AD76" s="3">
        <v>10000</v>
      </c>
      <c r="AE76" s="3">
        <v>0</v>
      </c>
      <c r="AF76" s="9">
        <v>40</v>
      </c>
      <c r="AG76" s="9">
        <v>10000</v>
      </c>
      <c r="AH76" s="9">
        <v>10000</v>
      </c>
      <c r="AI76" s="9">
        <v>0</v>
      </c>
      <c r="AJ76" s="9">
        <v>0</v>
      </c>
    </row>
    <row r="77" spans="1:36" x14ac:dyDescent="0.2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146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9" t="s">
        <v>113</v>
      </c>
      <c r="AC77" s="3">
        <v>15000</v>
      </c>
      <c r="AD77" s="3">
        <v>10000</v>
      </c>
      <c r="AE77" s="3">
        <v>0</v>
      </c>
      <c r="AF77" s="9">
        <v>40</v>
      </c>
      <c r="AG77" s="9">
        <v>10000</v>
      </c>
      <c r="AH77" s="9">
        <v>10000</v>
      </c>
      <c r="AI77" s="9">
        <v>0</v>
      </c>
      <c r="AJ77" s="9">
        <v>0</v>
      </c>
    </row>
    <row r="78" spans="1:36" x14ac:dyDescent="0.2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9" t="s">
        <v>116</v>
      </c>
      <c r="AC78" s="3">
        <v>15000</v>
      </c>
      <c r="AD78" s="3">
        <v>10000</v>
      </c>
      <c r="AE78" s="3">
        <v>0</v>
      </c>
      <c r="AF78" s="9">
        <v>40</v>
      </c>
      <c r="AG78" s="9">
        <v>10000</v>
      </c>
      <c r="AH78" s="9">
        <v>10000</v>
      </c>
      <c r="AI78" s="9">
        <v>0</v>
      </c>
      <c r="AJ78" s="9">
        <v>0</v>
      </c>
    </row>
    <row r="79" spans="1:36" x14ac:dyDescent="0.2">
      <c r="A79" s="3">
        <v>31103</v>
      </c>
      <c r="B79" s="3">
        <v>3</v>
      </c>
      <c r="C79" s="3" t="s">
        <v>117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/>
      <c r="L79" s="3">
        <v>800001021</v>
      </c>
      <c r="M79" s="3">
        <v>1</v>
      </c>
      <c r="N79" s="3">
        <v>70</v>
      </c>
      <c r="O79" s="3">
        <v>0</v>
      </c>
      <c r="P79" s="3">
        <v>15</v>
      </c>
      <c r="Q79" s="3">
        <v>1</v>
      </c>
      <c r="R79" s="3">
        <v>300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112</v>
      </c>
      <c r="Y79" s="16">
        <v>201001011</v>
      </c>
      <c r="Z79" s="16">
        <v>0</v>
      </c>
      <c r="AA79" s="3">
        <v>1</v>
      </c>
      <c r="AB79" s="9" t="s">
        <v>113</v>
      </c>
      <c r="AC79" s="3">
        <v>15000</v>
      </c>
      <c r="AD79" s="3">
        <v>10000</v>
      </c>
      <c r="AE79" s="3">
        <v>0</v>
      </c>
      <c r="AF79" s="9">
        <v>40</v>
      </c>
      <c r="AG79" s="9">
        <v>10000</v>
      </c>
      <c r="AH79" s="9">
        <v>10000</v>
      </c>
      <c r="AI79" s="9">
        <v>0</v>
      </c>
      <c r="AJ79" s="9">
        <v>0</v>
      </c>
    </row>
    <row r="80" spans="1:36" x14ac:dyDescent="0.2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9" t="s">
        <v>113</v>
      </c>
      <c r="AC80" s="3">
        <v>15000</v>
      </c>
      <c r="AD80" s="3">
        <v>10000</v>
      </c>
      <c r="AE80" s="3">
        <v>0</v>
      </c>
      <c r="AF80" s="9">
        <v>40</v>
      </c>
      <c r="AG80" s="9">
        <v>10000</v>
      </c>
      <c r="AH80" s="9">
        <v>10000</v>
      </c>
      <c r="AI80" s="9">
        <v>0</v>
      </c>
      <c r="AJ80" s="9">
        <v>0</v>
      </c>
    </row>
    <row r="81" spans="1:36" x14ac:dyDescent="0.2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9" t="s">
        <v>122</v>
      </c>
      <c r="AC81" s="3">
        <v>15000</v>
      </c>
      <c r="AD81" s="3">
        <v>10000</v>
      </c>
      <c r="AE81" s="3">
        <v>0</v>
      </c>
      <c r="AF81" s="9">
        <v>40</v>
      </c>
      <c r="AG81" s="9">
        <v>10000</v>
      </c>
      <c r="AH81" s="9">
        <v>10000</v>
      </c>
      <c r="AI81" s="9">
        <v>0</v>
      </c>
      <c r="AJ81" s="9">
        <v>0</v>
      </c>
    </row>
    <row r="82" spans="1:36" x14ac:dyDescent="0.2">
      <c r="A82" s="3">
        <v>31106</v>
      </c>
      <c r="B82" s="3">
        <v>3</v>
      </c>
      <c r="C82" s="3" t="s">
        <v>123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/>
      <c r="L82" s="3">
        <v>800001011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3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112</v>
      </c>
      <c r="Y82" s="16">
        <v>201002011</v>
      </c>
      <c r="Z82" s="16">
        <v>0</v>
      </c>
      <c r="AA82" s="3">
        <v>1</v>
      </c>
      <c r="AB82" s="9" t="s">
        <v>83</v>
      </c>
      <c r="AC82" s="3">
        <v>15000</v>
      </c>
      <c r="AD82" s="3">
        <v>10000</v>
      </c>
      <c r="AE82" s="3">
        <v>0</v>
      </c>
      <c r="AF82" s="9">
        <v>40</v>
      </c>
      <c r="AG82" s="9">
        <v>10000</v>
      </c>
      <c r="AH82" s="9">
        <v>10000</v>
      </c>
      <c r="AI82" s="9">
        <v>0</v>
      </c>
      <c r="AJ82" s="9">
        <v>0</v>
      </c>
    </row>
    <row r="83" spans="1:36" x14ac:dyDescent="0.2">
      <c r="A83" s="3">
        <v>31107</v>
      </c>
      <c r="B83" s="3">
        <v>3</v>
      </c>
      <c r="C83" s="3" t="s">
        <v>126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121</v>
      </c>
      <c r="L83" s="3">
        <v>800014011</v>
      </c>
      <c r="M83" s="3">
        <v>1</v>
      </c>
      <c r="N83" s="3">
        <v>100</v>
      </c>
      <c r="O83" s="3">
        <v>0</v>
      </c>
      <c r="P83" s="3">
        <v>15</v>
      </c>
      <c r="Q83" s="3">
        <v>0</v>
      </c>
      <c r="R83" s="3">
        <v>36</v>
      </c>
      <c r="S83" s="3">
        <v>-5500</v>
      </c>
      <c r="T83" s="3">
        <v>1</v>
      </c>
      <c r="U83" s="3">
        <v>0</v>
      </c>
      <c r="V83" s="3" t="s">
        <v>110</v>
      </c>
      <c r="W83" s="3" t="s">
        <v>111</v>
      </c>
      <c r="X83" s="3" t="s">
        <v>112</v>
      </c>
      <c r="Y83" s="16">
        <v>214001011</v>
      </c>
      <c r="Z83" s="16">
        <v>0</v>
      </c>
      <c r="AA83" s="3">
        <v>1</v>
      </c>
      <c r="AB83" s="9" t="s">
        <v>83</v>
      </c>
      <c r="AC83" s="3">
        <v>15000</v>
      </c>
      <c r="AD83" s="3">
        <v>10000</v>
      </c>
      <c r="AE83" s="3">
        <v>0</v>
      </c>
      <c r="AF83" s="9">
        <v>40</v>
      </c>
      <c r="AG83" s="9">
        <v>10000</v>
      </c>
      <c r="AH83" s="9">
        <v>10000</v>
      </c>
      <c r="AI83" s="9">
        <v>0</v>
      </c>
      <c r="AJ83" s="9">
        <v>0</v>
      </c>
    </row>
    <row r="84" spans="1:36" x14ac:dyDescent="0.2">
      <c r="A84" s="3">
        <v>31108</v>
      </c>
      <c r="B84" s="3">
        <v>3</v>
      </c>
      <c r="C84" s="3" t="s">
        <v>127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128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3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112</v>
      </c>
      <c r="Y84" s="16">
        <v>204001001</v>
      </c>
      <c r="Z84" s="16">
        <v>0</v>
      </c>
      <c r="AA84" s="3">
        <v>1</v>
      </c>
      <c r="AB84" s="9" t="s">
        <v>83</v>
      </c>
      <c r="AC84" s="3">
        <v>15000</v>
      </c>
      <c r="AD84" s="3">
        <v>10000</v>
      </c>
      <c r="AE84" s="3">
        <v>0</v>
      </c>
      <c r="AF84" s="9">
        <v>40</v>
      </c>
      <c r="AG84" s="9">
        <v>10000</v>
      </c>
      <c r="AH84" s="9">
        <v>10000</v>
      </c>
      <c r="AI84" s="9">
        <v>0</v>
      </c>
      <c r="AJ84" s="9">
        <v>0</v>
      </c>
    </row>
    <row r="85" spans="1:36" x14ac:dyDescent="0.2">
      <c r="A85" s="3">
        <v>31109</v>
      </c>
      <c r="B85" s="3">
        <v>3</v>
      </c>
      <c r="C85" s="3" t="s">
        <v>129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130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3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112</v>
      </c>
      <c r="Y85" s="16">
        <v>204002001</v>
      </c>
      <c r="Z85" s="16">
        <v>0</v>
      </c>
      <c r="AA85" s="3">
        <v>1</v>
      </c>
      <c r="AB85" s="9" t="s">
        <v>83</v>
      </c>
      <c r="AC85" s="3">
        <v>15000</v>
      </c>
      <c r="AD85" s="3">
        <v>10000</v>
      </c>
      <c r="AE85" s="3">
        <v>0</v>
      </c>
      <c r="AF85" s="9">
        <v>40</v>
      </c>
      <c r="AG85" s="9">
        <v>10000</v>
      </c>
      <c r="AH85" s="9">
        <v>10000</v>
      </c>
      <c r="AI85" s="9">
        <v>0</v>
      </c>
      <c r="AJ85" s="9">
        <v>0</v>
      </c>
    </row>
    <row r="86" spans="1:36" x14ac:dyDescent="0.2">
      <c r="A86" s="3">
        <v>31110</v>
      </c>
      <c r="B86" s="3">
        <v>3</v>
      </c>
      <c r="C86" s="3" t="s">
        <v>131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132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3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112</v>
      </c>
      <c r="Y86" s="16">
        <v>211001001</v>
      </c>
      <c r="Z86" s="16">
        <v>0</v>
      </c>
      <c r="AA86" s="3">
        <v>1</v>
      </c>
      <c r="AB86" s="9" t="s">
        <v>83</v>
      </c>
      <c r="AC86" s="3">
        <v>15000</v>
      </c>
      <c r="AD86" s="3">
        <v>10000</v>
      </c>
      <c r="AE86" s="3">
        <v>0</v>
      </c>
      <c r="AF86" s="9">
        <v>40</v>
      </c>
      <c r="AG86" s="9">
        <v>10000</v>
      </c>
      <c r="AH86" s="9">
        <v>10000</v>
      </c>
      <c r="AI86" s="9">
        <v>0</v>
      </c>
      <c r="AJ86" s="9">
        <v>0</v>
      </c>
    </row>
    <row r="87" spans="1:36" x14ac:dyDescent="0.2">
      <c r="A87" s="3">
        <v>31111</v>
      </c>
      <c r="B87" s="3">
        <v>3</v>
      </c>
      <c r="C87" s="3" t="s">
        <v>133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134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3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112</v>
      </c>
      <c r="Y87" s="16">
        <v>211002001</v>
      </c>
      <c r="Z87" s="16">
        <v>0</v>
      </c>
      <c r="AA87" s="3">
        <v>1</v>
      </c>
      <c r="AB87" s="9" t="s">
        <v>83</v>
      </c>
      <c r="AC87" s="3">
        <v>15000</v>
      </c>
      <c r="AD87" s="3">
        <v>10000</v>
      </c>
      <c r="AE87" s="3">
        <v>0</v>
      </c>
      <c r="AF87" s="9">
        <v>40</v>
      </c>
      <c r="AG87" s="9">
        <v>10000</v>
      </c>
      <c r="AH87" s="9">
        <v>10000</v>
      </c>
      <c r="AI87" s="9">
        <v>0</v>
      </c>
      <c r="AJ87" s="9">
        <v>0</v>
      </c>
    </row>
    <row r="88" spans="1:36" x14ac:dyDescent="0.2">
      <c r="A88" s="3">
        <v>31112</v>
      </c>
      <c r="B88" s="3">
        <v>3</v>
      </c>
      <c r="C88" s="3" t="s">
        <v>135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145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3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112</v>
      </c>
      <c r="Y88" s="16">
        <v>203001001</v>
      </c>
      <c r="Z88" s="16">
        <v>0</v>
      </c>
      <c r="AA88" s="3">
        <v>1</v>
      </c>
      <c r="AB88" s="9" t="s">
        <v>83</v>
      </c>
      <c r="AC88" s="3">
        <v>15000</v>
      </c>
      <c r="AD88" s="3">
        <v>10000</v>
      </c>
      <c r="AE88" s="3">
        <v>0</v>
      </c>
      <c r="AF88" s="9">
        <v>40</v>
      </c>
      <c r="AG88" s="9">
        <v>10000</v>
      </c>
      <c r="AH88" s="9">
        <v>10000</v>
      </c>
      <c r="AI88" s="9">
        <v>0</v>
      </c>
      <c r="AJ88" s="9">
        <v>0</v>
      </c>
    </row>
    <row r="89" spans="1:36" x14ac:dyDescent="0.2">
      <c r="A89" s="3">
        <v>31113</v>
      </c>
      <c r="B89" s="3">
        <v>3</v>
      </c>
      <c r="C89" s="3" t="s">
        <v>137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138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3">
        <v>1496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112</v>
      </c>
      <c r="Y89" s="16">
        <v>203002011</v>
      </c>
      <c r="Z89" s="16">
        <v>0</v>
      </c>
      <c r="AA89" s="3">
        <v>1</v>
      </c>
      <c r="AB89" s="9" t="s">
        <v>140</v>
      </c>
      <c r="AC89" s="3">
        <v>15000</v>
      </c>
      <c r="AD89" s="3">
        <v>10000</v>
      </c>
      <c r="AE89" s="3">
        <v>0</v>
      </c>
      <c r="AF89" s="9">
        <v>40</v>
      </c>
      <c r="AG89" s="9">
        <v>10000</v>
      </c>
      <c r="AH89" s="9">
        <v>10000</v>
      </c>
      <c r="AI89" s="9">
        <v>0</v>
      </c>
      <c r="AJ89" s="9">
        <v>0</v>
      </c>
    </row>
    <row r="90" spans="1:36" x14ac:dyDescent="0.2">
      <c r="A90" s="3">
        <v>31114</v>
      </c>
      <c r="B90" s="3">
        <v>3</v>
      </c>
      <c r="C90" s="3" t="s">
        <v>141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142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3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112</v>
      </c>
      <c r="Y90" s="16">
        <v>203003001</v>
      </c>
      <c r="Z90" s="16">
        <v>0</v>
      </c>
      <c r="AA90" s="3">
        <v>1</v>
      </c>
      <c r="AB90" s="9" t="s">
        <v>83</v>
      </c>
      <c r="AC90" s="3">
        <v>15000</v>
      </c>
      <c r="AD90" s="3">
        <v>10000</v>
      </c>
      <c r="AE90" s="3">
        <v>0</v>
      </c>
      <c r="AF90" s="9">
        <v>40</v>
      </c>
      <c r="AG90" s="9">
        <v>10000</v>
      </c>
      <c r="AH90" s="9">
        <v>10000</v>
      </c>
      <c r="AI90" s="9">
        <v>0</v>
      </c>
      <c r="AJ90" s="9">
        <v>0</v>
      </c>
    </row>
    <row r="91" spans="1:36" x14ac:dyDescent="0.2">
      <c r="A91" s="3">
        <v>31115</v>
      </c>
      <c r="B91" s="3">
        <v>3</v>
      </c>
      <c r="C91" s="3" t="s">
        <v>143</v>
      </c>
      <c r="D91" s="3"/>
      <c r="F91" s="3"/>
      <c r="G91" s="3">
        <v>12</v>
      </c>
      <c r="H91" s="3">
        <v>1</v>
      </c>
      <c r="I91" s="3" t="s">
        <v>81</v>
      </c>
      <c r="J91" s="3">
        <v>0</v>
      </c>
      <c r="K91" s="3"/>
      <c r="L91" s="3">
        <v>800001011</v>
      </c>
      <c r="M91" s="3">
        <v>1</v>
      </c>
      <c r="N91" s="3">
        <v>100</v>
      </c>
      <c r="O91" s="3">
        <v>0</v>
      </c>
      <c r="P91" s="3">
        <v>15</v>
      </c>
      <c r="Q91" s="3">
        <v>0</v>
      </c>
      <c r="R91" s="3">
        <v>36</v>
      </c>
      <c r="S91" s="3">
        <v>-5500</v>
      </c>
      <c r="T91" s="3">
        <v>1</v>
      </c>
      <c r="U91" s="3">
        <v>0</v>
      </c>
      <c r="V91" s="3" t="s">
        <v>110</v>
      </c>
      <c r="W91" s="3" t="s">
        <v>111</v>
      </c>
      <c r="X91" s="3" t="s">
        <v>112</v>
      </c>
      <c r="Y91" s="16">
        <v>201002011</v>
      </c>
      <c r="Z91" s="16">
        <v>0</v>
      </c>
      <c r="AA91" s="3">
        <v>1</v>
      </c>
      <c r="AB91" s="9" t="s">
        <v>83</v>
      </c>
      <c r="AC91" s="3">
        <v>15000</v>
      </c>
      <c r="AD91" s="3">
        <v>10000</v>
      </c>
      <c r="AE91" s="3">
        <v>0</v>
      </c>
      <c r="AF91" s="9">
        <v>40</v>
      </c>
      <c r="AG91" s="9">
        <v>10000</v>
      </c>
      <c r="AH91" s="9">
        <v>10000</v>
      </c>
      <c r="AI91" s="9">
        <v>0</v>
      </c>
      <c r="AJ91" s="9">
        <v>0</v>
      </c>
    </row>
    <row r="92" spans="1:36" x14ac:dyDescent="0.2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146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9" t="s">
        <v>113</v>
      </c>
      <c r="AC92" s="3">
        <v>15000</v>
      </c>
      <c r="AD92" s="3">
        <v>10000</v>
      </c>
      <c r="AE92" s="3">
        <v>0</v>
      </c>
      <c r="AF92" s="9">
        <v>40</v>
      </c>
      <c r="AG92" s="9">
        <v>10000</v>
      </c>
      <c r="AH92" s="9">
        <v>10000</v>
      </c>
      <c r="AI92" s="9">
        <v>0</v>
      </c>
      <c r="AJ92" s="9">
        <v>0</v>
      </c>
    </row>
    <row r="93" spans="1:36" x14ac:dyDescent="0.2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9" t="s">
        <v>116</v>
      </c>
      <c r="AC93" s="3">
        <v>15000</v>
      </c>
      <c r="AD93" s="3">
        <v>10000</v>
      </c>
      <c r="AE93" s="3">
        <v>0</v>
      </c>
      <c r="AF93" s="9">
        <v>40</v>
      </c>
      <c r="AG93" s="9">
        <v>10000</v>
      </c>
      <c r="AH93" s="9">
        <v>10000</v>
      </c>
      <c r="AI93" s="9">
        <v>0</v>
      </c>
      <c r="AJ93" s="9">
        <v>0</v>
      </c>
    </row>
    <row r="94" spans="1:36" x14ac:dyDescent="0.2">
      <c r="A94" s="3">
        <v>41103</v>
      </c>
      <c r="B94" s="3">
        <v>4</v>
      </c>
      <c r="C94" s="3" t="s">
        <v>117</v>
      </c>
      <c r="D94" s="3"/>
      <c r="F94" s="3"/>
      <c r="G94" s="3">
        <v>12</v>
      </c>
      <c r="H94" s="3">
        <v>1</v>
      </c>
      <c r="I94" s="3" t="s">
        <v>81</v>
      </c>
      <c r="J94" s="3">
        <v>0</v>
      </c>
      <c r="K94" s="3"/>
      <c r="L94" s="3">
        <v>800001021</v>
      </c>
      <c r="M94" s="3">
        <v>1</v>
      </c>
      <c r="N94" s="3">
        <v>70</v>
      </c>
      <c r="O94" s="3">
        <v>0</v>
      </c>
      <c r="P94" s="3">
        <v>15</v>
      </c>
      <c r="Q94" s="3">
        <v>1</v>
      </c>
      <c r="R94" s="3">
        <v>300</v>
      </c>
      <c r="S94" s="3">
        <v>-5500</v>
      </c>
      <c r="T94" s="3">
        <v>1</v>
      </c>
      <c r="U94" s="3">
        <v>0</v>
      </c>
      <c r="V94" s="3" t="s">
        <v>110</v>
      </c>
      <c r="W94" s="3" t="s">
        <v>111</v>
      </c>
      <c r="X94" s="3" t="s">
        <v>112</v>
      </c>
      <c r="Y94" s="16">
        <v>201001011</v>
      </c>
      <c r="Z94" s="16">
        <v>0</v>
      </c>
      <c r="AA94" s="3">
        <v>1</v>
      </c>
      <c r="AB94" s="9" t="s">
        <v>113</v>
      </c>
      <c r="AC94" s="3">
        <v>15000</v>
      </c>
      <c r="AD94" s="3">
        <v>10000</v>
      </c>
      <c r="AE94" s="3">
        <v>0</v>
      </c>
      <c r="AF94" s="9">
        <v>40</v>
      </c>
      <c r="AG94" s="9">
        <v>10000</v>
      </c>
      <c r="AH94" s="9">
        <v>10000</v>
      </c>
      <c r="AI94" s="9">
        <v>0</v>
      </c>
      <c r="AJ94" s="9">
        <v>0</v>
      </c>
    </row>
    <row r="95" spans="1:36" x14ac:dyDescent="0.2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9" t="s">
        <v>113</v>
      </c>
      <c r="AC95" s="3">
        <v>15000</v>
      </c>
      <c r="AD95" s="3">
        <v>10000</v>
      </c>
      <c r="AE95" s="3">
        <v>0</v>
      </c>
      <c r="AF95" s="9">
        <v>40</v>
      </c>
      <c r="AG95" s="9">
        <v>10000</v>
      </c>
      <c r="AH95" s="9">
        <v>10000</v>
      </c>
      <c r="AI95" s="9">
        <v>0</v>
      </c>
      <c r="AJ95" s="9">
        <v>0</v>
      </c>
    </row>
    <row r="96" spans="1:36" x14ac:dyDescent="0.2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9" t="s">
        <v>122</v>
      </c>
      <c r="AC96" s="3">
        <v>15000</v>
      </c>
      <c r="AD96" s="3">
        <v>10000</v>
      </c>
      <c r="AE96" s="3">
        <v>0</v>
      </c>
      <c r="AF96" s="9">
        <v>40</v>
      </c>
      <c r="AG96" s="9">
        <v>10000</v>
      </c>
      <c r="AH96" s="9">
        <v>10000</v>
      </c>
      <c r="AI96" s="9">
        <v>0</v>
      </c>
      <c r="AJ96" s="9">
        <v>0</v>
      </c>
    </row>
    <row r="97" spans="1:36" x14ac:dyDescent="0.2">
      <c r="A97" s="3">
        <v>41106</v>
      </c>
      <c r="B97" s="3">
        <v>4</v>
      </c>
      <c r="C97" s="3" t="s">
        <v>123</v>
      </c>
      <c r="D97" s="3"/>
      <c r="F97" s="3"/>
      <c r="G97" s="3">
        <v>12</v>
      </c>
      <c r="H97" s="3">
        <v>1</v>
      </c>
      <c r="I97" s="3" t="s">
        <v>81</v>
      </c>
      <c r="J97" s="3">
        <v>0</v>
      </c>
      <c r="K97" s="3"/>
      <c r="L97" s="3">
        <v>800001011</v>
      </c>
      <c r="M97" s="3">
        <v>1</v>
      </c>
      <c r="N97" s="3">
        <v>100</v>
      </c>
      <c r="O97" s="3">
        <v>0</v>
      </c>
      <c r="P97" s="3">
        <v>15</v>
      </c>
      <c r="Q97" s="3">
        <v>0</v>
      </c>
      <c r="R97" s="3">
        <v>36</v>
      </c>
      <c r="S97" s="3">
        <v>-5500</v>
      </c>
      <c r="T97" s="3">
        <v>1</v>
      </c>
      <c r="U97" s="3">
        <v>0</v>
      </c>
      <c r="V97" s="3" t="s">
        <v>110</v>
      </c>
      <c r="W97" s="3" t="s">
        <v>111</v>
      </c>
      <c r="X97" s="3" t="s">
        <v>125</v>
      </c>
      <c r="Y97" s="16">
        <v>201002011</v>
      </c>
      <c r="Z97" s="16">
        <v>0</v>
      </c>
      <c r="AA97" s="3">
        <v>1</v>
      </c>
      <c r="AB97" s="9" t="s">
        <v>83</v>
      </c>
      <c r="AC97" s="3">
        <v>15000</v>
      </c>
      <c r="AD97" s="3">
        <v>10000</v>
      </c>
      <c r="AE97" s="3">
        <v>0</v>
      </c>
      <c r="AF97" s="9">
        <v>40</v>
      </c>
      <c r="AG97" s="9">
        <v>10000</v>
      </c>
      <c r="AH97" s="9">
        <v>10000</v>
      </c>
      <c r="AI97" s="9">
        <v>0</v>
      </c>
      <c r="AJ97" s="9">
        <v>0</v>
      </c>
    </row>
    <row r="98" spans="1:36" x14ac:dyDescent="0.2">
      <c r="A98" s="3">
        <v>41107</v>
      </c>
      <c r="B98" s="3">
        <v>4</v>
      </c>
      <c r="C98" s="3" t="s">
        <v>126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121</v>
      </c>
      <c r="L98" s="3">
        <v>800014011</v>
      </c>
      <c r="M98" s="3">
        <v>1</v>
      </c>
      <c r="N98" s="3">
        <v>100</v>
      </c>
      <c r="O98" s="3">
        <v>0</v>
      </c>
      <c r="P98" s="3">
        <v>15</v>
      </c>
      <c r="Q98" s="3">
        <v>0</v>
      </c>
      <c r="R98" s="3">
        <v>36</v>
      </c>
      <c r="S98" s="3">
        <v>-5500</v>
      </c>
      <c r="T98" s="3">
        <v>1</v>
      </c>
      <c r="U98" s="3">
        <v>0</v>
      </c>
      <c r="V98" s="3" t="s">
        <v>110</v>
      </c>
      <c r="W98" s="3" t="s">
        <v>111</v>
      </c>
      <c r="X98" s="3" t="s">
        <v>125</v>
      </c>
      <c r="Y98" s="16">
        <v>214001011</v>
      </c>
      <c r="Z98" s="16">
        <v>0</v>
      </c>
      <c r="AA98" s="3">
        <v>1</v>
      </c>
      <c r="AB98" s="9" t="s">
        <v>83</v>
      </c>
      <c r="AC98" s="3">
        <v>15000</v>
      </c>
      <c r="AD98" s="3">
        <v>10000</v>
      </c>
      <c r="AE98" s="3">
        <v>0</v>
      </c>
      <c r="AF98" s="9">
        <v>40</v>
      </c>
      <c r="AG98" s="9">
        <v>10000</v>
      </c>
      <c r="AH98" s="9">
        <v>10000</v>
      </c>
      <c r="AI98" s="9">
        <v>0</v>
      </c>
      <c r="AJ98" s="9">
        <v>0</v>
      </c>
    </row>
    <row r="99" spans="1:36" x14ac:dyDescent="0.2">
      <c r="A99" s="3">
        <v>41108</v>
      </c>
      <c r="B99" s="3">
        <v>4</v>
      </c>
      <c r="C99" s="3" t="s">
        <v>127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128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3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125</v>
      </c>
      <c r="Y99" s="16">
        <v>204001001</v>
      </c>
      <c r="Z99" s="16">
        <v>0</v>
      </c>
      <c r="AA99" s="3">
        <v>1</v>
      </c>
      <c r="AB99" s="9" t="s">
        <v>83</v>
      </c>
      <c r="AC99" s="3">
        <v>15000</v>
      </c>
      <c r="AD99" s="3">
        <v>10000</v>
      </c>
      <c r="AE99" s="3">
        <v>0</v>
      </c>
      <c r="AF99" s="9">
        <v>40</v>
      </c>
      <c r="AG99" s="9">
        <v>10000</v>
      </c>
      <c r="AH99" s="9">
        <v>10000</v>
      </c>
      <c r="AI99" s="9">
        <v>0</v>
      </c>
      <c r="AJ99" s="9">
        <v>0</v>
      </c>
    </row>
    <row r="100" spans="1:36" x14ac:dyDescent="0.2">
      <c r="A100" s="3">
        <v>41109</v>
      </c>
      <c r="B100" s="3">
        <v>4</v>
      </c>
      <c r="C100" s="3" t="s">
        <v>129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130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3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125</v>
      </c>
      <c r="Y100" s="16">
        <v>204002001</v>
      </c>
      <c r="Z100" s="16">
        <v>0</v>
      </c>
      <c r="AA100" s="3">
        <v>1</v>
      </c>
      <c r="AB100" s="9" t="s">
        <v>83</v>
      </c>
      <c r="AC100" s="3">
        <v>15000</v>
      </c>
      <c r="AD100" s="3">
        <v>10000</v>
      </c>
      <c r="AE100" s="3">
        <v>0</v>
      </c>
      <c r="AF100" s="9">
        <v>40</v>
      </c>
      <c r="AG100" s="9">
        <v>10000</v>
      </c>
      <c r="AH100" s="9">
        <v>10000</v>
      </c>
      <c r="AI100" s="9">
        <v>0</v>
      </c>
      <c r="AJ100" s="9">
        <v>0</v>
      </c>
    </row>
    <row r="101" spans="1:36" x14ac:dyDescent="0.2">
      <c r="A101" s="3">
        <v>41110</v>
      </c>
      <c r="B101" s="3">
        <v>4</v>
      </c>
      <c r="C101" s="3" t="s">
        <v>131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132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3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125</v>
      </c>
      <c r="Y101" s="16">
        <v>211001001</v>
      </c>
      <c r="Z101" s="16">
        <v>0</v>
      </c>
      <c r="AA101" s="3">
        <v>1</v>
      </c>
      <c r="AB101" s="9" t="s">
        <v>83</v>
      </c>
      <c r="AC101" s="3">
        <v>15000</v>
      </c>
      <c r="AD101" s="3">
        <v>10000</v>
      </c>
      <c r="AE101" s="3">
        <v>0</v>
      </c>
      <c r="AF101" s="9">
        <v>40</v>
      </c>
      <c r="AG101" s="9">
        <v>10000</v>
      </c>
      <c r="AH101" s="9">
        <v>10000</v>
      </c>
      <c r="AI101" s="9">
        <v>0</v>
      </c>
      <c r="AJ101" s="9">
        <v>0</v>
      </c>
    </row>
    <row r="102" spans="1:36" x14ac:dyDescent="0.2">
      <c r="A102" s="3">
        <v>41111</v>
      </c>
      <c r="B102" s="3">
        <v>4</v>
      </c>
      <c r="C102" s="3" t="s">
        <v>133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134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3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125</v>
      </c>
      <c r="Y102" s="16">
        <v>211002001</v>
      </c>
      <c r="Z102" s="16">
        <v>0</v>
      </c>
      <c r="AA102" s="3">
        <v>1</v>
      </c>
      <c r="AB102" s="9" t="s">
        <v>83</v>
      </c>
      <c r="AC102" s="3">
        <v>15000</v>
      </c>
      <c r="AD102" s="3">
        <v>10000</v>
      </c>
      <c r="AE102" s="3">
        <v>0</v>
      </c>
      <c r="AF102" s="9">
        <v>40</v>
      </c>
      <c r="AG102" s="9">
        <v>10000</v>
      </c>
      <c r="AH102" s="9">
        <v>10000</v>
      </c>
      <c r="AI102" s="9">
        <v>0</v>
      </c>
      <c r="AJ102" s="9">
        <v>0</v>
      </c>
    </row>
    <row r="103" spans="1:36" x14ac:dyDescent="0.2">
      <c r="A103" s="3">
        <v>41112</v>
      </c>
      <c r="B103" s="3">
        <v>4</v>
      </c>
      <c r="C103" s="3" t="s">
        <v>135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145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3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125</v>
      </c>
      <c r="Y103" s="16">
        <v>203001001</v>
      </c>
      <c r="Z103" s="16">
        <v>0</v>
      </c>
      <c r="AA103" s="3">
        <v>1</v>
      </c>
      <c r="AB103" s="9" t="s">
        <v>83</v>
      </c>
      <c r="AC103" s="3">
        <v>15000</v>
      </c>
      <c r="AD103" s="3">
        <v>10000</v>
      </c>
      <c r="AE103" s="3">
        <v>0</v>
      </c>
      <c r="AF103" s="9">
        <v>40</v>
      </c>
      <c r="AG103" s="9">
        <v>10000</v>
      </c>
      <c r="AH103" s="9">
        <v>10000</v>
      </c>
      <c r="AI103" s="9">
        <v>0</v>
      </c>
      <c r="AJ103" s="9">
        <v>0</v>
      </c>
    </row>
    <row r="104" spans="1:36" x14ac:dyDescent="0.2">
      <c r="A104" s="3">
        <v>41113</v>
      </c>
      <c r="B104" s="3">
        <v>4</v>
      </c>
      <c r="C104" s="3" t="s">
        <v>137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138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3">
        <v>1496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139</v>
      </c>
      <c r="Y104" s="16">
        <v>203002011</v>
      </c>
      <c r="Z104" s="16">
        <v>0</v>
      </c>
      <c r="AA104" s="3">
        <v>1</v>
      </c>
      <c r="AB104" s="9" t="s">
        <v>140</v>
      </c>
      <c r="AC104" s="3">
        <v>15000</v>
      </c>
      <c r="AD104" s="3">
        <v>10000</v>
      </c>
      <c r="AE104" s="3">
        <v>0</v>
      </c>
      <c r="AF104" s="9">
        <v>40</v>
      </c>
      <c r="AG104" s="9">
        <v>10000</v>
      </c>
      <c r="AH104" s="9">
        <v>10000</v>
      </c>
      <c r="AI104" s="9">
        <v>0</v>
      </c>
      <c r="AJ104" s="9">
        <v>0</v>
      </c>
    </row>
    <row r="105" spans="1:36" x14ac:dyDescent="0.2">
      <c r="A105" s="3">
        <v>41114</v>
      </c>
      <c r="B105" s="3">
        <v>4</v>
      </c>
      <c r="C105" s="3" t="s">
        <v>141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142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3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125</v>
      </c>
      <c r="Y105" s="16">
        <v>203003001</v>
      </c>
      <c r="Z105" s="16">
        <v>0</v>
      </c>
      <c r="AA105" s="3">
        <v>1</v>
      </c>
      <c r="AB105" s="9" t="s">
        <v>83</v>
      </c>
      <c r="AC105" s="3">
        <v>15000</v>
      </c>
      <c r="AD105" s="3">
        <v>10000</v>
      </c>
      <c r="AE105" s="3">
        <v>0</v>
      </c>
      <c r="AF105" s="9">
        <v>40</v>
      </c>
      <c r="AG105" s="9">
        <v>10000</v>
      </c>
      <c r="AH105" s="9">
        <v>10000</v>
      </c>
      <c r="AI105" s="9">
        <v>0</v>
      </c>
      <c r="AJ105" s="9">
        <v>0</v>
      </c>
    </row>
    <row r="106" spans="1:36" x14ac:dyDescent="0.2">
      <c r="A106" s="3">
        <v>41115</v>
      </c>
      <c r="B106" s="3">
        <v>4</v>
      </c>
      <c r="C106" s="3" t="s">
        <v>143</v>
      </c>
      <c r="D106" s="3"/>
      <c r="F106" s="3"/>
      <c r="G106" s="3">
        <v>12</v>
      </c>
      <c r="H106" s="3">
        <v>1</v>
      </c>
      <c r="I106" s="3" t="s">
        <v>81</v>
      </c>
      <c r="J106" s="3">
        <v>0</v>
      </c>
      <c r="K106" s="3"/>
      <c r="L106" s="3">
        <v>800001011</v>
      </c>
      <c r="M106" s="3">
        <v>1</v>
      </c>
      <c r="N106" s="3">
        <v>100</v>
      </c>
      <c r="O106" s="3">
        <v>0</v>
      </c>
      <c r="P106" s="3">
        <v>15</v>
      </c>
      <c r="Q106" s="3">
        <v>0</v>
      </c>
      <c r="R106" s="3">
        <v>36</v>
      </c>
      <c r="S106" s="3">
        <v>-5500</v>
      </c>
      <c r="T106" s="3">
        <v>1</v>
      </c>
      <c r="U106" s="3">
        <v>0</v>
      </c>
      <c r="V106" s="3" t="s">
        <v>110</v>
      </c>
      <c r="W106" s="3" t="s">
        <v>111</v>
      </c>
      <c r="X106" s="3" t="s">
        <v>125</v>
      </c>
      <c r="Y106" s="16">
        <v>201002011</v>
      </c>
      <c r="Z106" s="16">
        <v>0</v>
      </c>
      <c r="AA106" s="3">
        <v>1</v>
      </c>
      <c r="AB106" s="9" t="s">
        <v>83</v>
      </c>
      <c r="AC106" s="3">
        <v>15000</v>
      </c>
      <c r="AD106" s="3">
        <v>10000</v>
      </c>
      <c r="AE106" s="3">
        <v>0</v>
      </c>
      <c r="AF106" s="9">
        <v>40</v>
      </c>
      <c r="AG106" s="9">
        <v>10000</v>
      </c>
      <c r="AH106" s="9">
        <v>10000</v>
      </c>
      <c r="AI106" s="9">
        <v>0</v>
      </c>
      <c r="AJ106" s="9">
        <v>0</v>
      </c>
    </row>
    <row r="107" spans="1:36" x14ac:dyDescent="0.2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146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147</v>
      </c>
      <c r="Y107" s="16">
        <v>201001011</v>
      </c>
      <c r="Z107" s="16">
        <v>0</v>
      </c>
      <c r="AA107" s="3">
        <v>1</v>
      </c>
      <c r="AB107" s="9" t="s">
        <v>113</v>
      </c>
      <c r="AC107" s="3">
        <v>15000</v>
      </c>
      <c r="AD107" s="3">
        <v>10000</v>
      </c>
      <c r="AE107" s="3">
        <v>0</v>
      </c>
      <c r="AF107" s="9">
        <v>40</v>
      </c>
      <c r="AG107" s="9">
        <v>10000</v>
      </c>
      <c r="AH107" s="9">
        <v>10000</v>
      </c>
      <c r="AI107" s="9">
        <v>0</v>
      </c>
      <c r="AJ107" s="9">
        <v>0</v>
      </c>
    </row>
    <row r="108" spans="1:36" x14ac:dyDescent="0.2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147</v>
      </c>
      <c r="Y108" s="16">
        <v>201002011</v>
      </c>
      <c r="Z108" s="16">
        <v>0</v>
      </c>
      <c r="AA108" s="3">
        <v>1</v>
      </c>
      <c r="AB108" s="9" t="s">
        <v>116</v>
      </c>
      <c r="AC108" s="3">
        <v>15000</v>
      </c>
      <c r="AD108" s="3">
        <v>10000</v>
      </c>
      <c r="AE108" s="3">
        <v>0</v>
      </c>
      <c r="AF108" s="9">
        <v>40</v>
      </c>
      <c r="AG108" s="9">
        <v>10000</v>
      </c>
      <c r="AH108" s="9">
        <v>10000</v>
      </c>
      <c r="AI108" s="9">
        <v>0</v>
      </c>
      <c r="AJ108" s="9">
        <v>0</v>
      </c>
    </row>
    <row r="109" spans="1:36" x14ac:dyDescent="0.2">
      <c r="A109" s="3">
        <v>51103</v>
      </c>
      <c r="B109" s="3">
        <v>5</v>
      </c>
      <c r="C109" s="3" t="s">
        <v>117</v>
      </c>
      <c r="D109" s="3"/>
      <c r="F109" s="3"/>
      <c r="G109" s="3">
        <v>12</v>
      </c>
      <c r="H109" s="3">
        <v>1</v>
      </c>
      <c r="I109" s="3" t="s">
        <v>81</v>
      </c>
      <c r="J109" s="3">
        <v>0</v>
      </c>
      <c r="K109" s="3"/>
      <c r="L109" s="3">
        <v>800001021</v>
      </c>
      <c r="M109" s="3">
        <v>1</v>
      </c>
      <c r="N109" s="3">
        <v>70</v>
      </c>
      <c r="O109" s="3">
        <v>0</v>
      </c>
      <c r="P109" s="3">
        <v>15</v>
      </c>
      <c r="Q109" s="3">
        <v>1</v>
      </c>
      <c r="R109" s="3">
        <v>300</v>
      </c>
      <c r="S109" s="3">
        <v>-5500</v>
      </c>
      <c r="T109" s="3">
        <v>1</v>
      </c>
      <c r="U109" s="3">
        <v>0</v>
      </c>
      <c r="V109" s="3" t="s">
        <v>110</v>
      </c>
      <c r="W109" s="3" t="s">
        <v>111</v>
      </c>
      <c r="X109" s="3" t="s">
        <v>147</v>
      </c>
      <c r="Y109" s="16">
        <v>201001011</v>
      </c>
      <c r="Z109" s="16">
        <v>0</v>
      </c>
      <c r="AA109" s="3">
        <v>1</v>
      </c>
      <c r="AB109" s="9" t="s">
        <v>113</v>
      </c>
      <c r="AC109" s="3">
        <v>15000</v>
      </c>
      <c r="AD109" s="3">
        <v>10000</v>
      </c>
      <c r="AE109" s="3">
        <v>0</v>
      </c>
      <c r="AF109" s="9">
        <v>40</v>
      </c>
      <c r="AG109" s="9">
        <v>10000</v>
      </c>
      <c r="AH109" s="9">
        <v>10000</v>
      </c>
      <c r="AI109" s="9">
        <v>0</v>
      </c>
      <c r="AJ109" s="9">
        <v>0</v>
      </c>
    </row>
    <row r="110" spans="1:36" x14ac:dyDescent="0.2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147</v>
      </c>
      <c r="Y110" s="16">
        <v>201004011</v>
      </c>
      <c r="Z110" s="16">
        <v>0</v>
      </c>
      <c r="AA110" s="3">
        <v>1</v>
      </c>
      <c r="AB110" s="9" t="s">
        <v>113</v>
      </c>
      <c r="AC110" s="3">
        <v>15000</v>
      </c>
      <c r="AD110" s="3">
        <v>10000</v>
      </c>
      <c r="AE110" s="3">
        <v>0</v>
      </c>
      <c r="AF110" s="9">
        <v>40</v>
      </c>
      <c r="AG110" s="9">
        <v>10000</v>
      </c>
      <c r="AH110" s="9">
        <v>10000</v>
      </c>
      <c r="AI110" s="9">
        <v>0</v>
      </c>
      <c r="AJ110" s="9">
        <v>0</v>
      </c>
    </row>
    <row r="111" spans="1:36" x14ac:dyDescent="0.2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147</v>
      </c>
      <c r="Y111" s="16">
        <v>214001011</v>
      </c>
      <c r="Z111" s="16">
        <v>0</v>
      </c>
      <c r="AA111" s="3">
        <v>1</v>
      </c>
      <c r="AB111" s="9" t="s">
        <v>122</v>
      </c>
      <c r="AC111" s="3">
        <v>15000</v>
      </c>
      <c r="AD111" s="3">
        <v>10000</v>
      </c>
      <c r="AE111" s="3">
        <v>0</v>
      </c>
      <c r="AF111" s="9">
        <v>40</v>
      </c>
      <c r="AG111" s="9">
        <v>10000</v>
      </c>
      <c r="AH111" s="9">
        <v>10000</v>
      </c>
      <c r="AI111" s="9">
        <v>0</v>
      </c>
      <c r="AJ111" s="9">
        <v>0</v>
      </c>
    </row>
    <row r="112" spans="1:36" x14ac:dyDescent="0.2">
      <c r="A112" s="3">
        <v>51106</v>
      </c>
      <c r="B112" s="3">
        <v>5</v>
      </c>
      <c r="C112" s="3" t="s">
        <v>123</v>
      </c>
      <c r="D112" s="3"/>
      <c r="F112" s="3"/>
      <c r="G112" s="3">
        <v>12</v>
      </c>
      <c r="H112" s="3">
        <v>1</v>
      </c>
      <c r="I112" s="3" t="s">
        <v>81</v>
      </c>
      <c r="J112" s="3">
        <v>0</v>
      </c>
      <c r="K112" s="3"/>
      <c r="L112" s="3">
        <v>800001011</v>
      </c>
      <c r="M112" s="3">
        <v>1</v>
      </c>
      <c r="N112" s="3">
        <v>100</v>
      </c>
      <c r="O112" s="3">
        <v>0</v>
      </c>
      <c r="P112" s="3">
        <v>15</v>
      </c>
      <c r="Q112" s="3">
        <v>0</v>
      </c>
      <c r="R112" s="3">
        <v>36</v>
      </c>
      <c r="S112" s="3">
        <v>-5500</v>
      </c>
      <c r="T112" s="3">
        <v>1</v>
      </c>
      <c r="U112" s="3">
        <v>0</v>
      </c>
      <c r="V112" s="3" t="s">
        <v>110</v>
      </c>
      <c r="W112" s="3" t="s">
        <v>111</v>
      </c>
      <c r="X112" s="3" t="s">
        <v>125</v>
      </c>
      <c r="Y112" s="16">
        <v>201002011</v>
      </c>
      <c r="Z112" s="16">
        <v>0</v>
      </c>
      <c r="AA112" s="3">
        <v>1</v>
      </c>
      <c r="AB112" s="9" t="s">
        <v>83</v>
      </c>
      <c r="AC112" s="3">
        <v>15000</v>
      </c>
      <c r="AD112" s="3">
        <v>10000</v>
      </c>
      <c r="AE112" s="3">
        <v>0</v>
      </c>
      <c r="AF112" s="9">
        <v>40</v>
      </c>
      <c r="AG112" s="9">
        <v>10000</v>
      </c>
      <c r="AH112" s="9">
        <v>10000</v>
      </c>
      <c r="AI112" s="9">
        <v>0</v>
      </c>
      <c r="AJ112" s="9">
        <v>0</v>
      </c>
    </row>
    <row r="113" spans="1:36" x14ac:dyDescent="0.2">
      <c r="A113" s="3">
        <v>51107</v>
      </c>
      <c r="B113" s="3">
        <v>5</v>
      </c>
      <c r="C113" s="3" t="s">
        <v>126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121</v>
      </c>
      <c r="L113" s="3">
        <v>800014011</v>
      </c>
      <c r="M113" s="3">
        <v>1</v>
      </c>
      <c r="N113" s="3">
        <v>100</v>
      </c>
      <c r="O113" s="3">
        <v>0</v>
      </c>
      <c r="P113" s="3">
        <v>15</v>
      </c>
      <c r="Q113" s="3">
        <v>0</v>
      </c>
      <c r="R113" s="3">
        <v>36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125</v>
      </c>
      <c r="Y113" s="16">
        <v>214001011</v>
      </c>
      <c r="Z113" s="16">
        <v>0</v>
      </c>
      <c r="AA113" s="3">
        <v>1</v>
      </c>
      <c r="AB113" s="9" t="s">
        <v>83</v>
      </c>
      <c r="AC113" s="3">
        <v>15000</v>
      </c>
      <c r="AD113" s="3">
        <v>10000</v>
      </c>
      <c r="AE113" s="3">
        <v>0</v>
      </c>
      <c r="AF113" s="9">
        <v>40</v>
      </c>
      <c r="AG113" s="9">
        <v>10000</v>
      </c>
      <c r="AH113" s="9">
        <v>10000</v>
      </c>
      <c r="AI113" s="9">
        <v>0</v>
      </c>
      <c r="AJ113" s="9">
        <v>0</v>
      </c>
    </row>
    <row r="114" spans="1:36" x14ac:dyDescent="0.2">
      <c r="A114" s="3">
        <v>51108</v>
      </c>
      <c r="B114" s="3">
        <v>5</v>
      </c>
      <c r="C114" s="3" t="s">
        <v>127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128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3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125</v>
      </c>
      <c r="Y114" s="16">
        <v>204001001</v>
      </c>
      <c r="Z114" s="16">
        <v>0</v>
      </c>
      <c r="AA114" s="3">
        <v>1</v>
      </c>
      <c r="AB114" s="9" t="s">
        <v>83</v>
      </c>
      <c r="AC114" s="3">
        <v>15000</v>
      </c>
      <c r="AD114" s="3">
        <v>10000</v>
      </c>
      <c r="AE114" s="3">
        <v>0</v>
      </c>
      <c r="AF114" s="9">
        <v>40</v>
      </c>
      <c r="AG114" s="9">
        <v>10000</v>
      </c>
      <c r="AH114" s="9">
        <v>10000</v>
      </c>
      <c r="AI114" s="9">
        <v>0</v>
      </c>
      <c r="AJ114" s="9">
        <v>0</v>
      </c>
    </row>
    <row r="115" spans="1:36" x14ac:dyDescent="0.2">
      <c r="A115" s="3">
        <v>51109</v>
      </c>
      <c r="B115" s="3">
        <v>5</v>
      </c>
      <c r="C115" s="3" t="s">
        <v>129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130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3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125</v>
      </c>
      <c r="Y115" s="16">
        <v>204002001</v>
      </c>
      <c r="Z115" s="16">
        <v>0</v>
      </c>
      <c r="AA115" s="3">
        <v>1</v>
      </c>
      <c r="AB115" s="9" t="s">
        <v>83</v>
      </c>
      <c r="AC115" s="3">
        <v>15000</v>
      </c>
      <c r="AD115" s="3">
        <v>10000</v>
      </c>
      <c r="AE115" s="3">
        <v>0</v>
      </c>
      <c r="AF115" s="9">
        <v>40</v>
      </c>
      <c r="AG115" s="9">
        <v>10000</v>
      </c>
      <c r="AH115" s="9">
        <v>10000</v>
      </c>
      <c r="AI115" s="9">
        <v>0</v>
      </c>
      <c r="AJ115" s="9">
        <v>0</v>
      </c>
    </row>
    <row r="116" spans="1:36" x14ac:dyDescent="0.2">
      <c r="A116" s="3">
        <v>51110</v>
      </c>
      <c r="B116" s="3">
        <v>5</v>
      </c>
      <c r="C116" s="3" t="s">
        <v>131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132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3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125</v>
      </c>
      <c r="Y116" s="16">
        <v>211001001</v>
      </c>
      <c r="Z116" s="16">
        <v>0</v>
      </c>
      <c r="AA116" s="3">
        <v>1</v>
      </c>
      <c r="AB116" s="9" t="s">
        <v>83</v>
      </c>
      <c r="AC116" s="3">
        <v>15000</v>
      </c>
      <c r="AD116" s="3">
        <v>10000</v>
      </c>
      <c r="AE116" s="3">
        <v>0</v>
      </c>
      <c r="AF116" s="9">
        <v>40</v>
      </c>
      <c r="AG116" s="9">
        <v>10000</v>
      </c>
      <c r="AH116" s="9">
        <v>10000</v>
      </c>
      <c r="AI116" s="9">
        <v>0</v>
      </c>
      <c r="AJ116" s="9">
        <v>0</v>
      </c>
    </row>
    <row r="117" spans="1:36" x14ac:dyDescent="0.2">
      <c r="A117" s="3">
        <v>51111</v>
      </c>
      <c r="B117" s="3">
        <v>5</v>
      </c>
      <c r="C117" s="3" t="s">
        <v>133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134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3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125</v>
      </c>
      <c r="Y117" s="16">
        <v>211002001</v>
      </c>
      <c r="Z117" s="16">
        <v>0</v>
      </c>
      <c r="AA117" s="3">
        <v>1</v>
      </c>
      <c r="AB117" s="9" t="s">
        <v>83</v>
      </c>
      <c r="AC117" s="3">
        <v>15000</v>
      </c>
      <c r="AD117" s="3">
        <v>10000</v>
      </c>
      <c r="AE117" s="3">
        <v>0</v>
      </c>
      <c r="AF117" s="9">
        <v>40</v>
      </c>
      <c r="AG117" s="9">
        <v>10000</v>
      </c>
      <c r="AH117" s="9">
        <v>10000</v>
      </c>
      <c r="AI117" s="9">
        <v>0</v>
      </c>
      <c r="AJ117" s="9">
        <v>0</v>
      </c>
    </row>
    <row r="118" spans="1:36" x14ac:dyDescent="0.2">
      <c r="A118" s="3">
        <v>51112</v>
      </c>
      <c r="B118" s="3">
        <v>5</v>
      </c>
      <c r="C118" s="3" t="s">
        <v>135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145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3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125</v>
      </c>
      <c r="Y118" s="16">
        <v>203001001</v>
      </c>
      <c r="Z118" s="16">
        <v>0</v>
      </c>
      <c r="AA118" s="3">
        <v>1</v>
      </c>
      <c r="AB118" s="9" t="s">
        <v>83</v>
      </c>
      <c r="AC118" s="3">
        <v>15000</v>
      </c>
      <c r="AD118" s="3">
        <v>10000</v>
      </c>
      <c r="AE118" s="3">
        <v>0</v>
      </c>
      <c r="AF118" s="9">
        <v>40</v>
      </c>
      <c r="AG118" s="9">
        <v>10000</v>
      </c>
      <c r="AH118" s="9">
        <v>10000</v>
      </c>
      <c r="AI118" s="9">
        <v>0</v>
      </c>
      <c r="AJ118" s="9">
        <v>0</v>
      </c>
    </row>
    <row r="119" spans="1:36" x14ac:dyDescent="0.2">
      <c r="A119" s="3">
        <v>51113</v>
      </c>
      <c r="B119" s="3">
        <v>5</v>
      </c>
      <c r="C119" s="3" t="s">
        <v>137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138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3">
        <v>1496</v>
      </c>
      <c r="S119" s="3">
        <v>-5500</v>
      </c>
      <c r="T119" s="3">
        <v>1</v>
      </c>
      <c r="U119" s="3">
        <v>0</v>
      </c>
      <c r="V119" s="3" t="s">
        <v>110</v>
      </c>
      <c r="W119" s="3" t="s">
        <v>111</v>
      </c>
      <c r="X119" s="3" t="s">
        <v>139</v>
      </c>
      <c r="Y119" s="16">
        <v>203002011</v>
      </c>
      <c r="Z119" s="16">
        <v>0</v>
      </c>
      <c r="AA119" s="3">
        <v>1</v>
      </c>
      <c r="AB119" s="9" t="s">
        <v>140</v>
      </c>
      <c r="AC119" s="3">
        <v>15000</v>
      </c>
      <c r="AD119" s="3">
        <v>10000</v>
      </c>
      <c r="AE119" s="3">
        <v>0</v>
      </c>
      <c r="AF119" s="9">
        <v>40</v>
      </c>
      <c r="AG119" s="9">
        <v>10000</v>
      </c>
      <c r="AH119" s="9">
        <v>10000</v>
      </c>
      <c r="AI119" s="9">
        <v>0</v>
      </c>
      <c r="AJ119" s="9">
        <v>0</v>
      </c>
    </row>
    <row r="120" spans="1:36" x14ac:dyDescent="0.2">
      <c r="A120" s="3">
        <v>51114</v>
      </c>
      <c r="B120" s="3">
        <v>5</v>
      </c>
      <c r="C120" s="3" t="s">
        <v>141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142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3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125</v>
      </c>
      <c r="Y120" s="16">
        <v>203003001</v>
      </c>
      <c r="Z120" s="16">
        <v>0</v>
      </c>
      <c r="AA120" s="3">
        <v>1</v>
      </c>
      <c r="AB120" s="9" t="s">
        <v>83</v>
      </c>
      <c r="AC120" s="3">
        <v>15000</v>
      </c>
      <c r="AD120" s="3">
        <v>10000</v>
      </c>
      <c r="AE120" s="3">
        <v>0</v>
      </c>
      <c r="AF120" s="9">
        <v>40</v>
      </c>
      <c r="AG120" s="9">
        <v>10000</v>
      </c>
      <c r="AH120" s="9">
        <v>10000</v>
      </c>
      <c r="AI120" s="9">
        <v>0</v>
      </c>
      <c r="AJ120" s="9">
        <v>0</v>
      </c>
    </row>
    <row r="121" spans="1:36" x14ac:dyDescent="0.2">
      <c r="A121" s="3">
        <v>51115</v>
      </c>
      <c r="B121" s="3">
        <v>5</v>
      </c>
      <c r="C121" s="3" t="s">
        <v>143</v>
      </c>
      <c r="D121" s="3"/>
      <c r="F121" s="3"/>
      <c r="G121" s="3">
        <v>12</v>
      </c>
      <c r="H121" s="3">
        <v>1</v>
      </c>
      <c r="I121" s="3" t="s">
        <v>81</v>
      </c>
      <c r="J121" s="3">
        <v>0</v>
      </c>
      <c r="K121" s="3"/>
      <c r="L121" s="3">
        <v>800001011</v>
      </c>
      <c r="M121" s="3">
        <v>1</v>
      </c>
      <c r="N121" s="3">
        <v>100</v>
      </c>
      <c r="O121" s="3">
        <v>0</v>
      </c>
      <c r="P121" s="3">
        <v>15</v>
      </c>
      <c r="Q121" s="3">
        <v>0</v>
      </c>
      <c r="R121" s="3">
        <v>36</v>
      </c>
      <c r="S121" s="3">
        <v>-5500</v>
      </c>
      <c r="T121" s="3">
        <v>1</v>
      </c>
      <c r="U121" s="3">
        <v>0</v>
      </c>
      <c r="V121" s="3" t="s">
        <v>110</v>
      </c>
      <c r="W121" s="3" t="s">
        <v>111</v>
      </c>
      <c r="X121" s="3" t="s">
        <v>125</v>
      </c>
      <c r="Y121" s="16">
        <v>201002011</v>
      </c>
      <c r="Z121" s="16">
        <v>0</v>
      </c>
      <c r="AA121" s="3">
        <v>1</v>
      </c>
      <c r="AB121" s="9" t="s">
        <v>83</v>
      </c>
      <c r="AC121" s="3">
        <v>15000</v>
      </c>
      <c r="AD121" s="3">
        <v>10000</v>
      </c>
      <c r="AE121" s="3">
        <v>0</v>
      </c>
      <c r="AF121" s="9">
        <v>40</v>
      </c>
      <c r="AG121" s="9">
        <v>10000</v>
      </c>
      <c r="AH121" s="9">
        <v>10000</v>
      </c>
      <c r="AI121" s="9">
        <v>0</v>
      </c>
      <c r="AJ121" s="9">
        <v>0</v>
      </c>
    </row>
    <row r="122" spans="1:36" x14ac:dyDescent="0.2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146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147</v>
      </c>
      <c r="Y122" s="16">
        <v>201001011</v>
      </c>
      <c r="Z122" s="16">
        <v>0</v>
      </c>
      <c r="AA122" s="3">
        <v>1</v>
      </c>
      <c r="AB122" s="9" t="s">
        <v>113</v>
      </c>
      <c r="AC122" s="3">
        <v>15000</v>
      </c>
      <c r="AD122" s="3">
        <v>10000</v>
      </c>
      <c r="AE122" s="3">
        <v>0</v>
      </c>
      <c r="AF122" s="9">
        <v>40</v>
      </c>
      <c r="AG122" s="9">
        <v>10000</v>
      </c>
      <c r="AH122" s="9">
        <v>10000</v>
      </c>
      <c r="AI122" s="9">
        <v>0</v>
      </c>
      <c r="AJ122" s="9">
        <v>0</v>
      </c>
    </row>
    <row r="123" spans="1:36" x14ac:dyDescent="0.2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147</v>
      </c>
      <c r="Y123" s="16">
        <v>201002011</v>
      </c>
      <c r="Z123" s="16">
        <v>0</v>
      </c>
      <c r="AA123" s="3">
        <v>1</v>
      </c>
      <c r="AB123" s="9" t="s">
        <v>116</v>
      </c>
      <c r="AC123" s="3">
        <v>15000</v>
      </c>
      <c r="AD123" s="3">
        <v>10000</v>
      </c>
      <c r="AE123" s="3">
        <v>0</v>
      </c>
      <c r="AF123" s="9">
        <v>40</v>
      </c>
      <c r="AG123" s="9">
        <v>10000</v>
      </c>
      <c r="AH123" s="9">
        <v>10000</v>
      </c>
      <c r="AI123" s="9">
        <v>0</v>
      </c>
      <c r="AJ123" s="9">
        <v>0</v>
      </c>
    </row>
    <row r="124" spans="1:36" x14ac:dyDescent="0.2">
      <c r="A124" s="3">
        <v>52103</v>
      </c>
      <c r="B124" s="3">
        <v>5</v>
      </c>
      <c r="C124" s="3" t="s">
        <v>117</v>
      </c>
      <c r="D124" s="3"/>
      <c r="F124" s="3"/>
      <c r="G124" s="3">
        <v>12</v>
      </c>
      <c r="H124" s="3">
        <v>1</v>
      </c>
      <c r="I124" s="3" t="s">
        <v>81</v>
      </c>
      <c r="J124" s="3">
        <v>0</v>
      </c>
      <c r="K124" s="3"/>
      <c r="L124" s="3">
        <v>800001021</v>
      </c>
      <c r="M124" s="3">
        <v>1</v>
      </c>
      <c r="N124" s="3">
        <v>70</v>
      </c>
      <c r="O124" s="3">
        <v>0</v>
      </c>
      <c r="P124" s="3">
        <v>15</v>
      </c>
      <c r="Q124" s="3">
        <v>1</v>
      </c>
      <c r="R124" s="3">
        <v>300</v>
      </c>
      <c r="S124" s="3">
        <v>-5500</v>
      </c>
      <c r="T124" s="3">
        <v>1</v>
      </c>
      <c r="U124" s="3">
        <v>0</v>
      </c>
      <c r="V124" s="3" t="s">
        <v>110</v>
      </c>
      <c r="W124" s="3" t="s">
        <v>111</v>
      </c>
      <c r="X124" s="3" t="s">
        <v>147</v>
      </c>
      <c r="Y124" s="16">
        <v>201001011</v>
      </c>
      <c r="Z124" s="16">
        <v>0</v>
      </c>
      <c r="AA124" s="3">
        <v>1</v>
      </c>
      <c r="AB124" s="9" t="s">
        <v>113</v>
      </c>
      <c r="AC124" s="3">
        <v>15000</v>
      </c>
      <c r="AD124" s="3">
        <v>10000</v>
      </c>
      <c r="AE124" s="3">
        <v>0</v>
      </c>
      <c r="AF124" s="9">
        <v>40</v>
      </c>
      <c r="AG124" s="9">
        <v>10000</v>
      </c>
      <c r="AH124" s="9">
        <v>10000</v>
      </c>
      <c r="AI124" s="9">
        <v>0</v>
      </c>
      <c r="AJ124" s="9">
        <v>0</v>
      </c>
    </row>
    <row r="125" spans="1:36" x14ac:dyDescent="0.2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147</v>
      </c>
      <c r="Y125" s="16">
        <v>201004011</v>
      </c>
      <c r="Z125" s="16">
        <v>0</v>
      </c>
      <c r="AA125" s="3">
        <v>1</v>
      </c>
      <c r="AB125" s="9" t="s">
        <v>113</v>
      </c>
      <c r="AC125" s="3">
        <v>15000</v>
      </c>
      <c r="AD125" s="3">
        <v>10000</v>
      </c>
      <c r="AE125" s="3">
        <v>0</v>
      </c>
      <c r="AF125" s="9">
        <v>40</v>
      </c>
      <c r="AG125" s="9">
        <v>10000</v>
      </c>
      <c r="AH125" s="9">
        <v>10000</v>
      </c>
      <c r="AI125" s="9">
        <v>0</v>
      </c>
      <c r="AJ125" s="9">
        <v>0</v>
      </c>
    </row>
    <row r="126" spans="1:36" x14ac:dyDescent="0.2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147</v>
      </c>
      <c r="Y126" s="16">
        <v>214001011</v>
      </c>
      <c r="Z126" s="16">
        <v>0</v>
      </c>
      <c r="AA126" s="3">
        <v>1</v>
      </c>
      <c r="AB126" s="9" t="s">
        <v>122</v>
      </c>
      <c r="AC126" s="3">
        <v>15000</v>
      </c>
      <c r="AD126" s="3">
        <v>10000</v>
      </c>
      <c r="AE126" s="3">
        <v>0</v>
      </c>
      <c r="AF126" s="9">
        <v>40</v>
      </c>
      <c r="AG126" s="9">
        <v>10000</v>
      </c>
      <c r="AH126" s="9">
        <v>10000</v>
      </c>
      <c r="AI126" s="9">
        <v>0</v>
      </c>
      <c r="AJ126" s="9">
        <v>0</v>
      </c>
    </row>
    <row r="127" spans="1:36" x14ac:dyDescent="0.2">
      <c r="A127" s="3">
        <v>52106</v>
      </c>
      <c r="B127" s="3">
        <v>5</v>
      </c>
      <c r="C127" s="3" t="s">
        <v>123</v>
      </c>
      <c r="D127" s="3"/>
      <c r="F127" s="3"/>
      <c r="G127" s="3">
        <v>12</v>
      </c>
      <c r="H127" s="3">
        <v>1</v>
      </c>
      <c r="I127" s="3" t="s">
        <v>81</v>
      </c>
      <c r="J127" s="3">
        <v>0</v>
      </c>
      <c r="K127" s="3"/>
      <c r="L127" s="3">
        <v>800001011</v>
      </c>
      <c r="M127" s="3">
        <v>1</v>
      </c>
      <c r="N127" s="3">
        <v>100</v>
      </c>
      <c r="O127" s="3">
        <v>0</v>
      </c>
      <c r="P127" s="3">
        <v>15</v>
      </c>
      <c r="Q127" s="3">
        <v>0</v>
      </c>
      <c r="R127" s="3">
        <v>36</v>
      </c>
      <c r="S127" s="3">
        <v>-5500</v>
      </c>
      <c r="T127" s="3">
        <v>1</v>
      </c>
      <c r="U127" s="3">
        <v>0</v>
      </c>
      <c r="V127" s="3" t="s">
        <v>110</v>
      </c>
      <c r="W127" s="3" t="s">
        <v>111</v>
      </c>
      <c r="X127" s="3" t="s">
        <v>125</v>
      </c>
      <c r="Y127" s="16">
        <v>201002011</v>
      </c>
      <c r="Z127" s="16">
        <v>0</v>
      </c>
      <c r="AA127" s="3">
        <v>1</v>
      </c>
      <c r="AB127" s="9" t="s">
        <v>83</v>
      </c>
      <c r="AC127" s="3">
        <v>15000</v>
      </c>
      <c r="AD127" s="3">
        <v>10000</v>
      </c>
      <c r="AE127" s="3">
        <v>0</v>
      </c>
      <c r="AF127" s="9">
        <v>40</v>
      </c>
      <c r="AG127" s="9">
        <v>10000</v>
      </c>
      <c r="AH127" s="9">
        <v>10000</v>
      </c>
      <c r="AI127" s="9">
        <v>0</v>
      </c>
      <c r="AJ127" s="9">
        <v>0</v>
      </c>
    </row>
    <row r="128" spans="1:36" x14ac:dyDescent="0.2">
      <c r="A128" s="3">
        <v>52107</v>
      </c>
      <c r="B128" s="3">
        <v>5</v>
      </c>
      <c r="C128" s="3" t="s">
        <v>126</v>
      </c>
      <c r="D128" s="3"/>
      <c r="F128" s="3"/>
      <c r="G128" s="3">
        <v>12</v>
      </c>
      <c r="H128" s="3">
        <v>1</v>
      </c>
      <c r="I128" s="3" t="s">
        <v>81</v>
      </c>
      <c r="J128" s="3">
        <v>0</v>
      </c>
      <c r="K128" s="3" t="s">
        <v>121</v>
      </c>
      <c r="L128" s="3">
        <v>800014011</v>
      </c>
      <c r="M128" s="3">
        <v>1</v>
      </c>
      <c r="N128" s="3">
        <v>100</v>
      </c>
      <c r="O128" s="3">
        <v>0</v>
      </c>
      <c r="P128" s="3">
        <v>15</v>
      </c>
      <c r="Q128" s="3">
        <v>0</v>
      </c>
      <c r="R128" s="3">
        <v>36</v>
      </c>
      <c r="S128" s="3">
        <v>-5500</v>
      </c>
      <c r="T128" s="3">
        <v>1</v>
      </c>
      <c r="U128" s="3">
        <v>0</v>
      </c>
      <c r="V128" s="3" t="s">
        <v>110</v>
      </c>
      <c r="W128" s="3" t="s">
        <v>111</v>
      </c>
      <c r="X128" s="3" t="s">
        <v>125</v>
      </c>
      <c r="Y128" s="16">
        <v>214001011</v>
      </c>
      <c r="Z128" s="16">
        <v>0</v>
      </c>
      <c r="AA128" s="3">
        <v>1</v>
      </c>
      <c r="AB128" s="9" t="s">
        <v>83</v>
      </c>
      <c r="AC128" s="3">
        <v>15000</v>
      </c>
      <c r="AD128" s="3">
        <v>10000</v>
      </c>
      <c r="AE128" s="3">
        <v>0</v>
      </c>
      <c r="AF128" s="9">
        <v>40</v>
      </c>
      <c r="AG128" s="9">
        <v>10000</v>
      </c>
      <c r="AH128" s="9">
        <v>10000</v>
      </c>
      <c r="AI128" s="9">
        <v>0</v>
      </c>
      <c r="AJ128" s="9">
        <v>0</v>
      </c>
    </row>
    <row r="129" spans="1:36" x14ac:dyDescent="0.2">
      <c r="A129" s="3">
        <v>52108</v>
      </c>
      <c r="B129" s="3">
        <v>5</v>
      </c>
      <c r="C129" s="3" t="s">
        <v>127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128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3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125</v>
      </c>
      <c r="Y129" s="16">
        <v>204001001</v>
      </c>
      <c r="Z129" s="16">
        <v>0</v>
      </c>
      <c r="AA129" s="3">
        <v>1</v>
      </c>
      <c r="AB129" s="9" t="s">
        <v>83</v>
      </c>
      <c r="AC129" s="3">
        <v>15000</v>
      </c>
      <c r="AD129" s="3">
        <v>10000</v>
      </c>
      <c r="AE129" s="3">
        <v>0</v>
      </c>
      <c r="AF129" s="9">
        <v>40</v>
      </c>
      <c r="AG129" s="9">
        <v>10000</v>
      </c>
      <c r="AH129" s="9">
        <v>10000</v>
      </c>
      <c r="AI129" s="9">
        <v>0</v>
      </c>
      <c r="AJ129" s="9">
        <v>0</v>
      </c>
    </row>
    <row r="130" spans="1:36" x14ac:dyDescent="0.2">
      <c r="A130" s="3">
        <v>52109</v>
      </c>
      <c r="B130" s="3">
        <v>5</v>
      </c>
      <c r="C130" s="3" t="s">
        <v>129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130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3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125</v>
      </c>
      <c r="Y130" s="16">
        <v>204002001</v>
      </c>
      <c r="Z130" s="16">
        <v>0</v>
      </c>
      <c r="AA130" s="3">
        <v>1</v>
      </c>
      <c r="AB130" s="9" t="s">
        <v>83</v>
      </c>
      <c r="AC130" s="3">
        <v>15000</v>
      </c>
      <c r="AD130" s="3">
        <v>10000</v>
      </c>
      <c r="AE130" s="3">
        <v>0</v>
      </c>
      <c r="AF130" s="9">
        <v>40</v>
      </c>
      <c r="AG130" s="9">
        <v>10000</v>
      </c>
      <c r="AH130" s="9">
        <v>10000</v>
      </c>
      <c r="AI130" s="9">
        <v>0</v>
      </c>
      <c r="AJ130" s="9">
        <v>0</v>
      </c>
    </row>
    <row r="131" spans="1:36" x14ac:dyDescent="0.2">
      <c r="A131" s="3">
        <v>52110</v>
      </c>
      <c r="B131" s="3">
        <v>5</v>
      </c>
      <c r="C131" s="3" t="s">
        <v>131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132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3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125</v>
      </c>
      <c r="Y131" s="16">
        <v>211001001</v>
      </c>
      <c r="Z131" s="16">
        <v>0</v>
      </c>
      <c r="AA131" s="3">
        <v>1</v>
      </c>
      <c r="AB131" s="9" t="s">
        <v>83</v>
      </c>
      <c r="AC131" s="3">
        <v>15000</v>
      </c>
      <c r="AD131" s="3">
        <v>10000</v>
      </c>
      <c r="AE131" s="3">
        <v>0</v>
      </c>
      <c r="AF131" s="9">
        <v>40</v>
      </c>
      <c r="AG131" s="9">
        <v>10000</v>
      </c>
      <c r="AH131" s="9">
        <v>10000</v>
      </c>
      <c r="AI131" s="9">
        <v>0</v>
      </c>
      <c r="AJ131" s="9">
        <v>0</v>
      </c>
    </row>
    <row r="132" spans="1:36" x14ac:dyDescent="0.2">
      <c r="A132" s="3">
        <v>52111</v>
      </c>
      <c r="B132" s="3">
        <v>5</v>
      </c>
      <c r="C132" s="3" t="s">
        <v>133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134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3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125</v>
      </c>
      <c r="Y132" s="16">
        <v>211002001</v>
      </c>
      <c r="Z132" s="16">
        <v>0</v>
      </c>
      <c r="AA132" s="3">
        <v>1</v>
      </c>
      <c r="AB132" s="9" t="s">
        <v>83</v>
      </c>
      <c r="AC132" s="3">
        <v>15000</v>
      </c>
      <c r="AD132" s="3">
        <v>10000</v>
      </c>
      <c r="AE132" s="3">
        <v>0</v>
      </c>
      <c r="AF132" s="9">
        <v>40</v>
      </c>
      <c r="AG132" s="9">
        <v>10000</v>
      </c>
      <c r="AH132" s="9">
        <v>10000</v>
      </c>
      <c r="AI132" s="9">
        <v>0</v>
      </c>
      <c r="AJ132" s="9">
        <v>0</v>
      </c>
    </row>
    <row r="133" spans="1:36" x14ac:dyDescent="0.2">
      <c r="A133" s="3">
        <v>52112</v>
      </c>
      <c r="B133" s="3">
        <v>5</v>
      </c>
      <c r="C133" s="3" t="s">
        <v>135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145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3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125</v>
      </c>
      <c r="Y133" s="16">
        <v>203001001</v>
      </c>
      <c r="Z133" s="16">
        <v>0</v>
      </c>
      <c r="AA133" s="3">
        <v>1</v>
      </c>
      <c r="AB133" s="9" t="s">
        <v>83</v>
      </c>
      <c r="AC133" s="3">
        <v>15000</v>
      </c>
      <c r="AD133" s="3">
        <v>10000</v>
      </c>
      <c r="AE133" s="3">
        <v>0</v>
      </c>
      <c r="AF133" s="9">
        <v>40</v>
      </c>
      <c r="AG133" s="9">
        <v>10000</v>
      </c>
      <c r="AH133" s="9">
        <v>10000</v>
      </c>
      <c r="AI133" s="9">
        <v>0</v>
      </c>
      <c r="AJ133" s="9">
        <v>0</v>
      </c>
    </row>
    <row r="134" spans="1:36" x14ac:dyDescent="0.2">
      <c r="A134" s="3">
        <v>52113</v>
      </c>
      <c r="B134" s="3">
        <v>5</v>
      </c>
      <c r="C134" s="3" t="s">
        <v>137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138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3">
        <v>1496</v>
      </c>
      <c r="S134" s="3">
        <v>-5500</v>
      </c>
      <c r="T134" s="3">
        <v>1</v>
      </c>
      <c r="U134" s="3">
        <v>0</v>
      </c>
      <c r="V134" s="3" t="s">
        <v>110</v>
      </c>
      <c r="W134" s="3" t="s">
        <v>111</v>
      </c>
      <c r="X134" s="3" t="s">
        <v>139</v>
      </c>
      <c r="Y134" s="16">
        <v>203002011</v>
      </c>
      <c r="Z134" s="16">
        <v>0</v>
      </c>
      <c r="AA134" s="3">
        <v>1</v>
      </c>
      <c r="AB134" s="9" t="s">
        <v>140</v>
      </c>
      <c r="AC134" s="3">
        <v>15000</v>
      </c>
      <c r="AD134" s="3">
        <v>10000</v>
      </c>
      <c r="AE134" s="3">
        <v>0</v>
      </c>
      <c r="AF134" s="9">
        <v>40</v>
      </c>
      <c r="AG134" s="9">
        <v>10000</v>
      </c>
      <c r="AH134" s="9">
        <v>10000</v>
      </c>
      <c r="AI134" s="9">
        <v>0</v>
      </c>
      <c r="AJ134" s="9">
        <v>0</v>
      </c>
    </row>
    <row r="135" spans="1:36" x14ac:dyDescent="0.2">
      <c r="A135" s="3">
        <v>52114</v>
      </c>
      <c r="B135" s="3">
        <v>5</v>
      </c>
      <c r="C135" s="3" t="s">
        <v>141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142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3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125</v>
      </c>
      <c r="Y135" s="16">
        <v>203003001</v>
      </c>
      <c r="Z135" s="16">
        <v>0</v>
      </c>
      <c r="AA135" s="3">
        <v>1</v>
      </c>
      <c r="AB135" s="9" t="s">
        <v>83</v>
      </c>
      <c r="AC135" s="3">
        <v>15000</v>
      </c>
      <c r="AD135" s="3">
        <v>10000</v>
      </c>
      <c r="AE135" s="3">
        <v>0</v>
      </c>
      <c r="AF135" s="9">
        <v>40</v>
      </c>
      <c r="AG135" s="9">
        <v>10000</v>
      </c>
      <c r="AH135" s="9">
        <v>10000</v>
      </c>
      <c r="AI135" s="9">
        <v>0</v>
      </c>
      <c r="AJ135" s="9">
        <v>0</v>
      </c>
    </row>
    <row r="136" spans="1:36" x14ac:dyDescent="0.2">
      <c r="A136" s="3">
        <v>52115</v>
      </c>
      <c r="B136" s="3">
        <v>5</v>
      </c>
      <c r="C136" s="3" t="s">
        <v>143</v>
      </c>
      <c r="D136" s="3"/>
      <c r="F136" s="3"/>
      <c r="G136" s="3">
        <v>12</v>
      </c>
      <c r="H136" s="3">
        <v>1</v>
      </c>
      <c r="I136" s="3" t="s">
        <v>81</v>
      </c>
      <c r="J136" s="3">
        <v>0</v>
      </c>
      <c r="K136" s="3"/>
      <c r="L136" s="3">
        <v>800001011</v>
      </c>
      <c r="M136" s="3">
        <v>1</v>
      </c>
      <c r="N136" s="3">
        <v>100</v>
      </c>
      <c r="O136" s="3">
        <v>0</v>
      </c>
      <c r="P136" s="3">
        <v>15</v>
      </c>
      <c r="Q136" s="3">
        <v>0</v>
      </c>
      <c r="R136" s="3">
        <v>36</v>
      </c>
      <c r="S136" s="3">
        <v>-5500</v>
      </c>
      <c r="T136" s="3">
        <v>1</v>
      </c>
      <c r="U136" s="3">
        <v>0</v>
      </c>
      <c r="V136" s="3" t="s">
        <v>110</v>
      </c>
      <c r="W136" s="3" t="s">
        <v>111</v>
      </c>
      <c r="X136" s="3" t="s">
        <v>125</v>
      </c>
      <c r="Y136" s="16">
        <v>201002011</v>
      </c>
      <c r="Z136" s="16">
        <v>0</v>
      </c>
      <c r="AA136" s="3">
        <v>1</v>
      </c>
      <c r="AB136" s="9" t="s">
        <v>83</v>
      </c>
      <c r="AC136" s="3">
        <v>15000</v>
      </c>
      <c r="AD136" s="3">
        <v>10000</v>
      </c>
      <c r="AE136" s="3">
        <v>0</v>
      </c>
      <c r="AF136" s="9">
        <v>40</v>
      </c>
      <c r="AG136" s="9">
        <v>10000</v>
      </c>
      <c r="AH136" s="9">
        <v>10000</v>
      </c>
      <c r="AI136" s="9">
        <v>0</v>
      </c>
      <c r="AJ136" s="9">
        <v>0</v>
      </c>
    </row>
    <row r="137" spans="1:36" x14ac:dyDescent="0.2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146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147</v>
      </c>
      <c r="Y137" s="16">
        <v>201001011</v>
      </c>
      <c r="Z137" s="16">
        <v>0</v>
      </c>
      <c r="AA137" s="3">
        <v>1</v>
      </c>
      <c r="AB137" s="9" t="s">
        <v>113</v>
      </c>
      <c r="AC137" s="3">
        <v>15000</v>
      </c>
      <c r="AD137" s="3">
        <v>10000</v>
      </c>
      <c r="AE137" s="3">
        <v>0</v>
      </c>
      <c r="AF137" s="9">
        <v>40</v>
      </c>
      <c r="AG137" s="9">
        <v>10000</v>
      </c>
      <c r="AH137" s="9">
        <v>10000</v>
      </c>
      <c r="AI137" s="9">
        <v>0</v>
      </c>
      <c r="AJ137" s="9">
        <v>0</v>
      </c>
    </row>
    <row r="138" spans="1:36" x14ac:dyDescent="0.2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147</v>
      </c>
      <c r="Y138" s="16">
        <v>201002011</v>
      </c>
      <c r="Z138" s="16">
        <v>0</v>
      </c>
      <c r="AA138" s="3">
        <v>1</v>
      </c>
      <c r="AB138" s="9" t="s">
        <v>116</v>
      </c>
      <c r="AC138" s="3">
        <v>15000</v>
      </c>
      <c r="AD138" s="3">
        <v>10000</v>
      </c>
      <c r="AE138" s="3">
        <v>0</v>
      </c>
      <c r="AF138" s="9">
        <v>40</v>
      </c>
      <c r="AG138" s="9">
        <v>10000</v>
      </c>
      <c r="AH138" s="9">
        <v>10000</v>
      </c>
      <c r="AI138" s="9">
        <v>0</v>
      </c>
      <c r="AJ138" s="9">
        <v>0</v>
      </c>
    </row>
    <row r="139" spans="1:36" x14ac:dyDescent="0.2">
      <c r="A139" s="3">
        <v>61103</v>
      </c>
      <c r="B139" s="3">
        <v>6</v>
      </c>
      <c r="C139" s="3" t="s">
        <v>117</v>
      </c>
      <c r="D139" s="3"/>
      <c r="F139" s="3"/>
      <c r="G139" s="3">
        <v>12</v>
      </c>
      <c r="H139" s="3">
        <v>1</v>
      </c>
      <c r="I139" s="3" t="s">
        <v>81</v>
      </c>
      <c r="J139" s="3">
        <v>0</v>
      </c>
      <c r="K139" s="3"/>
      <c r="L139" s="3">
        <v>800001021</v>
      </c>
      <c r="M139" s="3">
        <v>1</v>
      </c>
      <c r="N139" s="3">
        <v>70</v>
      </c>
      <c r="O139" s="3">
        <v>0</v>
      </c>
      <c r="P139" s="3">
        <v>15</v>
      </c>
      <c r="Q139" s="3">
        <v>1</v>
      </c>
      <c r="R139" s="3">
        <v>300</v>
      </c>
      <c r="S139" s="3">
        <v>-5500</v>
      </c>
      <c r="T139" s="3">
        <v>1</v>
      </c>
      <c r="U139" s="3">
        <v>0</v>
      </c>
      <c r="V139" s="3" t="s">
        <v>110</v>
      </c>
      <c r="W139" s="3" t="s">
        <v>111</v>
      </c>
      <c r="X139" s="3" t="s">
        <v>147</v>
      </c>
      <c r="Y139" s="16">
        <v>201001011</v>
      </c>
      <c r="Z139" s="16">
        <v>0</v>
      </c>
      <c r="AA139" s="3">
        <v>1</v>
      </c>
      <c r="AB139" s="9" t="s">
        <v>113</v>
      </c>
      <c r="AC139" s="3">
        <v>15000</v>
      </c>
      <c r="AD139" s="3">
        <v>10000</v>
      </c>
      <c r="AE139" s="3">
        <v>0</v>
      </c>
      <c r="AF139" s="9">
        <v>40</v>
      </c>
      <c r="AG139" s="9">
        <v>10000</v>
      </c>
      <c r="AH139" s="9">
        <v>10000</v>
      </c>
      <c r="AI139" s="9">
        <v>0</v>
      </c>
      <c r="AJ139" s="9">
        <v>0</v>
      </c>
    </row>
    <row r="140" spans="1:36" x14ac:dyDescent="0.2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147</v>
      </c>
      <c r="Y140" s="16">
        <v>201004011</v>
      </c>
      <c r="Z140" s="16">
        <v>0</v>
      </c>
      <c r="AA140" s="3">
        <v>1</v>
      </c>
      <c r="AB140" s="9" t="s">
        <v>113</v>
      </c>
      <c r="AC140" s="3">
        <v>15000</v>
      </c>
      <c r="AD140" s="3">
        <v>10000</v>
      </c>
      <c r="AE140" s="3">
        <v>0</v>
      </c>
      <c r="AF140" s="9">
        <v>40</v>
      </c>
      <c r="AG140" s="9">
        <v>10000</v>
      </c>
      <c r="AH140" s="9">
        <v>10000</v>
      </c>
      <c r="AI140" s="9">
        <v>0</v>
      </c>
      <c r="AJ140" s="9">
        <v>0</v>
      </c>
    </row>
    <row r="141" spans="1:36" x14ac:dyDescent="0.2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147</v>
      </c>
      <c r="Y141" s="16">
        <v>214001011</v>
      </c>
      <c r="Z141" s="16">
        <v>0</v>
      </c>
      <c r="AA141" s="3">
        <v>1</v>
      </c>
      <c r="AB141" s="9" t="s">
        <v>122</v>
      </c>
      <c r="AC141" s="3">
        <v>15000</v>
      </c>
      <c r="AD141" s="3">
        <v>10000</v>
      </c>
      <c r="AE141" s="3">
        <v>0</v>
      </c>
      <c r="AF141" s="9">
        <v>40</v>
      </c>
      <c r="AG141" s="9">
        <v>10000</v>
      </c>
      <c r="AH141" s="9">
        <v>10000</v>
      </c>
      <c r="AI141" s="9">
        <v>0</v>
      </c>
      <c r="AJ141" s="9">
        <v>0</v>
      </c>
    </row>
    <row r="142" spans="1:36" x14ac:dyDescent="0.2">
      <c r="A142" s="3">
        <v>61106</v>
      </c>
      <c r="B142" s="3">
        <v>6</v>
      </c>
      <c r="C142" s="3" t="s">
        <v>123</v>
      </c>
      <c r="D142" s="3"/>
      <c r="F142" s="3"/>
      <c r="G142" s="3">
        <v>12</v>
      </c>
      <c r="H142" s="3">
        <v>1</v>
      </c>
      <c r="I142" s="3" t="s">
        <v>81</v>
      </c>
      <c r="J142" s="3">
        <v>0</v>
      </c>
      <c r="K142" s="3"/>
      <c r="L142" s="3">
        <v>800001011</v>
      </c>
      <c r="M142" s="3">
        <v>1</v>
      </c>
      <c r="N142" s="3">
        <v>100</v>
      </c>
      <c r="O142" s="3">
        <v>0</v>
      </c>
      <c r="P142" s="3">
        <v>15</v>
      </c>
      <c r="Q142" s="3">
        <v>0</v>
      </c>
      <c r="R142" s="3">
        <v>36</v>
      </c>
      <c r="S142" s="3">
        <v>-5500</v>
      </c>
      <c r="T142" s="3">
        <v>1</v>
      </c>
      <c r="U142" s="3">
        <v>0</v>
      </c>
      <c r="V142" s="3" t="s">
        <v>110</v>
      </c>
      <c r="W142" s="3" t="s">
        <v>111</v>
      </c>
      <c r="X142" s="3" t="s">
        <v>125</v>
      </c>
      <c r="Y142" s="16">
        <v>201002011</v>
      </c>
      <c r="Z142" s="16">
        <v>0</v>
      </c>
      <c r="AA142" s="3">
        <v>1</v>
      </c>
      <c r="AB142" s="9" t="s">
        <v>83</v>
      </c>
      <c r="AC142" s="3">
        <v>15000</v>
      </c>
      <c r="AD142" s="3">
        <v>10000</v>
      </c>
      <c r="AE142" s="3">
        <v>0</v>
      </c>
      <c r="AF142" s="9">
        <v>40</v>
      </c>
      <c r="AG142" s="9">
        <v>10000</v>
      </c>
      <c r="AH142" s="9">
        <v>10000</v>
      </c>
      <c r="AI142" s="9">
        <v>0</v>
      </c>
      <c r="AJ142" s="9">
        <v>0</v>
      </c>
    </row>
    <row r="143" spans="1:36" x14ac:dyDescent="0.2">
      <c r="A143" s="3">
        <v>61107</v>
      </c>
      <c r="B143" s="3">
        <v>6</v>
      </c>
      <c r="C143" s="3" t="s">
        <v>126</v>
      </c>
      <c r="D143" s="3"/>
      <c r="F143" s="3"/>
      <c r="G143" s="3">
        <v>12</v>
      </c>
      <c r="H143" s="3">
        <v>1</v>
      </c>
      <c r="I143" s="3" t="s">
        <v>81</v>
      </c>
      <c r="J143" s="3">
        <v>0</v>
      </c>
      <c r="K143" s="3" t="s">
        <v>121</v>
      </c>
      <c r="L143" s="3">
        <v>800014011</v>
      </c>
      <c r="M143" s="3">
        <v>1</v>
      </c>
      <c r="N143" s="3">
        <v>100</v>
      </c>
      <c r="O143" s="3">
        <v>0</v>
      </c>
      <c r="P143" s="3">
        <v>15</v>
      </c>
      <c r="Q143" s="3">
        <v>0</v>
      </c>
      <c r="R143" s="3">
        <v>36</v>
      </c>
      <c r="S143" s="3">
        <v>-5500</v>
      </c>
      <c r="T143" s="3">
        <v>1</v>
      </c>
      <c r="U143" s="3">
        <v>0</v>
      </c>
      <c r="V143" s="3" t="s">
        <v>110</v>
      </c>
      <c r="W143" s="3" t="s">
        <v>111</v>
      </c>
      <c r="X143" s="3" t="s">
        <v>125</v>
      </c>
      <c r="Y143" s="16">
        <v>214001011</v>
      </c>
      <c r="Z143" s="16">
        <v>0</v>
      </c>
      <c r="AA143" s="3">
        <v>1</v>
      </c>
      <c r="AB143" s="9" t="s">
        <v>83</v>
      </c>
      <c r="AC143" s="3">
        <v>15000</v>
      </c>
      <c r="AD143" s="3">
        <v>10000</v>
      </c>
      <c r="AE143" s="3">
        <v>0</v>
      </c>
      <c r="AF143" s="9">
        <v>40</v>
      </c>
      <c r="AG143" s="9">
        <v>10000</v>
      </c>
      <c r="AH143" s="9">
        <v>10000</v>
      </c>
      <c r="AI143" s="9">
        <v>0</v>
      </c>
      <c r="AJ143" s="9">
        <v>0</v>
      </c>
    </row>
    <row r="144" spans="1:36" x14ac:dyDescent="0.2">
      <c r="A144" s="3">
        <v>61108</v>
      </c>
      <c r="B144" s="3">
        <v>6</v>
      </c>
      <c r="C144" s="3" t="s">
        <v>127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128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3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125</v>
      </c>
      <c r="Y144" s="16">
        <v>204001001</v>
      </c>
      <c r="Z144" s="16">
        <v>0</v>
      </c>
      <c r="AA144" s="3">
        <v>1</v>
      </c>
      <c r="AB144" s="9" t="s">
        <v>83</v>
      </c>
      <c r="AC144" s="3">
        <v>15000</v>
      </c>
      <c r="AD144" s="3">
        <v>10000</v>
      </c>
      <c r="AE144" s="3">
        <v>0</v>
      </c>
      <c r="AF144" s="9">
        <v>40</v>
      </c>
      <c r="AG144" s="9">
        <v>10000</v>
      </c>
      <c r="AH144" s="9">
        <v>10000</v>
      </c>
      <c r="AI144" s="9">
        <v>0</v>
      </c>
      <c r="AJ144" s="9">
        <v>0</v>
      </c>
    </row>
    <row r="145" spans="1:36" x14ac:dyDescent="0.2">
      <c r="A145" s="3">
        <v>61109</v>
      </c>
      <c r="B145" s="3">
        <v>6</v>
      </c>
      <c r="C145" s="3" t="s">
        <v>129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130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3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125</v>
      </c>
      <c r="Y145" s="16">
        <v>204002001</v>
      </c>
      <c r="Z145" s="16">
        <v>0</v>
      </c>
      <c r="AA145" s="3">
        <v>1</v>
      </c>
      <c r="AB145" s="9" t="s">
        <v>83</v>
      </c>
      <c r="AC145" s="3">
        <v>15000</v>
      </c>
      <c r="AD145" s="3">
        <v>10000</v>
      </c>
      <c r="AE145" s="3">
        <v>0</v>
      </c>
      <c r="AF145" s="9">
        <v>40</v>
      </c>
      <c r="AG145" s="9">
        <v>10000</v>
      </c>
      <c r="AH145" s="9">
        <v>10000</v>
      </c>
      <c r="AI145" s="9">
        <v>0</v>
      </c>
      <c r="AJ145" s="9">
        <v>0</v>
      </c>
    </row>
    <row r="146" spans="1:36" x14ac:dyDescent="0.2">
      <c r="A146" s="3">
        <v>61110</v>
      </c>
      <c r="B146" s="3">
        <v>6</v>
      </c>
      <c r="C146" s="3" t="s">
        <v>131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132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3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125</v>
      </c>
      <c r="Y146" s="16">
        <v>211001001</v>
      </c>
      <c r="Z146" s="16">
        <v>0</v>
      </c>
      <c r="AA146" s="3">
        <v>1</v>
      </c>
      <c r="AB146" s="9" t="s">
        <v>83</v>
      </c>
      <c r="AC146" s="3">
        <v>15000</v>
      </c>
      <c r="AD146" s="3">
        <v>10000</v>
      </c>
      <c r="AE146" s="3">
        <v>0</v>
      </c>
      <c r="AF146" s="9">
        <v>40</v>
      </c>
      <c r="AG146" s="9">
        <v>10000</v>
      </c>
      <c r="AH146" s="9">
        <v>10000</v>
      </c>
      <c r="AI146" s="9">
        <v>0</v>
      </c>
      <c r="AJ146" s="9">
        <v>0</v>
      </c>
    </row>
    <row r="147" spans="1:36" x14ac:dyDescent="0.2">
      <c r="A147" s="3">
        <v>61111</v>
      </c>
      <c r="B147" s="3">
        <v>6</v>
      </c>
      <c r="C147" s="3" t="s">
        <v>133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134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3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125</v>
      </c>
      <c r="Y147" s="16">
        <v>211002001</v>
      </c>
      <c r="Z147" s="16">
        <v>0</v>
      </c>
      <c r="AA147" s="3">
        <v>1</v>
      </c>
      <c r="AB147" s="9" t="s">
        <v>83</v>
      </c>
      <c r="AC147" s="3">
        <v>15000</v>
      </c>
      <c r="AD147" s="3">
        <v>10000</v>
      </c>
      <c r="AE147" s="3">
        <v>0</v>
      </c>
      <c r="AF147" s="9">
        <v>40</v>
      </c>
      <c r="AG147" s="9">
        <v>10000</v>
      </c>
      <c r="AH147" s="9">
        <v>10000</v>
      </c>
      <c r="AI147" s="9">
        <v>0</v>
      </c>
      <c r="AJ147" s="9">
        <v>0</v>
      </c>
    </row>
    <row r="148" spans="1:36" x14ac:dyDescent="0.2">
      <c r="A148" s="3">
        <v>61112</v>
      </c>
      <c r="B148" s="3">
        <v>6</v>
      </c>
      <c r="C148" s="3" t="s">
        <v>135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145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3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125</v>
      </c>
      <c r="Y148" s="16">
        <v>203001001</v>
      </c>
      <c r="Z148" s="16">
        <v>0</v>
      </c>
      <c r="AA148" s="3">
        <v>1</v>
      </c>
      <c r="AB148" s="9" t="s">
        <v>83</v>
      </c>
      <c r="AC148" s="3">
        <v>15000</v>
      </c>
      <c r="AD148" s="3">
        <v>10000</v>
      </c>
      <c r="AE148" s="3">
        <v>0</v>
      </c>
      <c r="AF148" s="9">
        <v>40</v>
      </c>
      <c r="AG148" s="9">
        <v>10000</v>
      </c>
      <c r="AH148" s="9">
        <v>10000</v>
      </c>
      <c r="AI148" s="9">
        <v>0</v>
      </c>
      <c r="AJ148" s="9">
        <v>0</v>
      </c>
    </row>
    <row r="149" spans="1:36" x14ac:dyDescent="0.2">
      <c r="A149" s="3">
        <v>61113</v>
      </c>
      <c r="B149" s="3">
        <v>6</v>
      </c>
      <c r="C149" s="3" t="s">
        <v>137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138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3">
        <v>1496</v>
      </c>
      <c r="S149" s="3">
        <v>-5500</v>
      </c>
      <c r="T149" s="3">
        <v>1</v>
      </c>
      <c r="U149" s="3">
        <v>0</v>
      </c>
      <c r="V149" s="3" t="s">
        <v>110</v>
      </c>
      <c r="W149" s="3" t="s">
        <v>111</v>
      </c>
      <c r="X149" s="3" t="s">
        <v>139</v>
      </c>
      <c r="Y149" s="16">
        <v>203002011</v>
      </c>
      <c r="Z149" s="16">
        <v>0</v>
      </c>
      <c r="AA149" s="3">
        <v>1</v>
      </c>
      <c r="AB149" s="9" t="s">
        <v>140</v>
      </c>
      <c r="AC149" s="3">
        <v>15000</v>
      </c>
      <c r="AD149" s="3">
        <v>10000</v>
      </c>
      <c r="AE149" s="3">
        <v>0</v>
      </c>
      <c r="AF149" s="9">
        <v>40</v>
      </c>
      <c r="AG149" s="9">
        <v>10000</v>
      </c>
      <c r="AH149" s="9">
        <v>10000</v>
      </c>
      <c r="AI149" s="9">
        <v>0</v>
      </c>
      <c r="AJ149" s="9">
        <v>0</v>
      </c>
    </row>
    <row r="150" spans="1:36" x14ac:dyDescent="0.2">
      <c r="A150" s="3">
        <v>61114</v>
      </c>
      <c r="B150" s="3">
        <v>6</v>
      </c>
      <c r="C150" s="3" t="s">
        <v>141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142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3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125</v>
      </c>
      <c r="Y150" s="16">
        <v>203003001</v>
      </c>
      <c r="Z150" s="16">
        <v>0</v>
      </c>
      <c r="AA150" s="3">
        <v>1</v>
      </c>
      <c r="AB150" s="9" t="s">
        <v>83</v>
      </c>
      <c r="AC150" s="3">
        <v>15000</v>
      </c>
      <c r="AD150" s="3">
        <v>10000</v>
      </c>
      <c r="AE150" s="3">
        <v>0</v>
      </c>
      <c r="AF150" s="9">
        <v>40</v>
      </c>
      <c r="AG150" s="9">
        <v>10000</v>
      </c>
      <c r="AH150" s="9">
        <v>10000</v>
      </c>
      <c r="AI150" s="9">
        <v>0</v>
      </c>
      <c r="AJ150" s="9">
        <v>0</v>
      </c>
    </row>
    <row r="151" spans="1:36" x14ac:dyDescent="0.2">
      <c r="A151" s="3">
        <v>61115</v>
      </c>
      <c r="B151" s="3">
        <v>6</v>
      </c>
      <c r="C151" s="3" t="s">
        <v>143</v>
      </c>
      <c r="D151" s="3"/>
      <c r="F151" s="3"/>
      <c r="G151" s="3">
        <v>12</v>
      </c>
      <c r="H151" s="3">
        <v>1</v>
      </c>
      <c r="I151" s="3" t="s">
        <v>81</v>
      </c>
      <c r="J151" s="3">
        <v>0</v>
      </c>
      <c r="K151" s="3"/>
      <c r="L151" s="3">
        <v>800001011</v>
      </c>
      <c r="M151" s="3">
        <v>1</v>
      </c>
      <c r="N151" s="3">
        <v>100</v>
      </c>
      <c r="O151" s="3">
        <v>0</v>
      </c>
      <c r="P151" s="3">
        <v>15</v>
      </c>
      <c r="Q151" s="3">
        <v>0</v>
      </c>
      <c r="R151" s="3">
        <v>36</v>
      </c>
      <c r="S151" s="3">
        <v>-5500</v>
      </c>
      <c r="T151" s="3">
        <v>1</v>
      </c>
      <c r="U151" s="3">
        <v>0</v>
      </c>
      <c r="V151" s="3" t="s">
        <v>110</v>
      </c>
      <c r="W151" s="3" t="s">
        <v>111</v>
      </c>
      <c r="X151" s="3" t="s">
        <v>125</v>
      </c>
      <c r="Y151" s="16">
        <v>201002011</v>
      </c>
      <c r="Z151" s="16">
        <v>0</v>
      </c>
      <c r="AA151" s="3">
        <v>1</v>
      </c>
      <c r="AB151" s="9" t="s">
        <v>83</v>
      </c>
      <c r="AC151" s="3">
        <v>15000</v>
      </c>
      <c r="AD151" s="3">
        <v>10000</v>
      </c>
      <c r="AE151" s="3">
        <v>0</v>
      </c>
      <c r="AF151" s="9">
        <v>40</v>
      </c>
      <c r="AG151" s="9">
        <v>10000</v>
      </c>
      <c r="AH151" s="9">
        <v>10000</v>
      </c>
      <c r="AI151" s="9">
        <v>0</v>
      </c>
      <c r="AJ151" s="9">
        <v>0</v>
      </c>
    </row>
    <row r="152" spans="1:36" x14ac:dyDescent="0.2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146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147</v>
      </c>
      <c r="Y152" s="16">
        <v>201001011</v>
      </c>
      <c r="Z152" s="16">
        <v>0</v>
      </c>
      <c r="AA152" s="3">
        <v>1</v>
      </c>
      <c r="AB152" s="9" t="s">
        <v>113</v>
      </c>
      <c r="AC152" s="3">
        <v>15000</v>
      </c>
      <c r="AD152" s="3">
        <v>10000</v>
      </c>
      <c r="AE152" s="3">
        <v>0</v>
      </c>
      <c r="AF152" s="9">
        <v>40</v>
      </c>
      <c r="AG152" s="9">
        <v>10000</v>
      </c>
      <c r="AH152" s="9">
        <v>10000</v>
      </c>
      <c r="AI152" s="9">
        <v>0</v>
      </c>
      <c r="AJ152" s="9">
        <v>0</v>
      </c>
    </row>
    <row r="153" spans="1:36" x14ac:dyDescent="0.2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147</v>
      </c>
      <c r="Y153" s="16">
        <v>201002011</v>
      </c>
      <c r="Z153" s="16">
        <v>0</v>
      </c>
      <c r="AA153" s="3">
        <v>1</v>
      </c>
      <c r="AB153" s="9" t="s">
        <v>116</v>
      </c>
      <c r="AC153" s="3">
        <v>15000</v>
      </c>
      <c r="AD153" s="3">
        <v>10000</v>
      </c>
      <c r="AE153" s="3">
        <v>0</v>
      </c>
      <c r="AF153" s="9">
        <v>40</v>
      </c>
      <c r="AG153" s="9">
        <v>10000</v>
      </c>
      <c r="AH153" s="9">
        <v>10000</v>
      </c>
      <c r="AI153" s="9">
        <v>0</v>
      </c>
      <c r="AJ153" s="9">
        <v>0</v>
      </c>
    </row>
    <row r="154" spans="1:36" x14ac:dyDescent="0.2">
      <c r="A154" s="3">
        <v>62103</v>
      </c>
      <c r="B154" s="3">
        <v>6</v>
      </c>
      <c r="C154" s="3" t="s">
        <v>117</v>
      </c>
      <c r="D154" s="3"/>
      <c r="F154" s="3"/>
      <c r="G154" s="3">
        <v>12</v>
      </c>
      <c r="H154" s="3">
        <v>1</v>
      </c>
      <c r="I154" s="3" t="s">
        <v>81</v>
      </c>
      <c r="J154" s="3">
        <v>0</v>
      </c>
      <c r="K154" s="3"/>
      <c r="L154" s="3">
        <v>800001021</v>
      </c>
      <c r="M154" s="3">
        <v>1</v>
      </c>
      <c r="N154" s="3">
        <v>70</v>
      </c>
      <c r="O154" s="3">
        <v>0</v>
      </c>
      <c r="P154" s="3">
        <v>15</v>
      </c>
      <c r="Q154" s="3">
        <v>1</v>
      </c>
      <c r="R154" s="3">
        <v>300</v>
      </c>
      <c r="S154" s="3">
        <v>-5500</v>
      </c>
      <c r="T154" s="3">
        <v>1</v>
      </c>
      <c r="U154" s="3">
        <v>0</v>
      </c>
      <c r="V154" s="3" t="s">
        <v>110</v>
      </c>
      <c r="W154" s="3" t="s">
        <v>111</v>
      </c>
      <c r="X154" s="3" t="s">
        <v>147</v>
      </c>
      <c r="Y154" s="16">
        <v>201001011</v>
      </c>
      <c r="Z154" s="16">
        <v>0</v>
      </c>
      <c r="AA154" s="3">
        <v>1</v>
      </c>
      <c r="AB154" s="9" t="s">
        <v>113</v>
      </c>
      <c r="AC154" s="3">
        <v>15000</v>
      </c>
      <c r="AD154" s="3">
        <v>10000</v>
      </c>
      <c r="AE154" s="3">
        <v>0</v>
      </c>
      <c r="AF154" s="9">
        <v>40</v>
      </c>
      <c r="AG154" s="9">
        <v>10000</v>
      </c>
      <c r="AH154" s="9">
        <v>10000</v>
      </c>
      <c r="AI154" s="9">
        <v>0</v>
      </c>
      <c r="AJ154" s="9">
        <v>0</v>
      </c>
    </row>
    <row r="155" spans="1:36" x14ac:dyDescent="0.2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147</v>
      </c>
      <c r="Y155" s="16">
        <v>201004011</v>
      </c>
      <c r="Z155" s="16">
        <v>0</v>
      </c>
      <c r="AA155" s="3">
        <v>1</v>
      </c>
      <c r="AB155" s="9" t="s">
        <v>113</v>
      </c>
      <c r="AC155" s="3">
        <v>15000</v>
      </c>
      <c r="AD155" s="3">
        <v>10000</v>
      </c>
      <c r="AE155" s="3">
        <v>0</v>
      </c>
      <c r="AF155" s="9">
        <v>40</v>
      </c>
      <c r="AG155" s="9">
        <v>10000</v>
      </c>
      <c r="AH155" s="9">
        <v>10000</v>
      </c>
      <c r="AI155" s="9">
        <v>0</v>
      </c>
      <c r="AJ155" s="9">
        <v>0</v>
      </c>
    </row>
    <row r="156" spans="1:36" x14ac:dyDescent="0.2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147</v>
      </c>
      <c r="Y156" s="16">
        <v>214001011</v>
      </c>
      <c r="Z156" s="16">
        <v>0</v>
      </c>
      <c r="AA156" s="3">
        <v>1</v>
      </c>
      <c r="AB156" s="9" t="s">
        <v>122</v>
      </c>
      <c r="AC156" s="3">
        <v>15000</v>
      </c>
      <c r="AD156" s="3">
        <v>10000</v>
      </c>
      <c r="AE156" s="3">
        <v>0</v>
      </c>
      <c r="AF156" s="9">
        <v>40</v>
      </c>
      <c r="AG156" s="9">
        <v>10000</v>
      </c>
      <c r="AH156" s="9">
        <v>10000</v>
      </c>
      <c r="AI156" s="9">
        <v>0</v>
      </c>
      <c r="AJ156" s="9">
        <v>0</v>
      </c>
    </row>
    <row r="157" spans="1:36" x14ac:dyDescent="0.2">
      <c r="A157" s="3">
        <v>62106</v>
      </c>
      <c r="B157" s="3">
        <v>6</v>
      </c>
      <c r="C157" s="3" t="s">
        <v>123</v>
      </c>
      <c r="D157" s="3"/>
      <c r="F157" s="3"/>
      <c r="G157" s="3">
        <v>12</v>
      </c>
      <c r="H157" s="3">
        <v>1</v>
      </c>
      <c r="I157" s="3" t="s">
        <v>81</v>
      </c>
      <c r="J157" s="3">
        <v>0</v>
      </c>
      <c r="K157" s="3"/>
      <c r="L157" s="3">
        <v>800001011</v>
      </c>
      <c r="M157" s="3">
        <v>1</v>
      </c>
      <c r="N157" s="3">
        <v>100</v>
      </c>
      <c r="O157" s="3">
        <v>0</v>
      </c>
      <c r="P157" s="3">
        <v>15</v>
      </c>
      <c r="Q157" s="3">
        <v>0</v>
      </c>
      <c r="R157" s="3">
        <v>36</v>
      </c>
      <c r="S157" s="3">
        <v>-5500</v>
      </c>
      <c r="T157" s="3">
        <v>1</v>
      </c>
      <c r="U157" s="3">
        <v>0</v>
      </c>
      <c r="V157" s="3" t="s">
        <v>110</v>
      </c>
      <c r="W157" s="3" t="s">
        <v>111</v>
      </c>
      <c r="X157" s="3" t="s">
        <v>125</v>
      </c>
      <c r="Y157" s="16">
        <v>201002011</v>
      </c>
      <c r="Z157" s="16">
        <v>0</v>
      </c>
      <c r="AA157" s="3">
        <v>1</v>
      </c>
      <c r="AB157" s="9" t="s">
        <v>83</v>
      </c>
      <c r="AC157" s="3">
        <v>15000</v>
      </c>
      <c r="AD157" s="3">
        <v>10000</v>
      </c>
      <c r="AE157" s="3">
        <v>0</v>
      </c>
      <c r="AF157" s="9">
        <v>40</v>
      </c>
      <c r="AG157" s="9">
        <v>10000</v>
      </c>
      <c r="AH157" s="9">
        <v>10000</v>
      </c>
      <c r="AI157" s="9">
        <v>0</v>
      </c>
      <c r="AJ157" s="9">
        <v>0</v>
      </c>
    </row>
    <row r="158" spans="1:36" x14ac:dyDescent="0.2">
      <c r="A158" s="3">
        <v>62107</v>
      </c>
      <c r="B158" s="3">
        <v>6</v>
      </c>
      <c r="C158" s="3" t="s">
        <v>126</v>
      </c>
      <c r="D158" s="3"/>
      <c r="F158" s="3"/>
      <c r="G158" s="3">
        <v>12</v>
      </c>
      <c r="H158" s="3">
        <v>1</v>
      </c>
      <c r="I158" s="3" t="s">
        <v>81</v>
      </c>
      <c r="J158" s="3">
        <v>0</v>
      </c>
      <c r="K158" s="3" t="s">
        <v>121</v>
      </c>
      <c r="L158" s="3">
        <v>800014011</v>
      </c>
      <c r="M158" s="3">
        <v>1</v>
      </c>
      <c r="N158" s="3">
        <v>100</v>
      </c>
      <c r="O158" s="3">
        <v>0</v>
      </c>
      <c r="P158" s="3">
        <v>15</v>
      </c>
      <c r="Q158" s="3">
        <v>0</v>
      </c>
      <c r="R158" s="3">
        <v>36</v>
      </c>
      <c r="S158" s="3">
        <v>-5500</v>
      </c>
      <c r="T158" s="3">
        <v>1</v>
      </c>
      <c r="U158" s="3">
        <v>0</v>
      </c>
      <c r="V158" s="3" t="s">
        <v>110</v>
      </c>
      <c r="W158" s="3" t="s">
        <v>111</v>
      </c>
      <c r="X158" s="3" t="s">
        <v>125</v>
      </c>
      <c r="Y158" s="16">
        <v>214001011</v>
      </c>
      <c r="Z158" s="16">
        <v>0</v>
      </c>
      <c r="AA158" s="3">
        <v>1</v>
      </c>
      <c r="AB158" s="9" t="s">
        <v>83</v>
      </c>
      <c r="AC158" s="3">
        <v>15000</v>
      </c>
      <c r="AD158" s="3">
        <v>10000</v>
      </c>
      <c r="AE158" s="3">
        <v>0</v>
      </c>
      <c r="AF158" s="9">
        <v>40</v>
      </c>
      <c r="AG158" s="9">
        <v>10000</v>
      </c>
      <c r="AH158" s="9">
        <v>10000</v>
      </c>
      <c r="AI158" s="9">
        <v>0</v>
      </c>
      <c r="AJ158" s="9">
        <v>0</v>
      </c>
    </row>
    <row r="159" spans="1:36" x14ac:dyDescent="0.2">
      <c r="A159" s="3">
        <v>62108</v>
      </c>
      <c r="B159" s="3">
        <v>6</v>
      </c>
      <c r="C159" s="3" t="s">
        <v>127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128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3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125</v>
      </c>
      <c r="Y159" s="16">
        <v>204001001</v>
      </c>
      <c r="Z159" s="16">
        <v>0</v>
      </c>
      <c r="AA159" s="3">
        <v>1</v>
      </c>
      <c r="AB159" s="9" t="s">
        <v>83</v>
      </c>
      <c r="AC159" s="3">
        <v>15000</v>
      </c>
      <c r="AD159" s="3">
        <v>10000</v>
      </c>
      <c r="AE159" s="3">
        <v>0</v>
      </c>
      <c r="AF159" s="9">
        <v>40</v>
      </c>
      <c r="AG159" s="9">
        <v>10000</v>
      </c>
      <c r="AH159" s="9">
        <v>10000</v>
      </c>
      <c r="AI159" s="9">
        <v>0</v>
      </c>
      <c r="AJ159" s="9">
        <v>0</v>
      </c>
    </row>
    <row r="160" spans="1:36" x14ac:dyDescent="0.2">
      <c r="A160" s="3">
        <v>62109</v>
      </c>
      <c r="B160" s="3">
        <v>6</v>
      </c>
      <c r="C160" s="3" t="s">
        <v>129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130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3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125</v>
      </c>
      <c r="Y160" s="16">
        <v>204002001</v>
      </c>
      <c r="Z160" s="16">
        <v>0</v>
      </c>
      <c r="AA160" s="3">
        <v>1</v>
      </c>
      <c r="AB160" s="9" t="s">
        <v>83</v>
      </c>
      <c r="AC160" s="3">
        <v>15000</v>
      </c>
      <c r="AD160" s="3">
        <v>10000</v>
      </c>
      <c r="AE160" s="3">
        <v>0</v>
      </c>
      <c r="AF160" s="9">
        <v>40</v>
      </c>
      <c r="AG160" s="9">
        <v>10000</v>
      </c>
      <c r="AH160" s="9">
        <v>10000</v>
      </c>
      <c r="AI160" s="9">
        <v>0</v>
      </c>
      <c r="AJ160" s="9">
        <v>0</v>
      </c>
    </row>
    <row r="161" spans="1:36" x14ac:dyDescent="0.2">
      <c r="A161" s="3">
        <v>62110</v>
      </c>
      <c r="B161" s="3">
        <v>6</v>
      </c>
      <c r="C161" s="3" t="s">
        <v>131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132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3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125</v>
      </c>
      <c r="Y161" s="16">
        <v>211001001</v>
      </c>
      <c r="Z161" s="16">
        <v>0</v>
      </c>
      <c r="AA161" s="3">
        <v>1</v>
      </c>
      <c r="AB161" s="9" t="s">
        <v>83</v>
      </c>
      <c r="AC161" s="3">
        <v>15000</v>
      </c>
      <c r="AD161" s="3">
        <v>10000</v>
      </c>
      <c r="AE161" s="3">
        <v>0</v>
      </c>
      <c r="AF161" s="9">
        <v>40</v>
      </c>
      <c r="AG161" s="9">
        <v>10000</v>
      </c>
      <c r="AH161" s="9">
        <v>10000</v>
      </c>
      <c r="AI161" s="9">
        <v>0</v>
      </c>
      <c r="AJ161" s="9">
        <v>0</v>
      </c>
    </row>
    <row r="162" spans="1:36" x14ac:dyDescent="0.2">
      <c r="A162" s="3">
        <v>62111</v>
      </c>
      <c r="B162" s="3">
        <v>6</v>
      </c>
      <c r="C162" s="3" t="s">
        <v>133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134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3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125</v>
      </c>
      <c r="Y162" s="16">
        <v>211002001</v>
      </c>
      <c r="Z162" s="16">
        <v>0</v>
      </c>
      <c r="AA162" s="3">
        <v>1</v>
      </c>
      <c r="AB162" s="9" t="s">
        <v>83</v>
      </c>
      <c r="AC162" s="3">
        <v>15000</v>
      </c>
      <c r="AD162" s="3">
        <v>10000</v>
      </c>
      <c r="AE162" s="3">
        <v>0</v>
      </c>
      <c r="AF162" s="9">
        <v>40</v>
      </c>
      <c r="AG162" s="9">
        <v>10000</v>
      </c>
      <c r="AH162" s="9">
        <v>10000</v>
      </c>
      <c r="AI162" s="9">
        <v>0</v>
      </c>
      <c r="AJ162" s="9">
        <v>0</v>
      </c>
    </row>
    <row r="163" spans="1:36" x14ac:dyDescent="0.2">
      <c r="A163" s="3">
        <v>62112</v>
      </c>
      <c r="B163" s="3">
        <v>6</v>
      </c>
      <c r="C163" s="3" t="s">
        <v>135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145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3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125</v>
      </c>
      <c r="Y163" s="16">
        <v>203001001</v>
      </c>
      <c r="Z163" s="16">
        <v>0</v>
      </c>
      <c r="AA163" s="3">
        <v>1</v>
      </c>
      <c r="AB163" s="9" t="s">
        <v>83</v>
      </c>
      <c r="AC163" s="3">
        <v>15000</v>
      </c>
      <c r="AD163" s="3">
        <v>10000</v>
      </c>
      <c r="AE163" s="3">
        <v>0</v>
      </c>
      <c r="AF163" s="9">
        <v>40</v>
      </c>
      <c r="AG163" s="9">
        <v>10000</v>
      </c>
      <c r="AH163" s="9">
        <v>10000</v>
      </c>
      <c r="AI163" s="9">
        <v>0</v>
      </c>
      <c r="AJ163" s="9">
        <v>0</v>
      </c>
    </row>
    <row r="164" spans="1:36" x14ac:dyDescent="0.2">
      <c r="A164" s="3">
        <v>62113</v>
      </c>
      <c r="B164" s="3">
        <v>6</v>
      </c>
      <c r="C164" s="3" t="s">
        <v>137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138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3">
        <v>1496</v>
      </c>
      <c r="S164" s="3">
        <v>-5500</v>
      </c>
      <c r="T164" s="3">
        <v>1</v>
      </c>
      <c r="U164" s="3">
        <v>0</v>
      </c>
      <c r="V164" s="3" t="s">
        <v>110</v>
      </c>
      <c r="W164" s="3" t="s">
        <v>111</v>
      </c>
      <c r="X164" s="3" t="s">
        <v>139</v>
      </c>
      <c r="Y164" s="16">
        <v>203002011</v>
      </c>
      <c r="Z164" s="16">
        <v>0</v>
      </c>
      <c r="AA164" s="3">
        <v>1</v>
      </c>
      <c r="AB164" s="9" t="s">
        <v>140</v>
      </c>
      <c r="AC164" s="3">
        <v>15000</v>
      </c>
      <c r="AD164" s="3">
        <v>10000</v>
      </c>
      <c r="AE164" s="3">
        <v>0</v>
      </c>
      <c r="AF164" s="9">
        <v>40</v>
      </c>
      <c r="AG164" s="9">
        <v>10000</v>
      </c>
      <c r="AH164" s="9">
        <v>10000</v>
      </c>
      <c r="AI164" s="9">
        <v>0</v>
      </c>
      <c r="AJ164" s="9">
        <v>0</v>
      </c>
    </row>
    <row r="165" spans="1:36" x14ac:dyDescent="0.2">
      <c r="A165" s="3">
        <v>62114</v>
      </c>
      <c r="B165" s="3">
        <v>6</v>
      </c>
      <c r="C165" s="3" t="s">
        <v>141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142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3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125</v>
      </c>
      <c r="Y165" s="16">
        <v>203003001</v>
      </c>
      <c r="Z165" s="16">
        <v>0</v>
      </c>
      <c r="AA165" s="3">
        <v>1</v>
      </c>
      <c r="AB165" s="9" t="s">
        <v>83</v>
      </c>
      <c r="AC165" s="3">
        <v>15000</v>
      </c>
      <c r="AD165" s="3">
        <v>10000</v>
      </c>
      <c r="AE165" s="3">
        <v>0</v>
      </c>
      <c r="AF165" s="9">
        <v>40</v>
      </c>
      <c r="AG165" s="9">
        <v>10000</v>
      </c>
      <c r="AH165" s="9">
        <v>10000</v>
      </c>
      <c r="AI165" s="9">
        <v>0</v>
      </c>
      <c r="AJ165" s="9">
        <v>0</v>
      </c>
    </row>
    <row r="166" spans="1:36" x14ac:dyDescent="0.2">
      <c r="A166" s="3">
        <v>62115</v>
      </c>
      <c r="B166" s="3">
        <v>6</v>
      </c>
      <c r="C166" s="3" t="s">
        <v>143</v>
      </c>
      <c r="D166" s="3"/>
      <c r="F166" s="3"/>
      <c r="G166" s="3">
        <v>12</v>
      </c>
      <c r="H166" s="3">
        <v>1</v>
      </c>
      <c r="I166" s="3" t="s">
        <v>81</v>
      </c>
      <c r="J166" s="3">
        <v>0</v>
      </c>
      <c r="K166" s="3"/>
      <c r="L166" s="3">
        <v>800001011</v>
      </c>
      <c r="M166" s="3">
        <v>1</v>
      </c>
      <c r="N166" s="3">
        <v>100</v>
      </c>
      <c r="O166" s="3">
        <v>0</v>
      </c>
      <c r="P166" s="3">
        <v>15</v>
      </c>
      <c r="Q166" s="3">
        <v>0</v>
      </c>
      <c r="R166" s="3">
        <v>36</v>
      </c>
      <c r="S166" s="3">
        <v>-5500</v>
      </c>
      <c r="T166" s="3">
        <v>1</v>
      </c>
      <c r="U166" s="3">
        <v>0</v>
      </c>
      <c r="V166" s="3" t="s">
        <v>110</v>
      </c>
      <c r="W166" s="3" t="s">
        <v>111</v>
      </c>
      <c r="X166" s="3" t="s">
        <v>125</v>
      </c>
      <c r="Y166" s="16">
        <v>201002011</v>
      </c>
      <c r="Z166" s="16">
        <v>0</v>
      </c>
      <c r="AA166" s="3">
        <v>1</v>
      </c>
      <c r="AB166" s="9" t="s">
        <v>83</v>
      </c>
      <c r="AC166" s="3">
        <v>15000</v>
      </c>
      <c r="AD166" s="3">
        <v>10000</v>
      </c>
      <c r="AE166" s="3">
        <v>0</v>
      </c>
      <c r="AF166" s="9">
        <v>40</v>
      </c>
      <c r="AG166" s="9">
        <v>10000</v>
      </c>
      <c r="AH166" s="9">
        <v>10000</v>
      </c>
      <c r="AI166" s="9">
        <v>0</v>
      </c>
      <c r="AJ166" s="9">
        <v>0</v>
      </c>
    </row>
    <row r="167" spans="1:36" x14ac:dyDescent="0.2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146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147</v>
      </c>
      <c r="Y167" s="16">
        <v>201001011</v>
      </c>
      <c r="Z167" s="16">
        <v>0</v>
      </c>
      <c r="AA167" s="3">
        <v>1</v>
      </c>
      <c r="AB167" s="9" t="s">
        <v>113</v>
      </c>
      <c r="AC167" s="3">
        <v>15000</v>
      </c>
      <c r="AD167" s="3">
        <v>10000</v>
      </c>
      <c r="AE167" s="3">
        <v>0</v>
      </c>
      <c r="AF167" s="9">
        <v>40</v>
      </c>
      <c r="AG167" s="9">
        <v>10000</v>
      </c>
      <c r="AH167" s="9">
        <v>10000</v>
      </c>
      <c r="AI167" s="9">
        <v>0</v>
      </c>
      <c r="AJ167" s="9">
        <v>0</v>
      </c>
    </row>
    <row r="168" spans="1:36" x14ac:dyDescent="0.2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147</v>
      </c>
      <c r="Y168" s="16">
        <v>201002011</v>
      </c>
      <c r="Z168" s="16">
        <v>0</v>
      </c>
      <c r="AA168" s="3">
        <v>1</v>
      </c>
      <c r="AB168" s="9" t="s">
        <v>116</v>
      </c>
      <c r="AC168" s="3">
        <v>15000</v>
      </c>
      <c r="AD168" s="3">
        <v>10000</v>
      </c>
      <c r="AE168" s="3">
        <v>0</v>
      </c>
      <c r="AF168" s="9">
        <v>40</v>
      </c>
      <c r="AG168" s="9">
        <v>10000</v>
      </c>
      <c r="AH168" s="9">
        <v>10000</v>
      </c>
      <c r="AI168" s="9">
        <v>0</v>
      </c>
      <c r="AJ168" s="9">
        <v>0</v>
      </c>
    </row>
    <row r="169" spans="1:36" x14ac:dyDescent="0.2">
      <c r="A169" s="3">
        <v>71103</v>
      </c>
      <c r="B169" s="3">
        <v>7</v>
      </c>
      <c r="C169" s="3" t="s">
        <v>117</v>
      </c>
      <c r="D169" s="3"/>
      <c r="F169" s="3"/>
      <c r="G169" s="3">
        <v>12</v>
      </c>
      <c r="H169" s="3">
        <v>1</v>
      </c>
      <c r="I169" s="3" t="s">
        <v>81</v>
      </c>
      <c r="J169" s="3">
        <v>0</v>
      </c>
      <c r="K169" s="3"/>
      <c r="L169" s="3">
        <v>800001021</v>
      </c>
      <c r="M169" s="3">
        <v>1</v>
      </c>
      <c r="N169" s="3">
        <v>70</v>
      </c>
      <c r="O169" s="3">
        <v>0</v>
      </c>
      <c r="P169" s="3">
        <v>15</v>
      </c>
      <c r="Q169" s="3">
        <v>1</v>
      </c>
      <c r="R169" s="3">
        <v>300</v>
      </c>
      <c r="S169" s="3">
        <v>-5500</v>
      </c>
      <c r="T169" s="3">
        <v>1</v>
      </c>
      <c r="U169" s="3">
        <v>0</v>
      </c>
      <c r="V169" s="3" t="s">
        <v>110</v>
      </c>
      <c r="W169" s="3" t="s">
        <v>111</v>
      </c>
      <c r="X169" s="3" t="s">
        <v>147</v>
      </c>
      <c r="Y169" s="16">
        <v>201001011</v>
      </c>
      <c r="Z169" s="16">
        <v>0</v>
      </c>
      <c r="AA169" s="3">
        <v>1</v>
      </c>
      <c r="AB169" s="9" t="s">
        <v>113</v>
      </c>
      <c r="AC169" s="3">
        <v>15000</v>
      </c>
      <c r="AD169" s="3">
        <v>10000</v>
      </c>
      <c r="AE169" s="3">
        <v>0</v>
      </c>
      <c r="AF169" s="9">
        <v>40</v>
      </c>
      <c r="AG169" s="9">
        <v>10000</v>
      </c>
      <c r="AH169" s="9">
        <v>10000</v>
      </c>
      <c r="AI169" s="9">
        <v>0</v>
      </c>
      <c r="AJ169" s="9">
        <v>0</v>
      </c>
    </row>
    <row r="170" spans="1:36" x14ac:dyDescent="0.2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147</v>
      </c>
      <c r="Y170" s="16">
        <v>201004011</v>
      </c>
      <c r="Z170" s="16">
        <v>0</v>
      </c>
      <c r="AA170" s="3">
        <v>1</v>
      </c>
      <c r="AB170" s="9" t="s">
        <v>113</v>
      </c>
      <c r="AC170" s="3">
        <v>15000</v>
      </c>
      <c r="AD170" s="3">
        <v>10000</v>
      </c>
      <c r="AE170" s="3">
        <v>0</v>
      </c>
      <c r="AF170" s="9">
        <v>40</v>
      </c>
      <c r="AG170" s="9">
        <v>10000</v>
      </c>
      <c r="AH170" s="9">
        <v>10000</v>
      </c>
      <c r="AI170" s="9">
        <v>0</v>
      </c>
      <c r="AJ170" s="9">
        <v>0</v>
      </c>
    </row>
    <row r="171" spans="1:36" x14ac:dyDescent="0.2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147</v>
      </c>
      <c r="Y171" s="16">
        <v>214001011</v>
      </c>
      <c r="Z171" s="16">
        <v>0</v>
      </c>
      <c r="AA171" s="3">
        <v>1</v>
      </c>
      <c r="AB171" s="9" t="s">
        <v>122</v>
      </c>
      <c r="AC171" s="3">
        <v>15000</v>
      </c>
      <c r="AD171" s="3">
        <v>10000</v>
      </c>
      <c r="AE171" s="3">
        <v>0</v>
      </c>
      <c r="AF171" s="9">
        <v>40</v>
      </c>
      <c r="AG171" s="9">
        <v>10000</v>
      </c>
      <c r="AH171" s="9">
        <v>10000</v>
      </c>
      <c r="AI171" s="9">
        <v>0</v>
      </c>
      <c r="AJ171" s="9">
        <v>0</v>
      </c>
    </row>
    <row r="172" spans="1:36" x14ac:dyDescent="0.2">
      <c r="A172" s="3">
        <v>71106</v>
      </c>
      <c r="B172" s="3">
        <v>7</v>
      </c>
      <c r="C172" s="3" t="s">
        <v>123</v>
      </c>
      <c r="D172" s="3"/>
      <c r="F172" s="3"/>
      <c r="G172" s="3">
        <v>12</v>
      </c>
      <c r="H172" s="3">
        <v>1</v>
      </c>
      <c r="I172" s="3" t="s">
        <v>81</v>
      </c>
      <c r="J172" s="3">
        <v>0</v>
      </c>
      <c r="K172" s="3"/>
      <c r="L172" s="3">
        <v>800001011</v>
      </c>
      <c r="M172" s="3">
        <v>1</v>
      </c>
      <c r="N172" s="3">
        <v>100</v>
      </c>
      <c r="O172" s="3">
        <v>0</v>
      </c>
      <c r="P172" s="3">
        <v>15</v>
      </c>
      <c r="Q172" s="3">
        <v>0</v>
      </c>
      <c r="R172" s="3">
        <v>36</v>
      </c>
      <c r="S172" s="3">
        <v>-5500</v>
      </c>
      <c r="T172" s="3">
        <v>1</v>
      </c>
      <c r="U172" s="3">
        <v>0</v>
      </c>
      <c r="V172" s="3" t="s">
        <v>110</v>
      </c>
      <c r="W172" s="3" t="s">
        <v>111</v>
      </c>
      <c r="X172" s="3" t="s">
        <v>125</v>
      </c>
      <c r="Y172" s="16">
        <v>201002011</v>
      </c>
      <c r="Z172" s="16">
        <v>0</v>
      </c>
      <c r="AA172" s="3">
        <v>1</v>
      </c>
      <c r="AB172" s="9" t="s">
        <v>83</v>
      </c>
      <c r="AC172" s="3">
        <v>15000</v>
      </c>
      <c r="AD172" s="3">
        <v>10000</v>
      </c>
      <c r="AE172" s="3">
        <v>0</v>
      </c>
      <c r="AF172" s="9">
        <v>40</v>
      </c>
      <c r="AG172" s="9">
        <v>10000</v>
      </c>
      <c r="AH172" s="9">
        <v>10000</v>
      </c>
      <c r="AI172" s="9">
        <v>0</v>
      </c>
      <c r="AJ172" s="9">
        <v>0</v>
      </c>
    </row>
    <row r="173" spans="1:36" x14ac:dyDescent="0.2">
      <c r="A173" s="3">
        <v>71107</v>
      </c>
      <c r="B173" s="3">
        <v>7</v>
      </c>
      <c r="C173" s="3" t="s">
        <v>126</v>
      </c>
      <c r="D173" s="3"/>
      <c r="F173" s="3"/>
      <c r="G173" s="3">
        <v>12</v>
      </c>
      <c r="H173" s="3">
        <v>1</v>
      </c>
      <c r="I173" s="3" t="s">
        <v>81</v>
      </c>
      <c r="J173" s="3">
        <v>0</v>
      </c>
      <c r="K173" s="3" t="s">
        <v>121</v>
      </c>
      <c r="L173" s="3">
        <v>800014011</v>
      </c>
      <c r="M173" s="3">
        <v>1</v>
      </c>
      <c r="N173" s="3">
        <v>100</v>
      </c>
      <c r="O173" s="3">
        <v>0</v>
      </c>
      <c r="P173" s="3">
        <v>15</v>
      </c>
      <c r="Q173" s="3">
        <v>0</v>
      </c>
      <c r="R173" s="3">
        <v>36</v>
      </c>
      <c r="S173" s="3">
        <v>-5500</v>
      </c>
      <c r="T173" s="3">
        <v>1</v>
      </c>
      <c r="U173" s="3">
        <v>0</v>
      </c>
      <c r="V173" s="3" t="s">
        <v>110</v>
      </c>
      <c r="W173" s="3" t="s">
        <v>111</v>
      </c>
      <c r="X173" s="3" t="s">
        <v>125</v>
      </c>
      <c r="Y173" s="16">
        <v>214001011</v>
      </c>
      <c r="Z173" s="16">
        <v>0</v>
      </c>
      <c r="AA173" s="3">
        <v>1</v>
      </c>
      <c r="AB173" s="9" t="s">
        <v>83</v>
      </c>
      <c r="AC173" s="3">
        <v>15000</v>
      </c>
      <c r="AD173" s="3">
        <v>10000</v>
      </c>
      <c r="AE173" s="3">
        <v>0</v>
      </c>
      <c r="AF173" s="9">
        <v>40</v>
      </c>
      <c r="AG173" s="9">
        <v>10000</v>
      </c>
      <c r="AH173" s="9">
        <v>10000</v>
      </c>
      <c r="AI173" s="9">
        <v>0</v>
      </c>
      <c r="AJ173" s="9">
        <v>0</v>
      </c>
    </row>
    <row r="174" spans="1:36" x14ac:dyDescent="0.2">
      <c r="A174" s="3">
        <v>71108</v>
      </c>
      <c r="B174" s="3">
        <v>7</v>
      </c>
      <c r="C174" s="3" t="s">
        <v>127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128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3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125</v>
      </c>
      <c r="Y174" s="16">
        <v>204001001</v>
      </c>
      <c r="Z174" s="16">
        <v>0</v>
      </c>
      <c r="AA174" s="3">
        <v>1</v>
      </c>
      <c r="AB174" s="9" t="s">
        <v>83</v>
      </c>
      <c r="AC174" s="3">
        <v>15000</v>
      </c>
      <c r="AD174" s="3">
        <v>10000</v>
      </c>
      <c r="AE174" s="3">
        <v>0</v>
      </c>
      <c r="AF174" s="9">
        <v>40</v>
      </c>
      <c r="AG174" s="9">
        <v>10000</v>
      </c>
      <c r="AH174" s="9">
        <v>10000</v>
      </c>
      <c r="AI174" s="9">
        <v>0</v>
      </c>
      <c r="AJ174" s="9">
        <v>0</v>
      </c>
    </row>
    <row r="175" spans="1:36" x14ac:dyDescent="0.2">
      <c r="A175" s="3">
        <v>71109</v>
      </c>
      <c r="B175" s="3">
        <v>7</v>
      </c>
      <c r="C175" s="3" t="s">
        <v>129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130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3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125</v>
      </c>
      <c r="Y175" s="16">
        <v>204002001</v>
      </c>
      <c r="Z175" s="16">
        <v>0</v>
      </c>
      <c r="AA175" s="3">
        <v>1</v>
      </c>
      <c r="AB175" s="9" t="s">
        <v>83</v>
      </c>
      <c r="AC175" s="3">
        <v>15000</v>
      </c>
      <c r="AD175" s="3">
        <v>10000</v>
      </c>
      <c r="AE175" s="3">
        <v>0</v>
      </c>
      <c r="AF175" s="9">
        <v>40</v>
      </c>
      <c r="AG175" s="9">
        <v>10000</v>
      </c>
      <c r="AH175" s="9">
        <v>10000</v>
      </c>
      <c r="AI175" s="9">
        <v>0</v>
      </c>
      <c r="AJ175" s="9">
        <v>0</v>
      </c>
    </row>
    <row r="176" spans="1:36" x14ac:dyDescent="0.2">
      <c r="A176" s="3">
        <v>71110</v>
      </c>
      <c r="B176" s="3">
        <v>7</v>
      </c>
      <c r="C176" s="3" t="s">
        <v>131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132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3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125</v>
      </c>
      <c r="Y176" s="16">
        <v>211001001</v>
      </c>
      <c r="Z176" s="16">
        <v>0</v>
      </c>
      <c r="AA176" s="3">
        <v>1</v>
      </c>
      <c r="AB176" s="9" t="s">
        <v>83</v>
      </c>
      <c r="AC176" s="3">
        <v>15000</v>
      </c>
      <c r="AD176" s="3">
        <v>10000</v>
      </c>
      <c r="AE176" s="3">
        <v>0</v>
      </c>
      <c r="AF176" s="9">
        <v>40</v>
      </c>
      <c r="AG176" s="9">
        <v>10000</v>
      </c>
      <c r="AH176" s="9">
        <v>10000</v>
      </c>
      <c r="AI176" s="9">
        <v>0</v>
      </c>
      <c r="AJ176" s="9">
        <v>0</v>
      </c>
    </row>
    <row r="177" spans="1:36" x14ac:dyDescent="0.2">
      <c r="A177" s="3">
        <v>71111</v>
      </c>
      <c r="B177" s="3">
        <v>7</v>
      </c>
      <c r="C177" s="3" t="s">
        <v>133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134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3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125</v>
      </c>
      <c r="Y177" s="16">
        <v>211002001</v>
      </c>
      <c r="Z177" s="16">
        <v>0</v>
      </c>
      <c r="AA177" s="3">
        <v>1</v>
      </c>
      <c r="AB177" s="9" t="s">
        <v>83</v>
      </c>
      <c r="AC177" s="3">
        <v>15000</v>
      </c>
      <c r="AD177" s="3">
        <v>10000</v>
      </c>
      <c r="AE177" s="3">
        <v>0</v>
      </c>
      <c r="AF177" s="9">
        <v>40</v>
      </c>
      <c r="AG177" s="9">
        <v>10000</v>
      </c>
      <c r="AH177" s="9">
        <v>10000</v>
      </c>
      <c r="AI177" s="9">
        <v>0</v>
      </c>
      <c r="AJ177" s="9">
        <v>0</v>
      </c>
    </row>
    <row r="178" spans="1:36" x14ac:dyDescent="0.2">
      <c r="A178" s="3">
        <v>71112</v>
      </c>
      <c r="B178" s="3">
        <v>7</v>
      </c>
      <c r="C178" s="3" t="s">
        <v>135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145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3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125</v>
      </c>
      <c r="Y178" s="16">
        <v>203001001</v>
      </c>
      <c r="Z178" s="16">
        <v>0</v>
      </c>
      <c r="AA178" s="3">
        <v>1</v>
      </c>
      <c r="AB178" s="9" t="s">
        <v>83</v>
      </c>
      <c r="AC178" s="3">
        <v>15000</v>
      </c>
      <c r="AD178" s="3">
        <v>10000</v>
      </c>
      <c r="AE178" s="3">
        <v>0</v>
      </c>
      <c r="AF178" s="9">
        <v>40</v>
      </c>
      <c r="AG178" s="9">
        <v>10000</v>
      </c>
      <c r="AH178" s="9">
        <v>10000</v>
      </c>
      <c r="AI178" s="9">
        <v>0</v>
      </c>
      <c r="AJ178" s="9">
        <v>0</v>
      </c>
    </row>
    <row r="179" spans="1:36" x14ac:dyDescent="0.2">
      <c r="A179" s="3">
        <v>71113</v>
      </c>
      <c r="B179" s="3">
        <v>7</v>
      </c>
      <c r="C179" s="3" t="s">
        <v>137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138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3">
        <v>1496</v>
      </c>
      <c r="S179" s="3">
        <v>-5500</v>
      </c>
      <c r="T179" s="3">
        <v>1</v>
      </c>
      <c r="U179" s="3">
        <v>0</v>
      </c>
      <c r="V179" s="3" t="s">
        <v>110</v>
      </c>
      <c r="W179" s="3" t="s">
        <v>111</v>
      </c>
      <c r="X179" s="3" t="s">
        <v>139</v>
      </c>
      <c r="Y179" s="16">
        <v>203002011</v>
      </c>
      <c r="Z179" s="16">
        <v>0</v>
      </c>
      <c r="AA179" s="3">
        <v>1</v>
      </c>
      <c r="AB179" s="9" t="s">
        <v>140</v>
      </c>
      <c r="AC179" s="3">
        <v>15000</v>
      </c>
      <c r="AD179" s="3">
        <v>10000</v>
      </c>
      <c r="AE179" s="3">
        <v>0</v>
      </c>
      <c r="AF179" s="9">
        <v>40</v>
      </c>
      <c r="AG179" s="9">
        <v>10000</v>
      </c>
      <c r="AH179" s="9">
        <v>10000</v>
      </c>
      <c r="AI179" s="9">
        <v>0</v>
      </c>
      <c r="AJ179" s="9">
        <v>0</v>
      </c>
    </row>
    <row r="180" spans="1:36" x14ac:dyDescent="0.2">
      <c r="A180" s="3">
        <v>71114</v>
      </c>
      <c r="B180" s="3">
        <v>7</v>
      </c>
      <c r="C180" s="3" t="s">
        <v>141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142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3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125</v>
      </c>
      <c r="Y180" s="16">
        <v>203003001</v>
      </c>
      <c r="Z180" s="16">
        <v>0</v>
      </c>
      <c r="AA180" s="3">
        <v>1</v>
      </c>
      <c r="AB180" s="9" t="s">
        <v>83</v>
      </c>
      <c r="AC180" s="3">
        <v>15000</v>
      </c>
      <c r="AD180" s="3">
        <v>10000</v>
      </c>
      <c r="AE180" s="3">
        <v>0</v>
      </c>
      <c r="AF180" s="9">
        <v>40</v>
      </c>
      <c r="AG180" s="9">
        <v>10000</v>
      </c>
      <c r="AH180" s="9">
        <v>10000</v>
      </c>
      <c r="AI180" s="9">
        <v>0</v>
      </c>
      <c r="AJ180" s="9">
        <v>0</v>
      </c>
    </row>
    <row r="181" spans="1:36" x14ac:dyDescent="0.2">
      <c r="A181" s="3">
        <v>71115</v>
      </c>
      <c r="B181" s="3">
        <v>7</v>
      </c>
      <c r="C181" s="3" t="s">
        <v>143</v>
      </c>
      <c r="D181" s="3"/>
      <c r="F181" s="3"/>
      <c r="G181" s="3">
        <v>12</v>
      </c>
      <c r="H181" s="3">
        <v>1</v>
      </c>
      <c r="I181" s="3" t="s">
        <v>81</v>
      </c>
      <c r="J181" s="3">
        <v>0</v>
      </c>
      <c r="K181" s="3"/>
      <c r="L181" s="3">
        <v>800001011</v>
      </c>
      <c r="M181" s="3">
        <v>1</v>
      </c>
      <c r="N181" s="3">
        <v>100</v>
      </c>
      <c r="O181" s="3">
        <v>0</v>
      </c>
      <c r="P181" s="3">
        <v>15</v>
      </c>
      <c r="Q181" s="3">
        <v>0</v>
      </c>
      <c r="R181" s="3">
        <v>36</v>
      </c>
      <c r="S181" s="3">
        <v>-5500</v>
      </c>
      <c r="T181" s="3">
        <v>1</v>
      </c>
      <c r="U181" s="3">
        <v>0</v>
      </c>
      <c r="V181" s="3" t="s">
        <v>110</v>
      </c>
      <c r="W181" s="3" t="s">
        <v>111</v>
      </c>
      <c r="X181" s="3" t="s">
        <v>125</v>
      </c>
      <c r="Y181" s="16">
        <v>201002011</v>
      </c>
      <c r="Z181" s="16">
        <v>0</v>
      </c>
      <c r="AA181" s="3">
        <v>1</v>
      </c>
      <c r="AB181" s="9" t="s">
        <v>83</v>
      </c>
      <c r="AC181" s="3">
        <v>15000</v>
      </c>
      <c r="AD181" s="3">
        <v>10000</v>
      </c>
      <c r="AE181" s="3">
        <v>0</v>
      </c>
      <c r="AF181" s="9">
        <v>40</v>
      </c>
      <c r="AG181" s="9">
        <v>10000</v>
      </c>
      <c r="AH181" s="9">
        <v>10000</v>
      </c>
      <c r="AI181" s="9">
        <v>0</v>
      </c>
      <c r="AJ181" s="9">
        <v>0</v>
      </c>
    </row>
    <row r="182" spans="1:36" x14ac:dyDescent="0.2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146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147</v>
      </c>
      <c r="Y182" s="16">
        <v>201001011</v>
      </c>
      <c r="Z182" s="16">
        <v>0</v>
      </c>
      <c r="AA182" s="3">
        <v>1</v>
      </c>
      <c r="AB182" s="9" t="s">
        <v>113</v>
      </c>
      <c r="AC182" s="3">
        <v>15000</v>
      </c>
      <c r="AD182" s="3">
        <v>10000</v>
      </c>
      <c r="AE182" s="3">
        <v>0</v>
      </c>
      <c r="AF182" s="9">
        <v>40</v>
      </c>
      <c r="AG182" s="9">
        <v>10000</v>
      </c>
      <c r="AH182" s="9">
        <v>10000</v>
      </c>
      <c r="AI182" s="9">
        <v>0</v>
      </c>
      <c r="AJ182" s="9">
        <v>0</v>
      </c>
    </row>
    <row r="183" spans="1:36" x14ac:dyDescent="0.2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147</v>
      </c>
      <c r="Y183" s="16">
        <v>201002011</v>
      </c>
      <c r="Z183" s="16">
        <v>0</v>
      </c>
      <c r="AA183" s="3">
        <v>1</v>
      </c>
      <c r="AB183" s="9" t="s">
        <v>116</v>
      </c>
      <c r="AC183" s="3">
        <v>15000</v>
      </c>
      <c r="AD183" s="3">
        <v>10000</v>
      </c>
      <c r="AE183" s="3">
        <v>0</v>
      </c>
      <c r="AF183" s="9">
        <v>40</v>
      </c>
      <c r="AG183" s="9">
        <v>10000</v>
      </c>
      <c r="AH183" s="9">
        <v>10000</v>
      </c>
      <c r="AI183" s="9">
        <v>0</v>
      </c>
      <c r="AJ183" s="9">
        <v>0</v>
      </c>
    </row>
    <row r="184" spans="1:36" x14ac:dyDescent="0.2">
      <c r="A184" s="3">
        <v>72103</v>
      </c>
      <c r="B184" s="3">
        <v>7</v>
      </c>
      <c r="C184" s="3" t="s">
        <v>117</v>
      </c>
      <c r="D184" s="3"/>
      <c r="F184" s="3"/>
      <c r="G184" s="3">
        <v>12</v>
      </c>
      <c r="H184" s="3">
        <v>1</v>
      </c>
      <c r="I184" s="3" t="s">
        <v>81</v>
      </c>
      <c r="J184" s="3">
        <v>0</v>
      </c>
      <c r="K184" s="3"/>
      <c r="L184" s="3">
        <v>800001021</v>
      </c>
      <c r="M184" s="3">
        <v>1</v>
      </c>
      <c r="N184" s="3">
        <v>70</v>
      </c>
      <c r="O184" s="3">
        <v>0</v>
      </c>
      <c r="P184" s="3">
        <v>15</v>
      </c>
      <c r="Q184" s="3">
        <v>1</v>
      </c>
      <c r="R184" s="3">
        <v>300</v>
      </c>
      <c r="S184" s="3">
        <v>-5500</v>
      </c>
      <c r="T184" s="3">
        <v>1</v>
      </c>
      <c r="U184" s="3">
        <v>0</v>
      </c>
      <c r="V184" s="3" t="s">
        <v>110</v>
      </c>
      <c r="W184" s="3" t="s">
        <v>111</v>
      </c>
      <c r="X184" s="3" t="s">
        <v>147</v>
      </c>
      <c r="Y184" s="16">
        <v>201001011</v>
      </c>
      <c r="Z184" s="16">
        <v>0</v>
      </c>
      <c r="AA184" s="3">
        <v>1</v>
      </c>
      <c r="AB184" s="9" t="s">
        <v>113</v>
      </c>
      <c r="AC184" s="3">
        <v>15000</v>
      </c>
      <c r="AD184" s="3">
        <v>10000</v>
      </c>
      <c r="AE184" s="3">
        <v>0</v>
      </c>
      <c r="AF184" s="9">
        <v>40</v>
      </c>
      <c r="AG184" s="9">
        <v>10000</v>
      </c>
      <c r="AH184" s="9">
        <v>10000</v>
      </c>
      <c r="AI184" s="9">
        <v>0</v>
      </c>
      <c r="AJ184" s="9">
        <v>0</v>
      </c>
    </row>
    <row r="185" spans="1:36" x14ac:dyDescent="0.2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147</v>
      </c>
      <c r="Y185" s="16">
        <v>201004011</v>
      </c>
      <c r="Z185" s="16">
        <v>0</v>
      </c>
      <c r="AA185" s="3">
        <v>1</v>
      </c>
      <c r="AB185" s="9" t="s">
        <v>113</v>
      </c>
      <c r="AC185" s="3">
        <v>15000</v>
      </c>
      <c r="AD185" s="3">
        <v>10000</v>
      </c>
      <c r="AE185" s="3">
        <v>0</v>
      </c>
      <c r="AF185" s="9">
        <v>40</v>
      </c>
      <c r="AG185" s="9">
        <v>10000</v>
      </c>
      <c r="AH185" s="9">
        <v>10000</v>
      </c>
      <c r="AI185" s="9">
        <v>0</v>
      </c>
      <c r="AJ185" s="9">
        <v>0</v>
      </c>
    </row>
    <row r="186" spans="1:36" x14ac:dyDescent="0.2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147</v>
      </c>
      <c r="Y186" s="16">
        <v>214001011</v>
      </c>
      <c r="Z186" s="16">
        <v>0</v>
      </c>
      <c r="AA186" s="3">
        <v>1</v>
      </c>
      <c r="AB186" s="9" t="s">
        <v>122</v>
      </c>
      <c r="AC186" s="3">
        <v>15000</v>
      </c>
      <c r="AD186" s="3">
        <v>10000</v>
      </c>
      <c r="AE186" s="3">
        <v>0</v>
      </c>
      <c r="AF186" s="9">
        <v>40</v>
      </c>
      <c r="AG186" s="9">
        <v>10000</v>
      </c>
      <c r="AH186" s="9">
        <v>10000</v>
      </c>
      <c r="AI186" s="9">
        <v>0</v>
      </c>
      <c r="AJ186" s="9">
        <v>0</v>
      </c>
    </row>
    <row r="187" spans="1:36" x14ac:dyDescent="0.2">
      <c r="A187" s="3">
        <v>72106</v>
      </c>
      <c r="B187" s="3">
        <v>7</v>
      </c>
      <c r="C187" s="3" t="s">
        <v>123</v>
      </c>
      <c r="D187" s="3"/>
      <c r="F187" s="3"/>
      <c r="G187" s="3">
        <v>12</v>
      </c>
      <c r="H187" s="3">
        <v>1</v>
      </c>
      <c r="I187" s="3" t="s">
        <v>81</v>
      </c>
      <c r="J187" s="3">
        <v>0</v>
      </c>
      <c r="K187" s="3"/>
      <c r="L187" s="3">
        <v>800001011</v>
      </c>
      <c r="M187" s="3">
        <v>1</v>
      </c>
      <c r="N187" s="3">
        <v>100</v>
      </c>
      <c r="O187" s="3">
        <v>0</v>
      </c>
      <c r="P187" s="3">
        <v>15</v>
      </c>
      <c r="Q187" s="3">
        <v>0</v>
      </c>
      <c r="R187" s="3">
        <v>36</v>
      </c>
      <c r="S187" s="3">
        <v>-5500</v>
      </c>
      <c r="T187" s="3">
        <v>1</v>
      </c>
      <c r="U187" s="3">
        <v>0</v>
      </c>
      <c r="V187" s="3" t="s">
        <v>110</v>
      </c>
      <c r="W187" s="3" t="s">
        <v>111</v>
      </c>
      <c r="X187" s="3" t="s">
        <v>125</v>
      </c>
      <c r="Y187" s="16">
        <v>201002011</v>
      </c>
      <c r="Z187" s="16">
        <v>0</v>
      </c>
      <c r="AA187" s="3">
        <v>1</v>
      </c>
      <c r="AB187" s="9" t="s">
        <v>83</v>
      </c>
      <c r="AC187" s="3">
        <v>15000</v>
      </c>
      <c r="AD187" s="3">
        <v>10000</v>
      </c>
      <c r="AE187" s="3">
        <v>0</v>
      </c>
      <c r="AF187" s="9">
        <v>40</v>
      </c>
      <c r="AG187" s="9">
        <v>10000</v>
      </c>
      <c r="AH187" s="9">
        <v>10000</v>
      </c>
      <c r="AI187" s="9">
        <v>0</v>
      </c>
      <c r="AJ187" s="9">
        <v>0</v>
      </c>
    </row>
    <row r="188" spans="1:36" x14ac:dyDescent="0.2">
      <c r="A188" s="3">
        <v>72107</v>
      </c>
      <c r="B188" s="3">
        <v>7</v>
      </c>
      <c r="C188" s="3" t="s">
        <v>126</v>
      </c>
      <c r="D188" s="3"/>
      <c r="F188" s="3"/>
      <c r="G188" s="3">
        <v>12</v>
      </c>
      <c r="H188" s="3">
        <v>1</v>
      </c>
      <c r="I188" s="3" t="s">
        <v>81</v>
      </c>
      <c r="J188" s="3">
        <v>0</v>
      </c>
      <c r="K188" s="3" t="s">
        <v>121</v>
      </c>
      <c r="L188" s="3">
        <v>800014011</v>
      </c>
      <c r="M188" s="3">
        <v>1</v>
      </c>
      <c r="N188" s="3">
        <v>100</v>
      </c>
      <c r="O188" s="3">
        <v>0</v>
      </c>
      <c r="P188" s="3">
        <v>15</v>
      </c>
      <c r="Q188" s="3">
        <v>0</v>
      </c>
      <c r="R188" s="3">
        <v>36</v>
      </c>
      <c r="S188" s="3">
        <v>-5500</v>
      </c>
      <c r="T188" s="3">
        <v>1</v>
      </c>
      <c r="U188" s="3">
        <v>0</v>
      </c>
      <c r="V188" s="3" t="s">
        <v>110</v>
      </c>
      <c r="W188" s="3" t="s">
        <v>111</v>
      </c>
      <c r="X188" s="3" t="s">
        <v>125</v>
      </c>
      <c r="Y188" s="16">
        <v>214001011</v>
      </c>
      <c r="Z188" s="16">
        <v>0</v>
      </c>
      <c r="AA188" s="3">
        <v>1</v>
      </c>
      <c r="AB188" s="9" t="s">
        <v>83</v>
      </c>
      <c r="AC188" s="3">
        <v>15000</v>
      </c>
      <c r="AD188" s="3">
        <v>10000</v>
      </c>
      <c r="AE188" s="3">
        <v>0</v>
      </c>
      <c r="AF188" s="9">
        <v>40</v>
      </c>
      <c r="AG188" s="9">
        <v>10000</v>
      </c>
      <c r="AH188" s="9">
        <v>10000</v>
      </c>
      <c r="AI188" s="9">
        <v>0</v>
      </c>
      <c r="AJ188" s="9">
        <v>0</v>
      </c>
    </row>
    <row r="189" spans="1:36" x14ac:dyDescent="0.2">
      <c r="A189" s="3">
        <v>72108</v>
      </c>
      <c r="B189" s="3">
        <v>7</v>
      </c>
      <c r="C189" s="3" t="s">
        <v>127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128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3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125</v>
      </c>
      <c r="Y189" s="16">
        <v>204001001</v>
      </c>
      <c r="Z189" s="16">
        <v>0</v>
      </c>
      <c r="AA189" s="3">
        <v>1</v>
      </c>
      <c r="AB189" s="9" t="s">
        <v>83</v>
      </c>
      <c r="AC189" s="3">
        <v>15000</v>
      </c>
      <c r="AD189" s="3">
        <v>10000</v>
      </c>
      <c r="AE189" s="3">
        <v>0</v>
      </c>
      <c r="AF189" s="9">
        <v>40</v>
      </c>
      <c r="AG189" s="9">
        <v>10000</v>
      </c>
      <c r="AH189" s="9">
        <v>10000</v>
      </c>
      <c r="AI189" s="9">
        <v>0</v>
      </c>
      <c r="AJ189" s="9">
        <v>0</v>
      </c>
    </row>
    <row r="190" spans="1:36" x14ac:dyDescent="0.2">
      <c r="A190" s="3">
        <v>72109</v>
      </c>
      <c r="B190" s="3">
        <v>7</v>
      </c>
      <c r="C190" s="3" t="s">
        <v>129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130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3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125</v>
      </c>
      <c r="Y190" s="16">
        <v>204002001</v>
      </c>
      <c r="Z190" s="16">
        <v>0</v>
      </c>
      <c r="AA190" s="3">
        <v>1</v>
      </c>
      <c r="AB190" s="9" t="s">
        <v>83</v>
      </c>
      <c r="AC190" s="3">
        <v>15000</v>
      </c>
      <c r="AD190" s="3">
        <v>10000</v>
      </c>
      <c r="AE190" s="3">
        <v>0</v>
      </c>
      <c r="AF190" s="9">
        <v>40</v>
      </c>
      <c r="AG190" s="9">
        <v>10000</v>
      </c>
      <c r="AH190" s="9">
        <v>10000</v>
      </c>
      <c r="AI190" s="9">
        <v>0</v>
      </c>
      <c r="AJ190" s="9">
        <v>0</v>
      </c>
    </row>
    <row r="191" spans="1:36" x14ac:dyDescent="0.2">
      <c r="A191" s="3">
        <v>72110</v>
      </c>
      <c r="B191" s="3">
        <v>7</v>
      </c>
      <c r="C191" s="3" t="s">
        <v>131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132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3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125</v>
      </c>
      <c r="Y191" s="16">
        <v>211001001</v>
      </c>
      <c r="Z191" s="16">
        <v>0</v>
      </c>
      <c r="AA191" s="3">
        <v>1</v>
      </c>
      <c r="AB191" s="9" t="s">
        <v>83</v>
      </c>
      <c r="AC191" s="3">
        <v>15000</v>
      </c>
      <c r="AD191" s="3">
        <v>10000</v>
      </c>
      <c r="AE191" s="3">
        <v>0</v>
      </c>
      <c r="AF191" s="9">
        <v>40</v>
      </c>
      <c r="AG191" s="9">
        <v>10000</v>
      </c>
      <c r="AH191" s="9">
        <v>10000</v>
      </c>
      <c r="AI191" s="9">
        <v>0</v>
      </c>
      <c r="AJ191" s="9">
        <v>0</v>
      </c>
    </row>
    <row r="192" spans="1:36" x14ac:dyDescent="0.2">
      <c r="A192" s="3">
        <v>72111</v>
      </c>
      <c r="B192" s="3">
        <v>7</v>
      </c>
      <c r="C192" s="3" t="s">
        <v>133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134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3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125</v>
      </c>
      <c r="Y192" s="16">
        <v>211002001</v>
      </c>
      <c r="Z192" s="16">
        <v>0</v>
      </c>
      <c r="AA192" s="3">
        <v>1</v>
      </c>
      <c r="AB192" s="9" t="s">
        <v>83</v>
      </c>
      <c r="AC192" s="3">
        <v>15000</v>
      </c>
      <c r="AD192" s="3">
        <v>10000</v>
      </c>
      <c r="AE192" s="3">
        <v>0</v>
      </c>
      <c r="AF192" s="9">
        <v>40</v>
      </c>
      <c r="AG192" s="9">
        <v>10000</v>
      </c>
      <c r="AH192" s="9">
        <v>10000</v>
      </c>
      <c r="AI192" s="9">
        <v>0</v>
      </c>
      <c r="AJ192" s="9">
        <v>0</v>
      </c>
    </row>
    <row r="193" spans="1:36" x14ac:dyDescent="0.2">
      <c r="A193" s="3">
        <v>72112</v>
      </c>
      <c r="B193" s="3">
        <v>7</v>
      </c>
      <c r="C193" s="3" t="s">
        <v>135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145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3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125</v>
      </c>
      <c r="Y193" s="16">
        <v>203001001</v>
      </c>
      <c r="Z193" s="16">
        <v>0</v>
      </c>
      <c r="AA193" s="3">
        <v>1</v>
      </c>
      <c r="AB193" s="9" t="s">
        <v>83</v>
      </c>
      <c r="AC193" s="3">
        <v>15000</v>
      </c>
      <c r="AD193" s="3">
        <v>10000</v>
      </c>
      <c r="AE193" s="3">
        <v>0</v>
      </c>
      <c r="AF193" s="9">
        <v>40</v>
      </c>
      <c r="AG193" s="9">
        <v>10000</v>
      </c>
      <c r="AH193" s="9">
        <v>10000</v>
      </c>
      <c r="AI193" s="9">
        <v>0</v>
      </c>
      <c r="AJ193" s="9">
        <v>0</v>
      </c>
    </row>
    <row r="194" spans="1:36" x14ac:dyDescent="0.2">
      <c r="A194" s="3">
        <v>72113</v>
      </c>
      <c r="B194" s="3">
        <v>7</v>
      </c>
      <c r="C194" s="3" t="s">
        <v>137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138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3">
        <v>1496</v>
      </c>
      <c r="S194" s="3">
        <v>-5500</v>
      </c>
      <c r="T194" s="3">
        <v>1</v>
      </c>
      <c r="U194" s="3">
        <v>0</v>
      </c>
      <c r="V194" s="3" t="s">
        <v>110</v>
      </c>
      <c r="W194" s="3" t="s">
        <v>111</v>
      </c>
      <c r="X194" s="3" t="s">
        <v>139</v>
      </c>
      <c r="Y194" s="16">
        <v>203002011</v>
      </c>
      <c r="Z194" s="16">
        <v>0</v>
      </c>
      <c r="AA194" s="3">
        <v>1</v>
      </c>
      <c r="AB194" s="9" t="s">
        <v>140</v>
      </c>
      <c r="AC194" s="3">
        <v>15000</v>
      </c>
      <c r="AD194" s="3">
        <v>10000</v>
      </c>
      <c r="AE194" s="3">
        <v>0</v>
      </c>
      <c r="AF194" s="9">
        <v>40</v>
      </c>
      <c r="AG194" s="9">
        <v>10000</v>
      </c>
      <c r="AH194" s="9">
        <v>10000</v>
      </c>
      <c r="AI194" s="9">
        <v>0</v>
      </c>
      <c r="AJ194" s="9">
        <v>0</v>
      </c>
    </row>
    <row r="195" spans="1:36" x14ac:dyDescent="0.2">
      <c r="A195" s="3">
        <v>72114</v>
      </c>
      <c r="B195" s="3">
        <v>7</v>
      </c>
      <c r="C195" s="3" t="s">
        <v>141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142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3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125</v>
      </c>
      <c r="Y195" s="16">
        <v>203003001</v>
      </c>
      <c r="Z195" s="16">
        <v>0</v>
      </c>
      <c r="AA195" s="3">
        <v>1</v>
      </c>
      <c r="AB195" s="9" t="s">
        <v>83</v>
      </c>
      <c r="AC195" s="3">
        <v>15000</v>
      </c>
      <c r="AD195" s="3">
        <v>10000</v>
      </c>
      <c r="AE195" s="3">
        <v>0</v>
      </c>
      <c r="AF195" s="9">
        <v>40</v>
      </c>
      <c r="AG195" s="9">
        <v>10000</v>
      </c>
      <c r="AH195" s="9">
        <v>10000</v>
      </c>
      <c r="AI195" s="9">
        <v>0</v>
      </c>
      <c r="AJ195" s="9">
        <v>0</v>
      </c>
    </row>
    <row r="196" spans="1:36" x14ac:dyDescent="0.2">
      <c r="A196" s="3">
        <v>72115</v>
      </c>
      <c r="B196" s="3">
        <v>7</v>
      </c>
      <c r="C196" s="3" t="s">
        <v>143</v>
      </c>
      <c r="D196" s="3"/>
      <c r="F196" s="3"/>
      <c r="G196" s="3">
        <v>12</v>
      </c>
      <c r="H196" s="3">
        <v>1</v>
      </c>
      <c r="I196" s="3" t="s">
        <v>81</v>
      </c>
      <c r="J196" s="3">
        <v>0</v>
      </c>
      <c r="K196" s="3"/>
      <c r="L196" s="3">
        <v>800001011</v>
      </c>
      <c r="M196" s="3">
        <v>1</v>
      </c>
      <c r="N196" s="3">
        <v>100</v>
      </c>
      <c r="O196" s="3">
        <v>0</v>
      </c>
      <c r="P196" s="3">
        <v>15</v>
      </c>
      <c r="Q196" s="3">
        <v>0</v>
      </c>
      <c r="R196" s="3">
        <v>36</v>
      </c>
      <c r="S196" s="3">
        <v>-5500</v>
      </c>
      <c r="T196" s="3">
        <v>1</v>
      </c>
      <c r="U196" s="3">
        <v>0</v>
      </c>
      <c r="V196" s="3" t="s">
        <v>110</v>
      </c>
      <c r="W196" s="3" t="s">
        <v>111</v>
      </c>
      <c r="X196" s="3" t="s">
        <v>125</v>
      </c>
      <c r="Y196" s="16">
        <v>201002011</v>
      </c>
      <c r="Z196" s="16">
        <v>0</v>
      </c>
      <c r="AA196" s="3">
        <v>1</v>
      </c>
      <c r="AB196" s="9" t="s">
        <v>83</v>
      </c>
      <c r="AC196" s="3">
        <v>15000</v>
      </c>
      <c r="AD196" s="3">
        <v>10000</v>
      </c>
      <c r="AE196" s="3">
        <v>0</v>
      </c>
      <c r="AF196" s="9">
        <v>40</v>
      </c>
      <c r="AG196" s="9">
        <v>10000</v>
      </c>
      <c r="AH196" s="9">
        <v>10000</v>
      </c>
      <c r="AI196" s="9">
        <v>0</v>
      </c>
      <c r="AJ196" s="9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146</v>
      </c>
      <c r="L197" s="3">
        <v>800001011</v>
      </c>
      <c r="M197" s="3">
        <v>1</v>
      </c>
      <c r="N197" s="3">
        <v>70</v>
      </c>
      <c r="O197" s="3">
        <v>0</v>
      </c>
      <c r="P197" s="3">
        <v>8</v>
      </c>
      <c r="Q197" s="3">
        <v>1</v>
      </c>
      <c r="R197" s="3">
        <v>25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148</v>
      </c>
      <c r="Y197" s="16">
        <v>201001011</v>
      </c>
      <c r="Z197" s="16">
        <v>0</v>
      </c>
      <c r="AA197" s="3">
        <v>1</v>
      </c>
      <c r="AB197" s="9" t="s">
        <v>113</v>
      </c>
      <c r="AC197" s="3">
        <v>10000</v>
      </c>
      <c r="AD197" s="3">
        <v>10000</v>
      </c>
      <c r="AE197" s="3">
        <v>25010001</v>
      </c>
      <c r="AF197" s="9">
        <v>40</v>
      </c>
      <c r="AG197" s="9">
        <v>10000</v>
      </c>
      <c r="AH197" s="9">
        <v>10000</v>
      </c>
      <c r="AI197" s="9">
        <v>50</v>
      </c>
      <c r="AJ197" s="9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28</v>
      </c>
      <c r="Q198" s="3">
        <v>4</v>
      </c>
      <c r="R198" s="3">
        <v>58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148</v>
      </c>
      <c r="Y198" s="16">
        <v>201002011</v>
      </c>
      <c r="Z198" s="16">
        <v>0</v>
      </c>
      <c r="AA198" s="3">
        <v>1</v>
      </c>
      <c r="AB198" s="9" t="s">
        <v>116</v>
      </c>
      <c r="AC198" s="3">
        <v>10000</v>
      </c>
      <c r="AD198" s="3">
        <v>10000</v>
      </c>
      <c r="AE198" s="3">
        <v>25010001</v>
      </c>
      <c r="AF198" s="9">
        <v>40</v>
      </c>
      <c r="AG198" s="9">
        <v>3000</v>
      </c>
      <c r="AH198" s="9">
        <v>10000</v>
      </c>
      <c r="AI198" s="9">
        <v>10</v>
      </c>
      <c r="AJ198" s="9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8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149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148</v>
      </c>
      <c r="Y199" s="23">
        <v>201001011</v>
      </c>
      <c r="Z199" s="23">
        <v>0</v>
      </c>
      <c r="AA199" s="2">
        <v>1</v>
      </c>
      <c r="AB199" s="18" t="s">
        <v>113</v>
      </c>
      <c r="AC199" s="2">
        <v>10000</v>
      </c>
      <c r="AD199" s="2">
        <v>10000</v>
      </c>
      <c r="AE199" s="2">
        <v>25010001</v>
      </c>
      <c r="AF199" s="9">
        <v>40</v>
      </c>
      <c r="AG199" s="9">
        <v>0</v>
      </c>
      <c r="AH199" s="9">
        <v>0</v>
      </c>
      <c r="AI199" s="9">
        <v>0</v>
      </c>
      <c r="AJ199" s="9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8</v>
      </c>
      <c r="Q200" s="3">
        <v>1</v>
      </c>
      <c r="R200" s="3">
        <v>25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148</v>
      </c>
      <c r="Y200" s="16">
        <v>201004011</v>
      </c>
      <c r="Z200" s="16">
        <v>0</v>
      </c>
      <c r="AA200" s="3">
        <v>1</v>
      </c>
      <c r="AB200" s="9" t="s">
        <v>113</v>
      </c>
      <c r="AC200" s="3">
        <v>10000</v>
      </c>
      <c r="AD200" s="3">
        <v>10000</v>
      </c>
      <c r="AE200" s="3">
        <v>25010001</v>
      </c>
      <c r="AF200" s="9">
        <v>40</v>
      </c>
      <c r="AG200" s="9">
        <v>10000</v>
      </c>
      <c r="AH200" s="9">
        <v>10000</v>
      </c>
      <c r="AI200" s="9">
        <v>80</v>
      </c>
      <c r="AJ200" s="9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10</v>
      </c>
      <c r="Q201" s="3">
        <v>1</v>
      </c>
      <c r="R201" s="3">
        <v>30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148</v>
      </c>
      <c r="Y201" s="16">
        <v>214001011</v>
      </c>
      <c r="Z201" s="16">
        <v>0</v>
      </c>
      <c r="AA201" s="3">
        <v>1</v>
      </c>
      <c r="AB201" s="9" t="s">
        <v>122</v>
      </c>
      <c r="AC201" s="3">
        <v>10000</v>
      </c>
      <c r="AD201" s="3">
        <v>10000</v>
      </c>
      <c r="AE201" s="3">
        <v>25010001</v>
      </c>
      <c r="AF201" s="9">
        <v>40</v>
      </c>
      <c r="AG201" s="9">
        <v>10000</v>
      </c>
      <c r="AH201" s="9">
        <v>10000</v>
      </c>
      <c r="AI201" s="9">
        <v>40</v>
      </c>
      <c r="AJ201" s="9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8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150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125</v>
      </c>
      <c r="Y202" s="23">
        <v>201001011</v>
      </c>
      <c r="Z202" s="23">
        <v>0</v>
      </c>
      <c r="AA202" s="2">
        <v>1</v>
      </c>
      <c r="AB202" s="18" t="s">
        <v>83</v>
      </c>
      <c r="AC202" s="2">
        <v>10000</v>
      </c>
      <c r="AD202" s="2">
        <v>10000</v>
      </c>
      <c r="AE202" s="2">
        <v>25010001</v>
      </c>
      <c r="AF202" s="9">
        <v>40</v>
      </c>
      <c r="AG202" s="9">
        <v>0</v>
      </c>
      <c r="AH202" s="9">
        <v>0</v>
      </c>
      <c r="AI202" s="9">
        <v>0</v>
      </c>
      <c r="AJ202" s="9">
        <v>0</v>
      </c>
    </row>
    <row r="203" spans="1:36" x14ac:dyDescent="0.2">
      <c r="A203" s="2">
        <v>121107</v>
      </c>
      <c r="B203" s="2">
        <v>12</v>
      </c>
      <c r="C203" s="2" t="s">
        <v>126</v>
      </c>
      <c r="D203" s="2"/>
      <c r="E203" s="18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151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125</v>
      </c>
      <c r="Y203" s="23">
        <v>201001011</v>
      </c>
      <c r="Z203" s="23">
        <v>0</v>
      </c>
      <c r="AA203" s="2">
        <v>1</v>
      </c>
      <c r="AB203" s="18" t="s">
        <v>83</v>
      </c>
      <c r="AC203" s="2">
        <v>10000</v>
      </c>
      <c r="AD203" s="2">
        <v>10000</v>
      </c>
      <c r="AE203" s="2">
        <v>25010001</v>
      </c>
      <c r="AF203" s="9">
        <v>40</v>
      </c>
      <c r="AG203" s="9">
        <v>0</v>
      </c>
      <c r="AH203" s="9">
        <v>0</v>
      </c>
      <c r="AI203" s="9">
        <v>0</v>
      </c>
      <c r="AJ203" s="9">
        <v>0</v>
      </c>
    </row>
    <row r="204" spans="1:36" x14ac:dyDescent="0.2">
      <c r="A204" s="2">
        <v>121108</v>
      </c>
      <c r="B204" s="2">
        <v>12</v>
      </c>
      <c r="C204" s="2" t="s">
        <v>127</v>
      </c>
      <c r="D204" s="2"/>
      <c r="E204" s="18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151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125</v>
      </c>
      <c r="Y204" s="23">
        <v>201001011</v>
      </c>
      <c r="Z204" s="23">
        <v>0</v>
      </c>
      <c r="AA204" s="2">
        <v>1</v>
      </c>
      <c r="AB204" s="18" t="s">
        <v>83</v>
      </c>
      <c r="AC204" s="2">
        <v>10000</v>
      </c>
      <c r="AD204" s="2">
        <v>10000</v>
      </c>
      <c r="AE204" s="2">
        <v>25010001</v>
      </c>
      <c r="AF204" s="9">
        <v>40</v>
      </c>
      <c r="AG204" s="9">
        <v>0</v>
      </c>
      <c r="AH204" s="9">
        <v>0</v>
      </c>
      <c r="AI204" s="9">
        <v>0</v>
      </c>
      <c r="AJ204" s="9">
        <v>0</v>
      </c>
    </row>
    <row r="205" spans="1:36" x14ac:dyDescent="0.2">
      <c r="A205" s="2">
        <v>121109</v>
      </c>
      <c r="B205" s="2">
        <v>12</v>
      </c>
      <c r="C205" s="2" t="s">
        <v>129</v>
      </c>
      <c r="D205" s="2"/>
      <c r="E205" s="18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151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125</v>
      </c>
      <c r="Y205" s="23">
        <v>201001011</v>
      </c>
      <c r="Z205" s="23">
        <v>0</v>
      </c>
      <c r="AA205" s="2">
        <v>1</v>
      </c>
      <c r="AB205" s="18" t="s">
        <v>83</v>
      </c>
      <c r="AC205" s="2">
        <v>10000</v>
      </c>
      <c r="AD205" s="2">
        <v>10000</v>
      </c>
      <c r="AE205" s="2">
        <v>25010001</v>
      </c>
      <c r="AF205" s="9">
        <v>40</v>
      </c>
      <c r="AG205" s="9">
        <v>0</v>
      </c>
      <c r="AH205" s="9">
        <v>0</v>
      </c>
      <c r="AI205" s="9">
        <v>0</v>
      </c>
      <c r="AJ205" s="9">
        <v>0</v>
      </c>
    </row>
    <row r="206" spans="1:36" x14ac:dyDescent="0.2">
      <c r="A206" s="2">
        <v>121110</v>
      </c>
      <c r="B206" s="2">
        <v>12</v>
      </c>
      <c r="C206" s="2" t="s">
        <v>131</v>
      </c>
      <c r="D206" s="2"/>
      <c r="E206" s="18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152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125</v>
      </c>
      <c r="Y206" s="23">
        <v>201001011</v>
      </c>
      <c r="Z206" s="23">
        <v>0</v>
      </c>
      <c r="AA206" s="2">
        <v>1</v>
      </c>
      <c r="AB206" s="18" t="s">
        <v>83</v>
      </c>
      <c r="AC206" s="2">
        <v>10000</v>
      </c>
      <c r="AD206" s="2">
        <v>10000</v>
      </c>
      <c r="AE206" s="2">
        <v>25010001</v>
      </c>
      <c r="AF206" s="9">
        <v>40</v>
      </c>
      <c r="AG206" s="9">
        <v>0</v>
      </c>
      <c r="AH206" s="9">
        <v>0</v>
      </c>
      <c r="AI206" s="9">
        <v>0</v>
      </c>
      <c r="AJ206" s="9">
        <v>0</v>
      </c>
    </row>
    <row r="207" spans="1:36" x14ac:dyDescent="0.2">
      <c r="A207" s="2">
        <v>121111</v>
      </c>
      <c r="B207" s="2">
        <v>12</v>
      </c>
      <c r="C207" s="2" t="s">
        <v>133</v>
      </c>
      <c r="D207" s="2"/>
      <c r="E207" s="18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152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125</v>
      </c>
      <c r="Y207" s="23">
        <v>201001011</v>
      </c>
      <c r="Z207" s="23">
        <v>0</v>
      </c>
      <c r="AA207" s="2">
        <v>1</v>
      </c>
      <c r="AB207" s="18" t="s">
        <v>83</v>
      </c>
      <c r="AC207" s="2">
        <v>10000</v>
      </c>
      <c r="AD207" s="2">
        <v>10000</v>
      </c>
      <c r="AE207" s="2">
        <v>25010001</v>
      </c>
      <c r="AF207" s="9">
        <v>40</v>
      </c>
      <c r="AG207" s="9">
        <v>0</v>
      </c>
      <c r="AH207" s="9">
        <v>0</v>
      </c>
      <c r="AI207" s="9">
        <v>0</v>
      </c>
      <c r="AJ207" s="9">
        <v>0</v>
      </c>
    </row>
    <row r="208" spans="1:36" x14ac:dyDescent="0.2">
      <c r="A208" s="2">
        <v>121112</v>
      </c>
      <c r="B208" s="2">
        <v>12</v>
      </c>
      <c r="C208" s="2" t="s">
        <v>135</v>
      </c>
      <c r="D208" s="2"/>
      <c r="E208" s="18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152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125</v>
      </c>
      <c r="Y208" s="23">
        <v>201001011</v>
      </c>
      <c r="Z208" s="23">
        <v>0</v>
      </c>
      <c r="AA208" s="2">
        <v>1</v>
      </c>
      <c r="AB208" s="18" t="s">
        <v>83</v>
      </c>
      <c r="AC208" s="2">
        <v>10000</v>
      </c>
      <c r="AD208" s="2">
        <v>10000</v>
      </c>
      <c r="AE208" s="2">
        <v>25010001</v>
      </c>
      <c r="AF208" s="9">
        <v>40</v>
      </c>
      <c r="AG208" s="9">
        <v>0</v>
      </c>
      <c r="AH208" s="9">
        <v>0</v>
      </c>
      <c r="AI208" s="9">
        <v>0</v>
      </c>
      <c r="AJ208" s="9">
        <v>0</v>
      </c>
    </row>
    <row r="209" spans="1:36" ht="14.25" x14ac:dyDescent="0.2">
      <c r="A209" s="3">
        <v>121113</v>
      </c>
      <c r="B209" s="3">
        <v>12</v>
      </c>
      <c r="C209" s="3" t="s">
        <v>137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138</v>
      </c>
      <c r="L209" s="3">
        <v>800003021</v>
      </c>
      <c r="M209" s="3">
        <v>1</v>
      </c>
      <c r="N209" s="3">
        <v>500</v>
      </c>
      <c r="O209" s="3">
        <v>0</v>
      </c>
      <c r="P209" s="3">
        <v>50</v>
      </c>
      <c r="Q209" s="3">
        <v>6</v>
      </c>
      <c r="R209" s="22">
        <v>712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139</v>
      </c>
      <c r="Y209" s="16">
        <v>203002011</v>
      </c>
      <c r="Z209" s="16">
        <v>0</v>
      </c>
      <c r="AA209" s="3">
        <v>1</v>
      </c>
      <c r="AB209" s="9" t="s">
        <v>140</v>
      </c>
      <c r="AC209" s="3">
        <v>10000</v>
      </c>
      <c r="AD209" s="3">
        <v>10000</v>
      </c>
      <c r="AE209" s="3">
        <v>25010001</v>
      </c>
      <c r="AF209" s="9">
        <v>40</v>
      </c>
      <c r="AG209" s="9">
        <v>1000</v>
      </c>
      <c r="AH209" s="9">
        <v>5000</v>
      </c>
      <c r="AI209" s="9">
        <v>2</v>
      </c>
      <c r="AJ209" s="9">
        <v>0</v>
      </c>
    </row>
    <row r="210" spans="1:36" x14ac:dyDescent="0.2">
      <c r="A210" s="2">
        <v>121114</v>
      </c>
      <c r="B210" s="2">
        <v>12</v>
      </c>
      <c r="C210" s="2" t="s">
        <v>141</v>
      </c>
      <c r="D210" s="2"/>
      <c r="E210" s="18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153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125</v>
      </c>
      <c r="Y210" s="23">
        <v>201001011</v>
      </c>
      <c r="Z210" s="23">
        <v>0</v>
      </c>
      <c r="AA210" s="2">
        <v>1</v>
      </c>
      <c r="AB210" s="18" t="s">
        <v>83</v>
      </c>
      <c r="AC210" s="2">
        <v>10000</v>
      </c>
      <c r="AD210" s="2">
        <v>10000</v>
      </c>
      <c r="AE210" s="2">
        <v>0</v>
      </c>
      <c r="AF210" s="9">
        <v>40</v>
      </c>
      <c r="AG210" s="9">
        <v>0</v>
      </c>
      <c r="AH210" s="9">
        <v>0</v>
      </c>
      <c r="AI210" s="9">
        <v>0</v>
      </c>
      <c r="AJ210" s="9">
        <v>0</v>
      </c>
    </row>
    <row r="211" spans="1:36" x14ac:dyDescent="0.2">
      <c r="A211" s="2">
        <v>121115</v>
      </c>
      <c r="B211" s="2">
        <v>12</v>
      </c>
      <c r="C211" s="2" t="s">
        <v>143</v>
      </c>
      <c r="D211" s="2"/>
      <c r="E211" s="18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153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125</v>
      </c>
      <c r="Y211" s="23">
        <v>201001011</v>
      </c>
      <c r="Z211" s="23">
        <v>0</v>
      </c>
      <c r="AA211" s="2">
        <v>1</v>
      </c>
      <c r="AB211" s="18" t="s">
        <v>83</v>
      </c>
      <c r="AC211" s="2">
        <v>10000</v>
      </c>
      <c r="AD211" s="2">
        <v>10000</v>
      </c>
      <c r="AE211" s="2">
        <v>0</v>
      </c>
      <c r="AF211" s="9">
        <v>40</v>
      </c>
      <c r="AG211" s="9">
        <v>0</v>
      </c>
      <c r="AH211" s="9">
        <v>0</v>
      </c>
      <c r="AI211" s="9">
        <v>0</v>
      </c>
      <c r="AJ211" s="9">
        <v>0</v>
      </c>
    </row>
    <row r="212" spans="1:36" ht="14.25" x14ac:dyDescent="0.2">
      <c r="A212" s="19">
        <v>999001</v>
      </c>
      <c r="B212" s="19">
        <v>1</v>
      </c>
      <c r="C212" s="19" t="s">
        <v>154</v>
      </c>
      <c r="D212" s="19"/>
      <c r="E212" s="20"/>
      <c r="F212" s="19"/>
      <c r="G212" s="19">
        <v>1</v>
      </c>
      <c r="H212" s="19">
        <v>1</v>
      </c>
      <c r="I212" s="21">
        <v>0</v>
      </c>
      <c r="J212" s="19">
        <v>0</v>
      </c>
      <c r="K212" s="19" t="s">
        <v>119</v>
      </c>
      <c r="L212" s="19">
        <v>800001041</v>
      </c>
      <c r="M212" s="19">
        <v>1</v>
      </c>
      <c r="N212" s="19">
        <v>100</v>
      </c>
      <c r="O212" s="19">
        <v>0</v>
      </c>
      <c r="P212" s="19">
        <v>5</v>
      </c>
      <c r="Q212" s="19">
        <v>0</v>
      </c>
      <c r="R212" s="19">
        <v>10000</v>
      </c>
      <c r="S212" s="19">
        <v>-5000</v>
      </c>
      <c r="T212" s="19">
        <v>1</v>
      </c>
      <c r="U212" s="19">
        <v>100</v>
      </c>
      <c r="V212" s="19" t="s">
        <v>110</v>
      </c>
      <c r="W212" s="19" t="s">
        <v>111</v>
      </c>
      <c r="X212" s="19" t="s">
        <v>155</v>
      </c>
      <c r="Y212" s="24">
        <v>201004011</v>
      </c>
      <c r="Z212" s="24">
        <v>0</v>
      </c>
      <c r="AA212" s="19">
        <v>1</v>
      </c>
      <c r="AB212" s="19" t="s">
        <v>83</v>
      </c>
      <c r="AC212" s="19">
        <v>10000</v>
      </c>
      <c r="AD212" s="19">
        <v>10000</v>
      </c>
      <c r="AE212" s="19">
        <v>0</v>
      </c>
      <c r="AF212" s="19">
        <v>40</v>
      </c>
      <c r="AG212" s="19">
        <v>3000</v>
      </c>
      <c r="AH212" s="19">
        <v>6000</v>
      </c>
      <c r="AI212" s="19">
        <v>0</v>
      </c>
      <c r="AJ212" s="19">
        <v>0</v>
      </c>
    </row>
    <row r="213" spans="1:36" ht="14.25" x14ac:dyDescent="0.2">
      <c r="A213" s="19">
        <v>999002</v>
      </c>
      <c r="B213" s="19">
        <v>1</v>
      </c>
      <c r="C213" s="19" t="s">
        <v>156</v>
      </c>
      <c r="D213" s="19"/>
      <c r="E213" s="20"/>
      <c r="F213" s="19"/>
      <c r="G213" s="19">
        <v>1</v>
      </c>
      <c r="H213" s="19">
        <v>1</v>
      </c>
      <c r="I213" s="21">
        <v>0</v>
      </c>
      <c r="J213" s="19">
        <v>0</v>
      </c>
      <c r="K213" s="19" t="s">
        <v>115</v>
      </c>
      <c r="L213" s="19">
        <v>800001021</v>
      </c>
      <c r="M213" s="19">
        <v>1</v>
      </c>
      <c r="N213" s="19">
        <v>100</v>
      </c>
      <c r="O213" s="19">
        <v>0</v>
      </c>
      <c r="P213" s="19">
        <v>5</v>
      </c>
      <c r="Q213" s="19">
        <v>0</v>
      </c>
      <c r="R213" s="19">
        <v>10000</v>
      </c>
      <c r="S213" s="19">
        <v>-5000</v>
      </c>
      <c r="T213" s="19">
        <v>1</v>
      </c>
      <c r="U213" s="19">
        <v>100</v>
      </c>
      <c r="V213" s="19" t="s">
        <v>110</v>
      </c>
      <c r="W213" s="19" t="s">
        <v>111</v>
      </c>
      <c r="X213" s="19" t="s">
        <v>155</v>
      </c>
      <c r="Y213" s="24">
        <v>201002011</v>
      </c>
      <c r="Z213" s="24">
        <v>0</v>
      </c>
      <c r="AA213" s="19">
        <v>1</v>
      </c>
      <c r="AB213" s="19" t="s">
        <v>83</v>
      </c>
      <c r="AC213" s="19">
        <v>10000</v>
      </c>
      <c r="AD213" s="19">
        <v>10000</v>
      </c>
      <c r="AE213" s="19">
        <v>0</v>
      </c>
      <c r="AF213" s="19">
        <v>40</v>
      </c>
      <c r="AG213" s="19">
        <v>3000</v>
      </c>
      <c r="AH213" s="19">
        <v>6000</v>
      </c>
      <c r="AI213" s="19">
        <v>0</v>
      </c>
      <c r="AJ213" s="19">
        <v>0</v>
      </c>
    </row>
    <row r="214" spans="1:36" ht="14.25" x14ac:dyDescent="0.2">
      <c r="A214" s="19">
        <v>999003</v>
      </c>
      <c r="B214" s="19">
        <v>1</v>
      </c>
      <c r="C214" s="19" t="s">
        <v>157</v>
      </c>
      <c r="D214" s="19"/>
      <c r="E214" s="20"/>
      <c r="F214" s="19"/>
      <c r="G214" s="19">
        <v>1</v>
      </c>
      <c r="H214" s="19">
        <v>1</v>
      </c>
      <c r="I214" s="21">
        <v>0</v>
      </c>
      <c r="J214" s="19">
        <v>0</v>
      </c>
      <c r="K214" s="19" t="s">
        <v>119</v>
      </c>
      <c r="L214" s="19">
        <v>800001041</v>
      </c>
      <c r="M214" s="19">
        <v>1</v>
      </c>
      <c r="N214" s="19">
        <v>100</v>
      </c>
      <c r="O214" s="19">
        <v>0</v>
      </c>
      <c r="P214" s="19">
        <v>5</v>
      </c>
      <c r="Q214" s="19">
        <v>0</v>
      </c>
      <c r="R214" s="19">
        <v>10</v>
      </c>
      <c r="S214" s="19">
        <v>-5000</v>
      </c>
      <c r="T214" s="19">
        <v>1</v>
      </c>
      <c r="U214" s="19">
        <v>100</v>
      </c>
      <c r="V214" s="19" t="s">
        <v>110</v>
      </c>
      <c r="W214" s="19" t="s">
        <v>111</v>
      </c>
      <c r="X214" s="19" t="s">
        <v>155</v>
      </c>
      <c r="Y214" s="24">
        <v>201002011</v>
      </c>
      <c r="Z214" s="24">
        <v>0</v>
      </c>
      <c r="AA214" s="19">
        <v>1</v>
      </c>
      <c r="AB214" s="19" t="s">
        <v>83</v>
      </c>
      <c r="AC214" s="19">
        <v>10000</v>
      </c>
      <c r="AD214" s="19">
        <v>10000</v>
      </c>
      <c r="AE214" s="19">
        <v>0</v>
      </c>
      <c r="AF214" s="19">
        <v>40</v>
      </c>
      <c r="AG214" s="19">
        <v>3000</v>
      </c>
      <c r="AH214" s="19">
        <v>6000</v>
      </c>
      <c r="AI214" s="19">
        <v>0</v>
      </c>
      <c r="AJ214" s="19">
        <v>0</v>
      </c>
    </row>
    <row r="215" spans="1:36" ht="14.25" x14ac:dyDescent="0.2">
      <c r="A215" s="19">
        <v>999004</v>
      </c>
      <c r="B215" s="19">
        <v>1</v>
      </c>
      <c r="C215" s="19" t="s">
        <v>158</v>
      </c>
      <c r="D215" s="19"/>
      <c r="E215" s="20"/>
      <c r="F215" s="19"/>
      <c r="G215" s="19">
        <v>1</v>
      </c>
      <c r="H215" s="19">
        <v>1</v>
      </c>
      <c r="I215" s="21">
        <v>0</v>
      </c>
      <c r="J215" s="19">
        <v>0</v>
      </c>
      <c r="K215" s="19" t="s">
        <v>115</v>
      </c>
      <c r="L215" s="19">
        <v>800001021</v>
      </c>
      <c r="M215" s="19">
        <v>1</v>
      </c>
      <c r="N215" s="19">
        <v>100</v>
      </c>
      <c r="O215" s="19">
        <v>0</v>
      </c>
      <c r="P215" s="19">
        <v>5</v>
      </c>
      <c r="Q215" s="19">
        <v>0</v>
      </c>
      <c r="R215" s="19">
        <v>10</v>
      </c>
      <c r="S215" s="19">
        <v>-5000</v>
      </c>
      <c r="T215" s="19">
        <v>1</v>
      </c>
      <c r="U215" s="19">
        <v>100</v>
      </c>
      <c r="V215" s="19" t="s">
        <v>110</v>
      </c>
      <c r="W215" s="19" t="s">
        <v>111</v>
      </c>
      <c r="X215" s="19" t="s">
        <v>155</v>
      </c>
      <c r="Y215" s="24">
        <v>201002011</v>
      </c>
      <c r="Z215" s="24">
        <v>0</v>
      </c>
      <c r="AA215" s="19">
        <v>1</v>
      </c>
      <c r="AB215" s="19" t="s">
        <v>83</v>
      </c>
      <c r="AC215" s="19">
        <v>10000</v>
      </c>
      <c r="AD215" s="19">
        <v>10000</v>
      </c>
      <c r="AE215" s="19">
        <v>0</v>
      </c>
      <c r="AF215" s="19">
        <v>40</v>
      </c>
      <c r="AG215" s="19">
        <v>3000</v>
      </c>
      <c r="AH215" s="19">
        <v>6000</v>
      </c>
      <c r="AI215" s="19">
        <v>0</v>
      </c>
      <c r="AJ215" s="19">
        <v>0</v>
      </c>
    </row>
    <row r="216" spans="1:36" ht="14.25" x14ac:dyDescent="0.2">
      <c r="A216" s="19">
        <v>9999001</v>
      </c>
      <c r="B216" s="19">
        <v>21</v>
      </c>
      <c r="C216" s="19" t="s">
        <v>159</v>
      </c>
      <c r="D216" s="19"/>
      <c r="E216" s="19"/>
      <c r="F216" s="19"/>
      <c r="G216" s="19">
        <v>12</v>
      </c>
      <c r="H216" s="19">
        <v>1</v>
      </c>
      <c r="I216" s="21">
        <v>0</v>
      </c>
      <c r="J216" s="19">
        <v>0</v>
      </c>
      <c r="K216" s="19" t="s">
        <v>146</v>
      </c>
      <c r="L216" s="19">
        <v>800001011</v>
      </c>
      <c r="M216" s="19">
        <v>1</v>
      </c>
      <c r="N216" s="19">
        <v>70</v>
      </c>
      <c r="O216" s="19">
        <v>0</v>
      </c>
      <c r="P216" s="19">
        <v>7</v>
      </c>
      <c r="Q216" s="19">
        <v>0</v>
      </c>
      <c r="R216" s="19">
        <v>300</v>
      </c>
      <c r="S216" s="19">
        <v>-5000</v>
      </c>
      <c r="T216" s="19">
        <v>1</v>
      </c>
      <c r="U216" s="19">
        <v>0</v>
      </c>
      <c r="V216" s="19" t="s">
        <v>110</v>
      </c>
      <c r="W216" s="19" t="s">
        <v>111</v>
      </c>
      <c r="X216" s="19" t="s">
        <v>148</v>
      </c>
      <c r="Y216" s="24">
        <v>201001011</v>
      </c>
      <c r="Z216" s="24">
        <v>0</v>
      </c>
      <c r="AA216" s="19">
        <v>1</v>
      </c>
      <c r="AB216" s="19" t="s">
        <v>113</v>
      </c>
      <c r="AC216" s="19">
        <v>10000</v>
      </c>
      <c r="AD216" s="19">
        <v>10000</v>
      </c>
      <c r="AE216" s="19">
        <v>25010001</v>
      </c>
      <c r="AF216" s="19">
        <v>40</v>
      </c>
      <c r="AG216" s="19">
        <v>10000</v>
      </c>
      <c r="AH216" s="19">
        <v>10000</v>
      </c>
      <c r="AI216" s="19">
        <v>50</v>
      </c>
      <c r="AJ216" s="19">
        <v>0</v>
      </c>
    </row>
    <row r="217" spans="1:36" ht="14.25" x14ac:dyDescent="0.2">
      <c r="A217" s="19">
        <v>9999002</v>
      </c>
      <c r="B217" s="19">
        <v>21</v>
      </c>
      <c r="C217" s="19" t="s">
        <v>160</v>
      </c>
      <c r="D217" s="19"/>
      <c r="E217" s="19"/>
      <c r="F217" s="19"/>
      <c r="G217" s="19">
        <v>12</v>
      </c>
      <c r="H217" s="19">
        <v>1</v>
      </c>
      <c r="I217" s="21">
        <v>0</v>
      </c>
      <c r="J217" s="19">
        <v>0</v>
      </c>
      <c r="K217" s="19" t="s">
        <v>115</v>
      </c>
      <c r="L217" s="19">
        <v>800001021</v>
      </c>
      <c r="M217" s="19">
        <v>1</v>
      </c>
      <c r="N217" s="19">
        <v>200</v>
      </c>
      <c r="O217" s="19">
        <v>0</v>
      </c>
      <c r="P217" s="19">
        <v>15</v>
      </c>
      <c r="Q217" s="19">
        <v>2</v>
      </c>
      <c r="R217" s="19">
        <v>300</v>
      </c>
      <c r="S217" s="19">
        <v>-5000</v>
      </c>
      <c r="T217" s="19">
        <v>1</v>
      </c>
      <c r="U217" s="19">
        <v>250</v>
      </c>
      <c r="V217" s="19" t="s">
        <v>110</v>
      </c>
      <c r="W217" s="19" t="s">
        <v>111</v>
      </c>
      <c r="X217" s="19" t="s">
        <v>148</v>
      </c>
      <c r="Y217" s="24">
        <v>201002011</v>
      </c>
      <c r="Z217" s="24">
        <v>0</v>
      </c>
      <c r="AA217" s="19">
        <v>1</v>
      </c>
      <c r="AB217" s="19" t="s">
        <v>116</v>
      </c>
      <c r="AC217" s="19">
        <v>10000</v>
      </c>
      <c r="AD217" s="19">
        <v>10000</v>
      </c>
      <c r="AE217" s="19">
        <v>25010001</v>
      </c>
      <c r="AF217" s="19">
        <v>40</v>
      </c>
      <c r="AG217" s="19">
        <v>3000</v>
      </c>
      <c r="AH217" s="19">
        <v>10000</v>
      </c>
      <c r="AI217" s="19">
        <v>10</v>
      </c>
      <c r="AJ217" s="19">
        <v>0</v>
      </c>
    </row>
    <row r="218" spans="1:36" ht="14.25" x14ac:dyDescent="0.2">
      <c r="A218" s="19">
        <v>9999004</v>
      </c>
      <c r="B218" s="19">
        <v>21</v>
      </c>
      <c r="C218" s="19" t="s">
        <v>161</v>
      </c>
      <c r="D218" s="19"/>
      <c r="E218" s="19"/>
      <c r="F218" s="19"/>
      <c r="G218" s="19">
        <v>12</v>
      </c>
      <c r="H218" s="19">
        <v>1</v>
      </c>
      <c r="I218" s="21">
        <v>0</v>
      </c>
      <c r="J218" s="19">
        <v>0</v>
      </c>
      <c r="K218" s="19" t="s">
        <v>119</v>
      </c>
      <c r="L218" s="19">
        <v>800001041</v>
      </c>
      <c r="M218" s="19">
        <v>1</v>
      </c>
      <c r="N218" s="19">
        <v>70</v>
      </c>
      <c r="O218" s="19">
        <v>0</v>
      </c>
      <c r="P218" s="19">
        <v>9</v>
      </c>
      <c r="Q218" s="19">
        <v>0</v>
      </c>
      <c r="R218" s="19">
        <v>300</v>
      </c>
      <c r="S218" s="19">
        <v>-5000</v>
      </c>
      <c r="T218" s="19">
        <v>1</v>
      </c>
      <c r="U218" s="19">
        <v>0</v>
      </c>
      <c r="V218" s="19" t="s">
        <v>110</v>
      </c>
      <c r="W218" s="19" t="s">
        <v>111</v>
      </c>
      <c r="X218" s="19" t="s">
        <v>148</v>
      </c>
      <c r="Y218" s="24">
        <v>201004011</v>
      </c>
      <c r="Z218" s="24">
        <v>0</v>
      </c>
      <c r="AA218" s="19">
        <v>1</v>
      </c>
      <c r="AB218" s="19" t="s">
        <v>113</v>
      </c>
      <c r="AC218" s="19">
        <v>10000</v>
      </c>
      <c r="AD218" s="19">
        <v>10000</v>
      </c>
      <c r="AE218" s="19">
        <v>25010001</v>
      </c>
      <c r="AF218" s="19">
        <v>40</v>
      </c>
      <c r="AG218" s="19">
        <v>10000</v>
      </c>
      <c r="AH218" s="19">
        <v>10000</v>
      </c>
      <c r="AI218" s="19">
        <v>80</v>
      </c>
      <c r="AJ218" s="19">
        <v>10</v>
      </c>
    </row>
    <row r="219" spans="1:36" ht="14.25" x14ac:dyDescent="0.2">
      <c r="A219" s="19">
        <v>9999005</v>
      </c>
      <c r="B219" s="19">
        <v>21</v>
      </c>
      <c r="C219" s="19" t="s">
        <v>162</v>
      </c>
      <c r="D219" s="19"/>
      <c r="E219" s="19"/>
      <c r="F219" s="19"/>
      <c r="G219" s="19">
        <v>12</v>
      </c>
      <c r="H219" s="19">
        <v>1</v>
      </c>
      <c r="I219" s="21">
        <v>0</v>
      </c>
      <c r="J219" s="19">
        <v>0</v>
      </c>
      <c r="K219" s="19" t="s">
        <v>121</v>
      </c>
      <c r="L219" s="19">
        <v>800014011</v>
      </c>
      <c r="M219" s="19">
        <v>1</v>
      </c>
      <c r="N219" s="19">
        <v>125</v>
      </c>
      <c r="O219" s="19">
        <v>0</v>
      </c>
      <c r="P219" s="19">
        <v>8</v>
      </c>
      <c r="Q219" s="19">
        <v>1</v>
      </c>
      <c r="R219" s="19">
        <v>300</v>
      </c>
      <c r="S219" s="19">
        <v>-5000</v>
      </c>
      <c r="T219" s="19">
        <v>1</v>
      </c>
      <c r="U219" s="19">
        <v>0</v>
      </c>
      <c r="V219" s="19" t="s">
        <v>110</v>
      </c>
      <c r="W219" s="19" t="s">
        <v>111</v>
      </c>
      <c r="X219" s="19" t="s">
        <v>148</v>
      </c>
      <c r="Y219" s="24">
        <v>214001011</v>
      </c>
      <c r="Z219" s="24">
        <v>0</v>
      </c>
      <c r="AA219" s="19">
        <v>1</v>
      </c>
      <c r="AB219" s="19" t="s">
        <v>122</v>
      </c>
      <c r="AC219" s="19">
        <v>10000</v>
      </c>
      <c r="AD219" s="19">
        <v>10000</v>
      </c>
      <c r="AE219" s="19">
        <v>25010001</v>
      </c>
      <c r="AF219" s="19">
        <v>40</v>
      </c>
      <c r="AG219" s="19">
        <v>10000</v>
      </c>
      <c r="AH219" s="19">
        <v>10000</v>
      </c>
      <c r="AI219" s="19">
        <v>40</v>
      </c>
      <c r="AJ219" s="19">
        <v>0</v>
      </c>
    </row>
    <row r="220" spans="1:36" ht="14.25" x14ac:dyDescent="0.2">
      <c r="A220" s="19">
        <v>9999013</v>
      </c>
      <c r="B220" s="19">
        <v>21</v>
      </c>
      <c r="C220" s="19" t="s">
        <v>137</v>
      </c>
      <c r="D220" s="19"/>
      <c r="E220" s="19"/>
      <c r="F220" s="19"/>
      <c r="G220" s="19">
        <v>12</v>
      </c>
      <c r="H220" s="19">
        <v>1</v>
      </c>
      <c r="I220" s="21">
        <v>0</v>
      </c>
      <c r="J220" s="19">
        <v>0</v>
      </c>
      <c r="K220" s="19" t="s">
        <v>163</v>
      </c>
      <c r="L220" s="19">
        <v>800003021</v>
      </c>
      <c r="M220" s="19">
        <v>1</v>
      </c>
      <c r="N220" s="19">
        <v>500</v>
      </c>
      <c r="O220" s="19">
        <v>0</v>
      </c>
      <c r="P220" s="19">
        <v>30</v>
      </c>
      <c r="Q220" s="19">
        <v>4</v>
      </c>
      <c r="R220" s="19">
        <v>1760</v>
      </c>
      <c r="S220" s="19">
        <v>-5000</v>
      </c>
      <c r="T220" s="19">
        <v>1</v>
      </c>
      <c r="U220" s="19">
        <v>30000</v>
      </c>
      <c r="V220" s="19" t="s">
        <v>110</v>
      </c>
      <c r="W220" s="19" t="s">
        <v>111</v>
      </c>
      <c r="X220" s="19" t="s">
        <v>139</v>
      </c>
      <c r="Y220" s="24">
        <v>203002011</v>
      </c>
      <c r="Z220" s="24">
        <v>0</v>
      </c>
      <c r="AA220" s="19">
        <v>1</v>
      </c>
      <c r="AB220" s="19" t="s">
        <v>140</v>
      </c>
      <c r="AC220" s="19">
        <v>10000</v>
      </c>
      <c r="AD220" s="19">
        <v>10000</v>
      </c>
      <c r="AE220" s="19">
        <v>25010001</v>
      </c>
      <c r="AF220" s="19">
        <v>40</v>
      </c>
      <c r="AG220" s="19">
        <v>1000</v>
      </c>
      <c r="AH220" s="19">
        <v>5000</v>
      </c>
      <c r="AI220" s="19">
        <v>2</v>
      </c>
      <c r="AJ220" s="19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146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147</v>
      </c>
      <c r="Y221" s="16">
        <v>201001011</v>
      </c>
      <c r="Z221" s="16">
        <v>0</v>
      </c>
      <c r="AA221" s="3">
        <v>1</v>
      </c>
      <c r="AB221" s="9" t="s">
        <v>113</v>
      </c>
      <c r="AC221" s="3">
        <v>15000</v>
      </c>
      <c r="AD221" s="3">
        <v>10000</v>
      </c>
      <c r="AE221" s="3">
        <v>25010001</v>
      </c>
      <c r="AF221" s="9">
        <v>40</v>
      </c>
      <c r="AG221" s="9">
        <v>10000</v>
      </c>
      <c r="AH221" s="9">
        <v>10000</v>
      </c>
      <c r="AI221" s="9">
        <v>50</v>
      </c>
      <c r="AJ221" s="9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147</v>
      </c>
      <c r="Y222" s="16">
        <v>201002011</v>
      </c>
      <c r="Z222" s="16">
        <v>0</v>
      </c>
      <c r="AA222" s="3">
        <v>1</v>
      </c>
      <c r="AB222" s="9" t="s">
        <v>116</v>
      </c>
      <c r="AC222" s="3">
        <v>15000</v>
      </c>
      <c r="AD222" s="3">
        <v>10000</v>
      </c>
      <c r="AE222" s="3">
        <v>25010001</v>
      </c>
      <c r="AF222" s="9">
        <v>40</v>
      </c>
      <c r="AG222" s="9">
        <v>3000</v>
      </c>
      <c r="AH222" s="9">
        <v>10000</v>
      </c>
      <c r="AI222" s="9">
        <v>15</v>
      </c>
      <c r="AJ222" s="9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8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147</v>
      </c>
      <c r="Y223" s="23">
        <v>201001011</v>
      </c>
      <c r="Z223" s="23">
        <v>0</v>
      </c>
      <c r="AA223" s="2">
        <v>1</v>
      </c>
      <c r="AB223" s="18" t="s">
        <v>113</v>
      </c>
      <c r="AC223" s="2">
        <v>15000</v>
      </c>
      <c r="AD223" s="2">
        <v>10000</v>
      </c>
      <c r="AE223" s="2">
        <v>25010001</v>
      </c>
      <c r="AF223" s="9">
        <v>40</v>
      </c>
      <c r="AG223" s="9">
        <v>0</v>
      </c>
      <c r="AH223" s="9">
        <v>0</v>
      </c>
      <c r="AI223" s="9">
        <v>0</v>
      </c>
      <c r="AJ223" s="9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147</v>
      </c>
      <c r="Y224" s="16">
        <v>201004011</v>
      </c>
      <c r="Z224" s="16">
        <v>0</v>
      </c>
      <c r="AA224" s="3">
        <v>1</v>
      </c>
      <c r="AB224" s="9" t="s">
        <v>113</v>
      </c>
      <c r="AC224" s="3">
        <v>15000</v>
      </c>
      <c r="AD224" s="3">
        <v>10000</v>
      </c>
      <c r="AE224" s="3">
        <v>25010001</v>
      </c>
      <c r="AF224" s="9">
        <v>40</v>
      </c>
      <c r="AG224" s="9">
        <v>10000</v>
      </c>
      <c r="AH224" s="9">
        <v>10000</v>
      </c>
      <c r="AI224" s="9">
        <v>80</v>
      </c>
      <c r="AJ224" s="9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147</v>
      </c>
      <c r="Y225" s="16">
        <v>214001011</v>
      </c>
      <c r="Z225" s="16">
        <v>0</v>
      </c>
      <c r="AA225" s="3">
        <v>1</v>
      </c>
      <c r="AB225" s="9" t="s">
        <v>122</v>
      </c>
      <c r="AC225" s="3">
        <v>15000</v>
      </c>
      <c r="AD225" s="3">
        <v>10000</v>
      </c>
      <c r="AE225" s="3">
        <v>25010001</v>
      </c>
      <c r="AF225" s="9">
        <v>40</v>
      </c>
      <c r="AG225" s="9">
        <v>10000</v>
      </c>
      <c r="AH225" s="9">
        <v>10000</v>
      </c>
      <c r="AI225" s="9">
        <v>40</v>
      </c>
      <c r="AJ225" s="9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8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125</v>
      </c>
      <c r="Y226" s="2">
        <v>201002011</v>
      </c>
      <c r="Z226" s="23">
        <v>0</v>
      </c>
      <c r="AA226" s="2">
        <v>1</v>
      </c>
      <c r="AB226" s="18" t="s">
        <v>83</v>
      </c>
      <c r="AC226" s="2">
        <v>15000</v>
      </c>
      <c r="AD226" s="2">
        <v>10000</v>
      </c>
      <c r="AE226" s="2">
        <v>25010001</v>
      </c>
      <c r="AF226" s="9">
        <v>40</v>
      </c>
      <c r="AG226" s="9">
        <v>0</v>
      </c>
      <c r="AH226" s="9">
        <v>0</v>
      </c>
      <c r="AI226" s="9">
        <v>0</v>
      </c>
      <c r="AJ226" s="9">
        <v>0</v>
      </c>
    </row>
    <row r="227" spans="1:36" x14ac:dyDescent="0.2">
      <c r="A227" s="2">
        <v>301107</v>
      </c>
      <c r="B227" s="2">
        <v>30</v>
      </c>
      <c r="C227" s="2" t="s">
        <v>126</v>
      </c>
      <c r="D227" s="2"/>
      <c r="E227" s="18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125</v>
      </c>
      <c r="Y227" s="2">
        <v>214001011</v>
      </c>
      <c r="Z227" s="23">
        <v>0</v>
      </c>
      <c r="AA227" s="2">
        <v>1</v>
      </c>
      <c r="AB227" s="18" t="s">
        <v>83</v>
      </c>
      <c r="AC227" s="2">
        <v>15000</v>
      </c>
      <c r="AD227" s="2">
        <v>10000</v>
      </c>
      <c r="AE227" s="2">
        <v>25010001</v>
      </c>
      <c r="AF227" s="9">
        <v>40</v>
      </c>
      <c r="AG227" s="9">
        <v>0</v>
      </c>
      <c r="AH227" s="9">
        <v>0</v>
      </c>
      <c r="AI227" s="9">
        <v>0</v>
      </c>
      <c r="AJ227" s="9">
        <v>0</v>
      </c>
    </row>
    <row r="228" spans="1:36" ht="14.25" x14ac:dyDescent="0.2">
      <c r="A228" s="3">
        <v>301108</v>
      </c>
      <c r="B228" s="3">
        <v>30</v>
      </c>
      <c r="C228" s="3" t="s">
        <v>127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128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22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125</v>
      </c>
      <c r="Y228" s="16">
        <v>204001001</v>
      </c>
      <c r="Z228" s="16">
        <v>0</v>
      </c>
      <c r="AA228" s="3">
        <v>1</v>
      </c>
      <c r="AB228" s="9" t="s">
        <v>83</v>
      </c>
      <c r="AC228" s="3">
        <v>15000</v>
      </c>
      <c r="AD228" s="3">
        <v>10000</v>
      </c>
      <c r="AE228" s="3">
        <v>25010001</v>
      </c>
      <c r="AF228" s="9">
        <v>40</v>
      </c>
      <c r="AG228" s="9">
        <v>0</v>
      </c>
      <c r="AH228" s="9">
        <v>0</v>
      </c>
      <c r="AI228" s="9">
        <v>0</v>
      </c>
      <c r="AJ228" s="9">
        <v>0</v>
      </c>
    </row>
    <row r="229" spans="1:36" ht="14.25" x14ac:dyDescent="0.2">
      <c r="A229" s="3">
        <v>301109</v>
      </c>
      <c r="B229" s="3">
        <v>30</v>
      </c>
      <c r="C229" s="3" t="s">
        <v>129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130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22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125</v>
      </c>
      <c r="Y229" s="16">
        <v>204002001</v>
      </c>
      <c r="Z229" s="16">
        <v>0</v>
      </c>
      <c r="AA229" s="3">
        <v>1</v>
      </c>
      <c r="AB229" s="9" t="s">
        <v>83</v>
      </c>
      <c r="AC229" s="3">
        <v>15000</v>
      </c>
      <c r="AD229" s="3">
        <v>10000</v>
      </c>
      <c r="AE229" s="3">
        <v>25010001</v>
      </c>
      <c r="AF229" s="9">
        <v>40</v>
      </c>
      <c r="AG229" s="9">
        <v>0</v>
      </c>
      <c r="AH229" s="9">
        <v>0</v>
      </c>
      <c r="AI229" s="9">
        <v>0</v>
      </c>
      <c r="AJ229" s="9">
        <v>0</v>
      </c>
    </row>
    <row r="230" spans="1:36" ht="14.25" x14ac:dyDescent="0.2">
      <c r="A230" s="3">
        <v>301110</v>
      </c>
      <c r="B230" s="3">
        <v>30</v>
      </c>
      <c r="C230" s="3" t="s">
        <v>131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132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22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125</v>
      </c>
      <c r="Y230" s="16">
        <v>211001001</v>
      </c>
      <c r="Z230" s="16">
        <v>0</v>
      </c>
      <c r="AA230" s="3">
        <v>1</v>
      </c>
      <c r="AB230" s="9" t="s">
        <v>83</v>
      </c>
      <c r="AC230" s="3">
        <v>15000</v>
      </c>
      <c r="AD230" s="3">
        <v>10000</v>
      </c>
      <c r="AE230" s="3">
        <v>25010001</v>
      </c>
      <c r="AF230" s="9">
        <v>40</v>
      </c>
      <c r="AG230" s="9">
        <v>0</v>
      </c>
      <c r="AH230" s="9">
        <v>0</v>
      </c>
      <c r="AI230" s="9">
        <v>0</v>
      </c>
      <c r="AJ230" s="9">
        <v>0</v>
      </c>
    </row>
    <row r="231" spans="1:36" ht="14.25" x14ac:dyDescent="0.2">
      <c r="A231" s="3">
        <v>301111</v>
      </c>
      <c r="B231" s="3">
        <v>30</v>
      </c>
      <c r="C231" s="3" t="s">
        <v>133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134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22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125</v>
      </c>
      <c r="Y231" s="16">
        <v>211002001</v>
      </c>
      <c r="Z231" s="16">
        <v>0</v>
      </c>
      <c r="AA231" s="3">
        <v>1</v>
      </c>
      <c r="AB231" s="9" t="s">
        <v>83</v>
      </c>
      <c r="AC231" s="3">
        <v>15000</v>
      </c>
      <c r="AD231" s="3">
        <v>10000</v>
      </c>
      <c r="AE231" s="3">
        <v>25010001</v>
      </c>
      <c r="AF231" s="9">
        <v>40</v>
      </c>
      <c r="AG231" s="9">
        <v>0</v>
      </c>
      <c r="AH231" s="9">
        <v>0</v>
      </c>
      <c r="AI231" s="9">
        <v>0</v>
      </c>
      <c r="AJ231" s="9">
        <v>0</v>
      </c>
    </row>
    <row r="232" spans="1:36" ht="14.25" x14ac:dyDescent="0.2">
      <c r="A232" s="3">
        <v>301112</v>
      </c>
      <c r="B232" s="3">
        <v>30</v>
      </c>
      <c r="C232" s="3" t="s">
        <v>135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145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22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125</v>
      </c>
      <c r="Y232" s="16">
        <v>203001001</v>
      </c>
      <c r="Z232" s="16">
        <v>0</v>
      </c>
      <c r="AA232" s="3">
        <v>1</v>
      </c>
      <c r="AB232" s="9" t="s">
        <v>83</v>
      </c>
      <c r="AC232" s="3">
        <v>15000</v>
      </c>
      <c r="AD232" s="3">
        <v>10000</v>
      </c>
      <c r="AE232" s="3">
        <v>25010001</v>
      </c>
      <c r="AF232" s="9">
        <v>40</v>
      </c>
      <c r="AG232" s="9">
        <v>0</v>
      </c>
      <c r="AH232" s="9">
        <v>0</v>
      </c>
      <c r="AI232" s="9">
        <v>0</v>
      </c>
      <c r="AJ232" s="9">
        <v>0</v>
      </c>
    </row>
    <row r="233" spans="1:36" ht="14.25" x14ac:dyDescent="0.2">
      <c r="A233" s="3">
        <v>301113</v>
      </c>
      <c r="B233" s="3">
        <v>30</v>
      </c>
      <c r="C233" s="3" t="s">
        <v>137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138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22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139</v>
      </c>
      <c r="Y233" s="16">
        <v>203002011</v>
      </c>
      <c r="Z233" s="16">
        <v>0</v>
      </c>
      <c r="AA233" s="3">
        <v>1</v>
      </c>
      <c r="AB233" s="9" t="s">
        <v>140</v>
      </c>
      <c r="AC233" s="3">
        <v>15000</v>
      </c>
      <c r="AD233" s="3">
        <v>10000</v>
      </c>
      <c r="AE233" s="3">
        <v>25010001</v>
      </c>
      <c r="AF233" s="9">
        <v>40</v>
      </c>
      <c r="AG233" s="9">
        <v>1000</v>
      </c>
      <c r="AH233" s="9">
        <v>5000</v>
      </c>
      <c r="AI233" s="9">
        <v>40</v>
      </c>
      <c r="AJ233" s="9">
        <v>0</v>
      </c>
    </row>
    <row r="234" spans="1:36" ht="14.25" x14ac:dyDescent="0.2">
      <c r="A234" s="3">
        <v>301114</v>
      </c>
      <c r="B234" s="3">
        <v>30</v>
      </c>
      <c r="C234" s="3" t="s">
        <v>141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142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22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125</v>
      </c>
      <c r="Y234" s="16">
        <v>203003001</v>
      </c>
      <c r="Z234" s="16">
        <v>0</v>
      </c>
      <c r="AA234" s="3">
        <v>1</v>
      </c>
      <c r="AB234" s="9" t="s">
        <v>83</v>
      </c>
      <c r="AC234" s="3">
        <v>15000</v>
      </c>
      <c r="AD234" s="3">
        <v>10000</v>
      </c>
      <c r="AE234" s="3">
        <v>0</v>
      </c>
      <c r="AF234" s="9">
        <v>40</v>
      </c>
      <c r="AG234" s="9">
        <v>0</v>
      </c>
      <c r="AH234" s="9">
        <v>0</v>
      </c>
      <c r="AI234" s="9">
        <v>0</v>
      </c>
      <c r="AJ234" s="9">
        <v>0</v>
      </c>
    </row>
    <row r="235" spans="1:36" x14ac:dyDescent="0.2">
      <c r="A235" s="2">
        <v>301115</v>
      </c>
      <c r="B235" s="2">
        <v>30</v>
      </c>
      <c r="C235" s="2" t="s">
        <v>143</v>
      </c>
      <c r="D235" s="2"/>
      <c r="E235" s="18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125</v>
      </c>
      <c r="Y235" s="23">
        <v>201002011</v>
      </c>
      <c r="Z235" s="23">
        <v>0</v>
      </c>
      <c r="AA235" s="2">
        <v>1</v>
      </c>
      <c r="AB235" s="18" t="s">
        <v>83</v>
      </c>
      <c r="AC235" s="2">
        <v>15000</v>
      </c>
      <c r="AD235" s="2">
        <v>10000</v>
      </c>
      <c r="AE235" s="2">
        <v>0</v>
      </c>
      <c r="AF235" s="9">
        <v>40</v>
      </c>
      <c r="AG235" s="9">
        <v>0</v>
      </c>
      <c r="AH235" s="9">
        <v>0</v>
      </c>
      <c r="AI235" s="9">
        <v>0</v>
      </c>
      <c r="AJ235" s="9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146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164</v>
      </c>
      <c r="Y236" s="16">
        <v>201001011</v>
      </c>
      <c r="Z236" s="16">
        <v>0</v>
      </c>
      <c r="AA236" s="3">
        <v>1</v>
      </c>
      <c r="AB236" s="9" t="s">
        <v>113</v>
      </c>
      <c r="AC236" s="3">
        <v>15000</v>
      </c>
      <c r="AD236" s="3">
        <v>10000</v>
      </c>
      <c r="AE236" s="3">
        <v>25010001</v>
      </c>
      <c r="AF236" s="9">
        <v>40</v>
      </c>
      <c r="AG236" s="9">
        <v>10000</v>
      </c>
      <c r="AH236" s="9">
        <v>10000</v>
      </c>
      <c r="AI236" s="9">
        <v>50</v>
      </c>
      <c r="AJ236" s="9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164</v>
      </c>
      <c r="Y237" s="16">
        <v>201002011</v>
      </c>
      <c r="Z237" s="16">
        <v>0</v>
      </c>
      <c r="AA237" s="3">
        <v>1</v>
      </c>
      <c r="AB237" s="9" t="s">
        <v>116</v>
      </c>
      <c r="AC237" s="3">
        <v>15000</v>
      </c>
      <c r="AD237" s="3">
        <v>10000</v>
      </c>
      <c r="AE237" s="3">
        <v>25010001</v>
      </c>
      <c r="AF237" s="9">
        <v>40</v>
      </c>
      <c r="AG237" s="9">
        <v>3000</v>
      </c>
      <c r="AH237" s="9">
        <v>10000</v>
      </c>
      <c r="AI237" s="9">
        <v>15</v>
      </c>
      <c r="AJ237" s="9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8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149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164</v>
      </c>
      <c r="Y238" s="23">
        <v>201002011</v>
      </c>
      <c r="Z238" s="23">
        <v>0</v>
      </c>
      <c r="AA238" s="2">
        <v>1</v>
      </c>
      <c r="AB238" s="18" t="s">
        <v>113</v>
      </c>
      <c r="AC238" s="2">
        <v>15000</v>
      </c>
      <c r="AD238" s="2">
        <v>10000</v>
      </c>
      <c r="AE238" s="2">
        <v>25010001</v>
      </c>
      <c r="AF238" s="9">
        <v>40</v>
      </c>
      <c r="AG238" s="9">
        <v>0</v>
      </c>
      <c r="AH238" s="9">
        <v>0</v>
      </c>
      <c r="AI238" s="9">
        <v>0</v>
      </c>
      <c r="AJ238" s="9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164</v>
      </c>
      <c r="Y239" s="16">
        <v>201004011</v>
      </c>
      <c r="Z239" s="16">
        <v>0</v>
      </c>
      <c r="AA239" s="3">
        <v>1</v>
      </c>
      <c r="AB239" s="9" t="s">
        <v>113</v>
      </c>
      <c r="AC239" s="3">
        <v>15000</v>
      </c>
      <c r="AD239" s="3">
        <v>10000</v>
      </c>
      <c r="AE239" s="3">
        <v>25010001</v>
      </c>
      <c r="AF239" s="9">
        <v>40</v>
      </c>
      <c r="AG239" s="9">
        <v>10000</v>
      </c>
      <c r="AH239" s="9">
        <v>10000</v>
      </c>
      <c r="AI239" s="9">
        <v>80</v>
      </c>
      <c r="AJ239" s="9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164</v>
      </c>
      <c r="Y240" s="16">
        <v>214001011</v>
      </c>
      <c r="Z240" s="16">
        <v>0</v>
      </c>
      <c r="AA240" s="3">
        <v>1</v>
      </c>
      <c r="AB240" s="9" t="s">
        <v>122</v>
      </c>
      <c r="AC240" s="3">
        <v>15000</v>
      </c>
      <c r="AD240" s="3">
        <v>10000</v>
      </c>
      <c r="AE240" s="3">
        <v>25010001</v>
      </c>
      <c r="AF240" s="9">
        <v>40</v>
      </c>
      <c r="AG240" s="9">
        <v>10000</v>
      </c>
      <c r="AH240" s="9">
        <v>10000</v>
      </c>
      <c r="AI240" s="9">
        <v>40</v>
      </c>
      <c r="AJ240" s="9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8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150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125</v>
      </c>
      <c r="Y241" s="23">
        <v>201002011</v>
      </c>
      <c r="Z241" s="23">
        <v>0</v>
      </c>
      <c r="AA241" s="2">
        <v>1</v>
      </c>
      <c r="AB241" s="18" t="s">
        <v>83</v>
      </c>
      <c r="AC241" s="2">
        <v>15000</v>
      </c>
      <c r="AD241" s="2">
        <v>10000</v>
      </c>
      <c r="AE241" s="2">
        <v>25010001</v>
      </c>
      <c r="AF241" s="9">
        <v>40</v>
      </c>
      <c r="AG241" s="9">
        <v>0</v>
      </c>
      <c r="AH241" s="9">
        <v>0</v>
      </c>
      <c r="AI241" s="9">
        <v>0</v>
      </c>
      <c r="AJ241" s="9">
        <v>0</v>
      </c>
    </row>
    <row r="242" spans="1:36" x14ac:dyDescent="0.2">
      <c r="A242" s="2">
        <v>302107</v>
      </c>
      <c r="B242" s="2">
        <v>30</v>
      </c>
      <c r="C242" s="2" t="s">
        <v>126</v>
      </c>
      <c r="D242" s="2"/>
      <c r="E242" s="18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151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125</v>
      </c>
      <c r="Y242" s="23">
        <v>201002011</v>
      </c>
      <c r="Z242" s="23">
        <v>0</v>
      </c>
      <c r="AA242" s="2">
        <v>1</v>
      </c>
      <c r="AB242" s="18" t="s">
        <v>83</v>
      </c>
      <c r="AC242" s="2">
        <v>15000</v>
      </c>
      <c r="AD242" s="2">
        <v>10000</v>
      </c>
      <c r="AE242" s="2">
        <v>25010001</v>
      </c>
      <c r="AF242" s="9">
        <v>40</v>
      </c>
      <c r="AG242" s="9">
        <v>0</v>
      </c>
      <c r="AH242" s="9">
        <v>0</v>
      </c>
      <c r="AI242" s="9">
        <v>0</v>
      </c>
      <c r="AJ242" s="9">
        <v>0</v>
      </c>
    </row>
    <row r="243" spans="1:36" x14ac:dyDescent="0.2">
      <c r="A243" s="2">
        <v>302108</v>
      </c>
      <c r="B243" s="2">
        <v>30</v>
      </c>
      <c r="C243" s="2" t="s">
        <v>127</v>
      </c>
      <c r="D243" s="2"/>
      <c r="E243" s="18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151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125</v>
      </c>
      <c r="Y243" s="23">
        <v>201002011</v>
      </c>
      <c r="Z243" s="23">
        <v>0</v>
      </c>
      <c r="AA243" s="2">
        <v>1</v>
      </c>
      <c r="AB243" s="18" t="s">
        <v>83</v>
      </c>
      <c r="AC243" s="2">
        <v>15000</v>
      </c>
      <c r="AD243" s="2">
        <v>10000</v>
      </c>
      <c r="AE243" s="2">
        <v>25010001</v>
      </c>
      <c r="AF243" s="9">
        <v>40</v>
      </c>
      <c r="AG243" s="9">
        <v>0</v>
      </c>
      <c r="AH243" s="9">
        <v>0</v>
      </c>
      <c r="AI243" s="9">
        <v>0</v>
      </c>
      <c r="AJ243" s="9">
        <v>0</v>
      </c>
    </row>
    <row r="244" spans="1:36" x14ac:dyDescent="0.2">
      <c r="A244" s="2">
        <v>302109</v>
      </c>
      <c r="B244" s="2">
        <v>30</v>
      </c>
      <c r="C244" s="2" t="s">
        <v>129</v>
      </c>
      <c r="D244" s="2"/>
      <c r="E244" s="18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151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125</v>
      </c>
      <c r="Y244" s="23">
        <v>201002011</v>
      </c>
      <c r="Z244" s="23">
        <v>0</v>
      </c>
      <c r="AA244" s="2">
        <v>1</v>
      </c>
      <c r="AB244" s="18" t="s">
        <v>83</v>
      </c>
      <c r="AC244" s="2">
        <v>15000</v>
      </c>
      <c r="AD244" s="2">
        <v>10000</v>
      </c>
      <c r="AE244" s="2">
        <v>25010001</v>
      </c>
      <c r="AF244" s="9">
        <v>40</v>
      </c>
      <c r="AG244" s="9">
        <v>0</v>
      </c>
      <c r="AH244" s="9">
        <v>0</v>
      </c>
      <c r="AI244" s="9">
        <v>0</v>
      </c>
      <c r="AJ244" s="9">
        <v>0</v>
      </c>
    </row>
    <row r="245" spans="1:36" x14ac:dyDescent="0.2">
      <c r="A245" s="2">
        <v>302110</v>
      </c>
      <c r="B245" s="2">
        <v>30</v>
      </c>
      <c r="C245" s="2" t="s">
        <v>131</v>
      </c>
      <c r="D245" s="2"/>
      <c r="E245" s="18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152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125</v>
      </c>
      <c r="Y245" s="23">
        <v>201002011</v>
      </c>
      <c r="Z245" s="23">
        <v>0</v>
      </c>
      <c r="AA245" s="2">
        <v>1</v>
      </c>
      <c r="AB245" s="18" t="s">
        <v>83</v>
      </c>
      <c r="AC245" s="2">
        <v>15000</v>
      </c>
      <c r="AD245" s="2">
        <v>10000</v>
      </c>
      <c r="AE245" s="2">
        <v>25010001</v>
      </c>
      <c r="AF245" s="9">
        <v>40</v>
      </c>
      <c r="AG245" s="9">
        <v>0</v>
      </c>
      <c r="AH245" s="9">
        <v>0</v>
      </c>
      <c r="AI245" s="9">
        <v>0</v>
      </c>
      <c r="AJ245" s="9">
        <v>0</v>
      </c>
    </row>
    <row r="246" spans="1:36" x14ac:dyDescent="0.2">
      <c r="A246" s="2">
        <v>302111</v>
      </c>
      <c r="B246" s="2">
        <v>30</v>
      </c>
      <c r="C246" s="2" t="s">
        <v>133</v>
      </c>
      <c r="D246" s="2"/>
      <c r="E246" s="18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152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125</v>
      </c>
      <c r="Y246" s="23">
        <v>201002011</v>
      </c>
      <c r="Z246" s="23">
        <v>0</v>
      </c>
      <c r="AA246" s="2">
        <v>1</v>
      </c>
      <c r="AB246" s="18" t="s">
        <v>83</v>
      </c>
      <c r="AC246" s="2">
        <v>15000</v>
      </c>
      <c r="AD246" s="2">
        <v>10000</v>
      </c>
      <c r="AE246" s="2">
        <v>25010001</v>
      </c>
      <c r="AF246" s="9">
        <v>40</v>
      </c>
      <c r="AG246" s="9">
        <v>0</v>
      </c>
      <c r="AH246" s="9">
        <v>0</v>
      </c>
      <c r="AI246" s="9">
        <v>0</v>
      </c>
      <c r="AJ246" s="9">
        <v>0</v>
      </c>
    </row>
    <row r="247" spans="1:36" x14ac:dyDescent="0.2">
      <c r="A247" s="2">
        <v>302112</v>
      </c>
      <c r="B247" s="2">
        <v>30</v>
      </c>
      <c r="C247" s="2" t="s">
        <v>135</v>
      </c>
      <c r="D247" s="2"/>
      <c r="E247" s="18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152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125</v>
      </c>
      <c r="Y247" s="23">
        <v>201002011</v>
      </c>
      <c r="Z247" s="23">
        <v>0</v>
      </c>
      <c r="AA247" s="2">
        <v>1</v>
      </c>
      <c r="AB247" s="18" t="s">
        <v>83</v>
      </c>
      <c r="AC247" s="2">
        <v>15000</v>
      </c>
      <c r="AD247" s="2">
        <v>10000</v>
      </c>
      <c r="AE247" s="2">
        <v>25010001</v>
      </c>
      <c r="AF247" s="9">
        <v>40</v>
      </c>
      <c r="AG247" s="9">
        <v>0</v>
      </c>
      <c r="AH247" s="9">
        <v>0</v>
      </c>
      <c r="AI247" s="9">
        <v>0</v>
      </c>
      <c r="AJ247" s="9">
        <v>0</v>
      </c>
    </row>
    <row r="248" spans="1:36" ht="14.25" x14ac:dyDescent="0.2">
      <c r="A248" s="3">
        <v>302113</v>
      </c>
      <c r="B248" s="3">
        <v>30</v>
      </c>
      <c r="C248" s="3" t="s">
        <v>137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138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22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139</v>
      </c>
      <c r="Y248" s="16">
        <v>203002011</v>
      </c>
      <c r="Z248" s="16">
        <v>0</v>
      </c>
      <c r="AA248" s="3">
        <v>1</v>
      </c>
      <c r="AB248" s="9" t="s">
        <v>140</v>
      </c>
      <c r="AC248" s="3">
        <v>15000</v>
      </c>
      <c r="AD248" s="3">
        <v>10000</v>
      </c>
      <c r="AE248" s="3">
        <v>25010001</v>
      </c>
      <c r="AF248" s="9">
        <v>40</v>
      </c>
      <c r="AG248" s="9">
        <v>1000</v>
      </c>
      <c r="AH248" s="9">
        <v>5000</v>
      </c>
      <c r="AI248" s="9">
        <v>40</v>
      </c>
      <c r="AJ248" s="9">
        <v>0</v>
      </c>
    </row>
    <row r="249" spans="1:36" x14ac:dyDescent="0.2">
      <c r="A249" s="2">
        <v>302114</v>
      </c>
      <c r="B249" s="2">
        <v>30</v>
      </c>
      <c r="C249" s="2" t="s">
        <v>141</v>
      </c>
      <c r="D249" s="2"/>
      <c r="E249" s="18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153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125</v>
      </c>
      <c r="Y249" s="23">
        <v>201002011</v>
      </c>
      <c r="Z249" s="23">
        <v>0</v>
      </c>
      <c r="AA249" s="2">
        <v>1</v>
      </c>
      <c r="AB249" s="18" t="s">
        <v>83</v>
      </c>
      <c r="AC249" s="2">
        <v>15000</v>
      </c>
      <c r="AD249" s="2">
        <v>10000</v>
      </c>
      <c r="AE249" s="2">
        <v>0</v>
      </c>
      <c r="AF249" s="9">
        <v>40</v>
      </c>
      <c r="AG249" s="9">
        <v>0</v>
      </c>
      <c r="AH249" s="9">
        <v>0</v>
      </c>
      <c r="AI249" s="9">
        <v>0</v>
      </c>
      <c r="AJ249" s="9">
        <v>0</v>
      </c>
    </row>
    <row r="250" spans="1:36" x14ac:dyDescent="0.2">
      <c r="A250" s="2">
        <v>302115</v>
      </c>
      <c r="B250" s="2">
        <v>30</v>
      </c>
      <c r="C250" s="2" t="s">
        <v>143</v>
      </c>
      <c r="D250" s="2"/>
      <c r="E250" s="18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153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125</v>
      </c>
      <c r="Y250" s="23">
        <v>201002011</v>
      </c>
      <c r="Z250" s="23">
        <v>0</v>
      </c>
      <c r="AA250" s="2">
        <v>1</v>
      </c>
      <c r="AB250" s="18" t="s">
        <v>83</v>
      </c>
      <c r="AC250" s="2">
        <v>15000</v>
      </c>
      <c r="AD250" s="2">
        <v>10000</v>
      </c>
      <c r="AE250" s="2">
        <v>0</v>
      </c>
      <c r="AF250" s="9">
        <v>40</v>
      </c>
      <c r="AG250" s="9">
        <v>0</v>
      </c>
      <c r="AH250" s="9">
        <v>0</v>
      </c>
      <c r="AI250" s="9">
        <v>0</v>
      </c>
      <c r="AJ250" s="9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146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165</v>
      </c>
      <c r="Y251" s="16">
        <v>201001011</v>
      </c>
      <c r="Z251" s="16">
        <v>0</v>
      </c>
      <c r="AA251" s="3">
        <v>1</v>
      </c>
      <c r="AB251" s="9" t="s">
        <v>113</v>
      </c>
      <c r="AC251" s="3">
        <v>15000</v>
      </c>
      <c r="AD251" s="3">
        <v>10000</v>
      </c>
      <c r="AE251" s="3">
        <v>25010001</v>
      </c>
      <c r="AF251" s="9">
        <v>40</v>
      </c>
      <c r="AG251" s="9">
        <v>10000</v>
      </c>
      <c r="AH251" s="9">
        <v>10000</v>
      </c>
      <c r="AI251" s="9">
        <v>50</v>
      </c>
      <c r="AJ251" s="9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165</v>
      </c>
      <c r="Y252" s="16">
        <v>201002011</v>
      </c>
      <c r="Z252" s="16">
        <v>0</v>
      </c>
      <c r="AA252" s="3">
        <v>1</v>
      </c>
      <c r="AB252" s="9" t="s">
        <v>116</v>
      </c>
      <c r="AC252" s="3">
        <v>15000</v>
      </c>
      <c r="AD252" s="3">
        <v>10000</v>
      </c>
      <c r="AE252" s="3">
        <v>25010001</v>
      </c>
      <c r="AF252" s="9">
        <v>40</v>
      </c>
      <c r="AG252" s="9">
        <v>3000</v>
      </c>
      <c r="AH252" s="9">
        <v>10000</v>
      </c>
      <c r="AI252" s="9">
        <v>15</v>
      </c>
      <c r="AJ252" s="9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8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149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165</v>
      </c>
      <c r="Y253" s="23">
        <v>201002011</v>
      </c>
      <c r="Z253" s="23">
        <v>0</v>
      </c>
      <c r="AA253" s="2">
        <v>1</v>
      </c>
      <c r="AB253" s="18" t="s">
        <v>113</v>
      </c>
      <c r="AC253" s="2">
        <v>15000</v>
      </c>
      <c r="AD253" s="2">
        <v>10000</v>
      </c>
      <c r="AE253" s="2">
        <v>25010001</v>
      </c>
      <c r="AF253" s="9">
        <v>40</v>
      </c>
      <c r="AG253" s="9">
        <v>0</v>
      </c>
      <c r="AH253" s="9">
        <v>0</v>
      </c>
      <c r="AI253" s="9">
        <v>0</v>
      </c>
      <c r="AJ253" s="9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165</v>
      </c>
      <c r="Y254" s="16">
        <v>201004011</v>
      </c>
      <c r="Z254" s="16">
        <v>0</v>
      </c>
      <c r="AA254" s="3">
        <v>1</v>
      </c>
      <c r="AB254" s="9" t="s">
        <v>113</v>
      </c>
      <c r="AC254" s="3">
        <v>15000</v>
      </c>
      <c r="AD254" s="3">
        <v>10000</v>
      </c>
      <c r="AE254" s="3">
        <v>25010001</v>
      </c>
      <c r="AF254" s="9">
        <v>40</v>
      </c>
      <c r="AG254" s="9">
        <v>10000</v>
      </c>
      <c r="AH254" s="9">
        <v>10000</v>
      </c>
      <c r="AI254" s="9">
        <v>80</v>
      </c>
      <c r="AJ254" s="9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165</v>
      </c>
      <c r="Y255" s="16">
        <v>214001011</v>
      </c>
      <c r="Z255" s="16">
        <v>0</v>
      </c>
      <c r="AA255" s="3">
        <v>1</v>
      </c>
      <c r="AB255" s="9" t="s">
        <v>122</v>
      </c>
      <c r="AC255" s="3">
        <v>15000</v>
      </c>
      <c r="AD255" s="3">
        <v>10000</v>
      </c>
      <c r="AE255" s="3">
        <v>25010001</v>
      </c>
      <c r="AF255" s="9">
        <v>40</v>
      </c>
      <c r="AG255" s="9">
        <v>10000</v>
      </c>
      <c r="AH255" s="9">
        <v>10000</v>
      </c>
      <c r="AI255" s="9">
        <v>40</v>
      </c>
      <c r="AJ255" s="9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8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150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125</v>
      </c>
      <c r="Y256" s="23">
        <v>201002011</v>
      </c>
      <c r="Z256" s="23">
        <v>0</v>
      </c>
      <c r="AA256" s="2">
        <v>1</v>
      </c>
      <c r="AB256" s="18" t="s">
        <v>83</v>
      </c>
      <c r="AC256" s="2">
        <v>15000</v>
      </c>
      <c r="AD256" s="2">
        <v>10000</v>
      </c>
      <c r="AE256" s="2">
        <v>25010001</v>
      </c>
      <c r="AF256" s="9">
        <v>40</v>
      </c>
      <c r="AG256" s="9">
        <v>0</v>
      </c>
      <c r="AH256" s="9">
        <v>0</v>
      </c>
      <c r="AI256" s="9">
        <v>0</v>
      </c>
      <c r="AJ256" s="9">
        <v>0</v>
      </c>
    </row>
    <row r="257" spans="1:36" x14ac:dyDescent="0.2">
      <c r="A257" s="2">
        <v>303107</v>
      </c>
      <c r="B257" s="2">
        <v>30</v>
      </c>
      <c r="C257" s="2" t="s">
        <v>126</v>
      </c>
      <c r="D257" s="2"/>
      <c r="E257" s="18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151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125</v>
      </c>
      <c r="Y257" s="23">
        <v>201002011</v>
      </c>
      <c r="Z257" s="23">
        <v>0</v>
      </c>
      <c r="AA257" s="2">
        <v>1</v>
      </c>
      <c r="AB257" s="18" t="s">
        <v>83</v>
      </c>
      <c r="AC257" s="2">
        <v>15000</v>
      </c>
      <c r="AD257" s="2">
        <v>10000</v>
      </c>
      <c r="AE257" s="2">
        <v>25010001</v>
      </c>
      <c r="AF257" s="9">
        <v>40</v>
      </c>
      <c r="AG257" s="9">
        <v>0</v>
      </c>
      <c r="AH257" s="9">
        <v>0</v>
      </c>
      <c r="AI257" s="9">
        <v>0</v>
      </c>
      <c r="AJ257" s="9">
        <v>0</v>
      </c>
    </row>
    <row r="258" spans="1:36" x14ac:dyDescent="0.2">
      <c r="A258" s="2">
        <v>303108</v>
      </c>
      <c r="B258" s="2">
        <v>30</v>
      </c>
      <c r="C258" s="2" t="s">
        <v>127</v>
      </c>
      <c r="D258" s="2"/>
      <c r="E258" s="18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151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125</v>
      </c>
      <c r="Y258" s="23">
        <v>201002011</v>
      </c>
      <c r="Z258" s="23">
        <v>0</v>
      </c>
      <c r="AA258" s="2">
        <v>1</v>
      </c>
      <c r="AB258" s="18" t="s">
        <v>83</v>
      </c>
      <c r="AC258" s="2">
        <v>15000</v>
      </c>
      <c r="AD258" s="2">
        <v>10000</v>
      </c>
      <c r="AE258" s="2">
        <v>25010001</v>
      </c>
      <c r="AF258" s="9">
        <v>40</v>
      </c>
      <c r="AG258" s="9">
        <v>0</v>
      </c>
      <c r="AH258" s="9">
        <v>0</v>
      </c>
      <c r="AI258" s="9">
        <v>0</v>
      </c>
      <c r="AJ258" s="9">
        <v>0</v>
      </c>
    </row>
    <row r="259" spans="1:36" x14ac:dyDescent="0.2">
      <c r="A259" s="2">
        <v>303109</v>
      </c>
      <c r="B259" s="2">
        <v>30</v>
      </c>
      <c r="C259" s="2" t="s">
        <v>129</v>
      </c>
      <c r="D259" s="2"/>
      <c r="E259" s="18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151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125</v>
      </c>
      <c r="Y259" s="23">
        <v>201002011</v>
      </c>
      <c r="Z259" s="23">
        <v>0</v>
      </c>
      <c r="AA259" s="2">
        <v>1</v>
      </c>
      <c r="AB259" s="18" t="s">
        <v>83</v>
      </c>
      <c r="AC259" s="2">
        <v>15000</v>
      </c>
      <c r="AD259" s="2">
        <v>10000</v>
      </c>
      <c r="AE259" s="2">
        <v>25010001</v>
      </c>
      <c r="AF259" s="9">
        <v>40</v>
      </c>
      <c r="AG259" s="9">
        <v>0</v>
      </c>
      <c r="AH259" s="9">
        <v>0</v>
      </c>
      <c r="AI259" s="9">
        <v>0</v>
      </c>
      <c r="AJ259" s="9">
        <v>0</v>
      </c>
    </row>
    <row r="260" spans="1:36" x14ac:dyDescent="0.2">
      <c r="A260" s="2">
        <v>303110</v>
      </c>
      <c r="B260" s="2">
        <v>30</v>
      </c>
      <c r="C260" s="2" t="s">
        <v>131</v>
      </c>
      <c r="D260" s="2"/>
      <c r="E260" s="18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152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125</v>
      </c>
      <c r="Y260" s="23">
        <v>201002011</v>
      </c>
      <c r="Z260" s="23">
        <v>0</v>
      </c>
      <c r="AA260" s="2">
        <v>1</v>
      </c>
      <c r="AB260" s="18" t="s">
        <v>83</v>
      </c>
      <c r="AC260" s="2">
        <v>15000</v>
      </c>
      <c r="AD260" s="2">
        <v>10000</v>
      </c>
      <c r="AE260" s="2">
        <v>25010001</v>
      </c>
      <c r="AF260" s="9">
        <v>40</v>
      </c>
      <c r="AG260" s="9">
        <v>0</v>
      </c>
      <c r="AH260" s="9">
        <v>0</v>
      </c>
      <c r="AI260" s="9">
        <v>0</v>
      </c>
      <c r="AJ260" s="9">
        <v>0</v>
      </c>
    </row>
    <row r="261" spans="1:36" x14ac:dyDescent="0.2">
      <c r="A261" s="2">
        <v>303111</v>
      </c>
      <c r="B261" s="2">
        <v>30</v>
      </c>
      <c r="C261" s="2" t="s">
        <v>133</v>
      </c>
      <c r="D261" s="2"/>
      <c r="E261" s="18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152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125</v>
      </c>
      <c r="Y261" s="23">
        <v>201002011</v>
      </c>
      <c r="Z261" s="23">
        <v>0</v>
      </c>
      <c r="AA261" s="2">
        <v>1</v>
      </c>
      <c r="AB261" s="18" t="s">
        <v>83</v>
      </c>
      <c r="AC261" s="2">
        <v>15000</v>
      </c>
      <c r="AD261" s="2">
        <v>10000</v>
      </c>
      <c r="AE261" s="2">
        <v>25010001</v>
      </c>
      <c r="AF261" s="9">
        <v>40</v>
      </c>
      <c r="AG261" s="9">
        <v>0</v>
      </c>
      <c r="AH261" s="9">
        <v>0</v>
      </c>
      <c r="AI261" s="9">
        <v>0</v>
      </c>
      <c r="AJ261" s="9">
        <v>0</v>
      </c>
    </row>
    <row r="262" spans="1:36" x14ac:dyDescent="0.2">
      <c r="A262" s="2">
        <v>303112</v>
      </c>
      <c r="B262" s="2">
        <v>30</v>
      </c>
      <c r="C262" s="2" t="s">
        <v>135</v>
      </c>
      <c r="D262" s="2"/>
      <c r="E262" s="18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152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125</v>
      </c>
      <c r="Y262" s="23">
        <v>201002011</v>
      </c>
      <c r="Z262" s="23">
        <v>0</v>
      </c>
      <c r="AA262" s="2">
        <v>1</v>
      </c>
      <c r="AB262" s="18" t="s">
        <v>83</v>
      </c>
      <c r="AC262" s="2">
        <v>15000</v>
      </c>
      <c r="AD262" s="2">
        <v>10000</v>
      </c>
      <c r="AE262" s="2">
        <v>25010001</v>
      </c>
      <c r="AF262" s="9">
        <v>40</v>
      </c>
      <c r="AG262" s="9">
        <v>0</v>
      </c>
      <c r="AH262" s="9">
        <v>0</v>
      </c>
      <c r="AI262" s="9">
        <v>0</v>
      </c>
      <c r="AJ262" s="9">
        <v>0</v>
      </c>
    </row>
    <row r="263" spans="1:36" ht="14.25" x14ac:dyDescent="0.2">
      <c r="A263" s="3">
        <v>303113</v>
      </c>
      <c r="B263" s="3">
        <v>30</v>
      </c>
      <c r="C263" s="3" t="s">
        <v>137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138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22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139</v>
      </c>
      <c r="Y263" s="16">
        <v>203002011</v>
      </c>
      <c r="Z263" s="16">
        <v>0</v>
      </c>
      <c r="AA263" s="3">
        <v>1</v>
      </c>
      <c r="AB263" s="9" t="s">
        <v>113</v>
      </c>
      <c r="AC263" s="3">
        <v>15000</v>
      </c>
      <c r="AD263" s="3">
        <v>10000</v>
      </c>
      <c r="AE263" s="3">
        <v>25010001</v>
      </c>
      <c r="AF263" s="9">
        <v>40</v>
      </c>
      <c r="AG263" s="9">
        <v>10000</v>
      </c>
      <c r="AH263" s="9">
        <v>10000</v>
      </c>
      <c r="AI263" s="9">
        <v>40</v>
      </c>
      <c r="AJ263" s="9">
        <v>0</v>
      </c>
    </row>
    <row r="264" spans="1:36" x14ac:dyDescent="0.2">
      <c r="A264" s="2">
        <v>303114</v>
      </c>
      <c r="B264" s="2">
        <v>30</v>
      </c>
      <c r="C264" s="2" t="s">
        <v>141</v>
      </c>
      <c r="D264" s="2"/>
      <c r="E264" s="18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153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125</v>
      </c>
      <c r="Y264" s="23">
        <v>201002011</v>
      </c>
      <c r="Z264" s="23">
        <v>0</v>
      </c>
      <c r="AA264" s="2">
        <v>1</v>
      </c>
      <c r="AB264" s="18" t="s">
        <v>83</v>
      </c>
      <c r="AC264" s="2">
        <v>15000</v>
      </c>
      <c r="AD264" s="2">
        <v>10000</v>
      </c>
      <c r="AE264" s="2">
        <v>0</v>
      </c>
      <c r="AF264" s="9">
        <v>40</v>
      </c>
      <c r="AG264" s="9">
        <v>0</v>
      </c>
      <c r="AH264" s="9">
        <v>0</v>
      </c>
      <c r="AI264" s="9">
        <v>0</v>
      </c>
      <c r="AJ264" s="9">
        <v>0</v>
      </c>
    </row>
    <row r="265" spans="1:36" ht="15" customHeight="1" x14ac:dyDescent="0.2">
      <c r="A265" s="3">
        <v>303115</v>
      </c>
      <c r="B265" s="3">
        <v>30</v>
      </c>
      <c r="C265" s="3" t="s">
        <v>143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166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22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139</v>
      </c>
      <c r="Y265" s="16">
        <v>216001001</v>
      </c>
      <c r="Z265" s="16">
        <v>0</v>
      </c>
      <c r="AA265" s="3">
        <v>1</v>
      </c>
      <c r="AB265" s="9" t="s">
        <v>140</v>
      </c>
      <c r="AC265" s="3">
        <v>15000</v>
      </c>
      <c r="AD265" s="3">
        <v>10000</v>
      </c>
      <c r="AE265" s="3">
        <v>25010001</v>
      </c>
      <c r="AF265" s="9">
        <v>40</v>
      </c>
      <c r="AG265" s="9">
        <v>1000</v>
      </c>
      <c r="AH265" s="9">
        <v>5000</v>
      </c>
      <c r="AI265" s="9">
        <v>5</v>
      </c>
      <c r="AJ265" s="9">
        <v>0</v>
      </c>
    </row>
    <row r="266" spans="1:36" ht="14.25" x14ac:dyDescent="0.2">
      <c r="A266" s="25">
        <v>90000101</v>
      </c>
      <c r="B266" s="25">
        <v>1</v>
      </c>
      <c r="C266" s="25" t="s">
        <v>167</v>
      </c>
      <c r="D266" s="25"/>
      <c r="E266" s="26"/>
      <c r="F266" s="25"/>
      <c r="G266" s="25">
        <v>1</v>
      </c>
      <c r="H266" s="25">
        <v>2</v>
      </c>
      <c r="I266" s="33" t="s">
        <v>81</v>
      </c>
      <c r="J266" s="25">
        <v>0</v>
      </c>
      <c r="K266" s="25" t="s">
        <v>168</v>
      </c>
      <c r="L266" s="27">
        <v>800001031</v>
      </c>
      <c r="M266" s="25">
        <v>1</v>
      </c>
      <c r="N266" s="28">
        <v>5</v>
      </c>
      <c r="O266" s="25">
        <v>1</v>
      </c>
      <c r="P266" s="25">
        <v>8</v>
      </c>
      <c r="Q266" s="25">
        <v>0</v>
      </c>
      <c r="R266" s="25">
        <v>25</v>
      </c>
      <c r="S266" s="25">
        <v>-5000</v>
      </c>
      <c r="T266" s="25">
        <v>1</v>
      </c>
      <c r="U266" s="25">
        <v>0</v>
      </c>
      <c r="V266" s="25" t="s">
        <v>82</v>
      </c>
      <c r="W266" s="25" t="s">
        <v>82</v>
      </c>
      <c r="X266" s="25" t="s">
        <v>82</v>
      </c>
      <c r="Y266" s="30">
        <v>20010001</v>
      </c>
      <c r="Z266" s="30">
        <v>0</v>
      </c>
      <c r="AA266" s="25">
        <v>1</v>
      </c>
      <c r="AB266" s="31" t="s">
        <v>83</v>
      </c>
      <c r="AC266" s="25">
        <v>10000</v>
      </c>
      <c r="AD266" s="25">
        <v>10000</v>
      </c>
      <c r="AE266" s="25">
        <v>0</v>
      </c>
      <c r="AF266" s="31">
        <v>40</v>
      </c>
      <c r="AG266" s="31">
        <v>0</v>
      </c>
      <c r="AH266" s="31">
        <v>0</v>
      </c>
      <c r="AI266" s="31">
        <v>0</v>
      </c>
      <c r="AJ266" s="31">
        <v>0</v>
      </c>
    </row>
    <row r="267" spans="1:36" ht="14.25" x14ac:dyDescent="0.2">
      <c r="A267" s="25">
        <v>90000102</v>
      </c>
      <c r="B267" s="25">
        <v>1</v>
      </c>
      <c r="C267" s="25" t="s">
        <v>169</v>
      </c>
      <c r="D267" s="25"/>
      <c r="E267" s="26"/>
      <c r="F267" s="25"/>
      <c r="G267" s="25">
        <v>1</v>
      </c>
      <c r="H267" s="25">
        <v>2</v>
      </c>
      <c r="I267" s="33" t="s">
        <v>81</v>
      </c>
      <c r="J267" s="25">
        <v>0</v>
      </c>
      <c r="K267" s="25" t="s">
        <v>168</v>
      </c>
      <c r="L267" s="27">
        <v>800001031</v>
      </c>
      <c r="M267" s="25">
        <v>1</v>
      </c>
      <c r="N267" s="28">
        <v>20</v>
      </c>
      <c r="O267" s="25">
        <v>1</v>
      </c>
      <c r="P267" s="25">
        <v>8</v>
      </c>
      <c r="Q267" s="25">
        <v>0</v>
      </c>
      <c r="R267" s="25">
        <v>25</v>
      </c>
      <c r="S267" s="25">
        <v>-5000</v>
      </c>
      <c r="T267" s="25">
        <v>1</v>
      </c>
      <c r="U267" s="25">
        <v>0</v>
      </c>
      <c r="V267" s="25" t="s">
        <v>82</v>
      </c>
      <c r="W267" s="25" t="s">
        <v>82</v>
      </c>
      <c r="X267" s="25" t="s">
        <v>82</v>
      </c>
      <c r="Y267" s="30">
        <v>20010001</v>
      </c>
      <c r="Z267" s="30">
        <v>0</v>
      </c>
      <c r="AA267" s="25">
        <v>1</v>
      </c>
      <c r="AB267" s="31" t="s">
        <v>83</v>
      </c>
      <c r="AC267" s="25">
        <v>10000</v>
      </c>
      <c r="AD267" s="25">
        <v>10000</v>
      </c>
      <c r="AE267" s="25">
        <v>0</v>
      </c>
      <c r="AF267" s="31">
        <v>40</v>
      </c>
      <c r="AG267" s="31">
        <v>0</v>
      </c>
      <c r="AH267" s="31">
        <v>0</v>
      </c>
      <c r="AI267" s="31">
        <v>0</v>
      </c>
      <c r="AJ267" s="31">
        <v>0</v>
      </c>
    </row>
    <row r="268" spans="1:36" ht="14.25" x14ac:dyDescent="0.2">
      <c r="A268" s="25">
        <v>90000201</v>
      </c>
      <c r="B268" s="25">
        <v>2</v>
      </c>
      <c r="C268" s="25" t="s">
        <v>170</v>
      </c>
      <c r="D268" s="25"/>
      <c r="E268" s="26"/>
      <c r="F268" s="25"/>
      <c r="G268" s="25">
        <v>1</v>
      </c>
      <c r="H268" s="25">
        <v>2</v>
      </c>
      <c r="I268" s="33" t="s">
        <v>81</v>
      </c>
      <c r="J268" s="25">
        <v>0</v>
      </c>
      <c r="K268" s="25" t="s">
        <v>171</v>
      </c>
      <c r="L268" s="27">
        <v>800004031</v>
      </c>
      <c r="M268" s="25">
        <v>1</v>
      </c>
      <c r="N268" s="28">
        <v>6</v>
      </c>
      <c r="O268" s="25">
        <v>1</v>
      </c>
      <c r="P268" s="25">
        <v>8</v>
      </c>
      <c r="Q268" s="25">
        <v>0</v>
      </c>
      <c r="R268" s="25">
        <v>25</v>
      </c>
      <c r="S268" s="25">
        <v>-5000</v>
      </c>
      <c r="T268" s="25">
        <v>1</v>
      </c>
      <c r="U268" s="25">
        <v>0</v>
      </c>
      <c r="V268" s="25" t="s">
        <v>82</v>
      </c>
      <c r="W268" s="25" t="s">
        <v>82</v>
      </c>
      <c r="X268" s="25" t="s">
        <v>82</v>
      </c>
      <c r="Y268" s="30">
        <v>20010001</v>
      </c>
      <c r="Z268" s="30">
        <v>0</v>
      </c>
      <c r="AA268" s="25">
        <v>1</v>
      </c>
      <c r="AB268" s="31" t="s">
        <v>83</v>
      </c>
      <c r="AC268" s="25">
        <v>10000</v>
      </c>
      <c r="AD268" s="25">
        <v>10000</v>
      </c>
      <c r="AE268" s="25">
        <v>0</v>
      </c>
      <c r="AF268" s="31">
        <v>40</v>
      </c>
      <c r="AG268" s="31">
        <v>0</v>
      </c>
      <c r="AH268" s="31">
        <v>0</v>
      </c>
      <c r="AI268" s="31">
        <v>0</v>
      </c>
      <c r="AJ268" s="31">
        <v>0</v>
      </c>
    </row>
    <row r="269" spans="1:36" ht="14.25" x14ac:dyDescent="0.2">
      <c r="A269" s="25">
        <v>90000202</v>
      </c>
      <c r="B269" s="25">
        <v>2</v>
      </c>
      <c r="C269" s="25" t="s">
        <v>172</v>
      </c>
      <c r="D269" s="25"/>
      <c r="E269" s="26"/>
      <c r="F269" s="25"/>
      <c r="G269" s="25">
        <v>1</v>
      </c>
      <c r="H269" s="25">
        <v>2</v>
      </c>
      <c r="I269" s="33" t="s">
        <v>81</v>
      </c>
      <c r="J269" s="25">
        <v>0</v>
      </c>
      <c r="K269" s="25" t="s">
        <v>171</v>
      </c>
      <c r="L269" s="27">
        <v>800004031</v>
      </c>
      <c r="M269" s="25">
        <v>1</v>
      </c>
      <c r="N269" s="28">
        <v>24</v>
      </c>
      <c r="O269" s="25">
        <v>1</v>
      </c>
      <c r="P269" s="25">
        <v>8</v>
      </c>
      <c r="Q269" s="25">
        <v>0</v>
      </c>
      <c r="R269" s="25">
        <v>25</v>
      </c>
      <c r="S269" s="25">
        <v>-5000</v>
      </c>
      <c r="T269" s="25">
        <v>1</v>
      </c>
      <c r="U269" s="25">
        <v>0</v>
      </c>
      <c r="V269" s="25" t="s">
        <v>82</v>
      </c>
      <c r="W269" s="25" t="s">
        <v>82</v>
      </c>
      <c r="X269" s="25" t="s">
        <v>82</v>
      </c>
      <c r="Y269" s="30">
        <v>20010001</v>
      </c>
      <c r="Z269" s="30">
        <v>0</v>
      </c>
      <c r="AA269" s="25">
        <v>1</v>
      </c>
      <c r="AB269" s="31" t="s">
        <v>83</v>
      </c>
      <c r="AC269" s="25">
        <v>10000</v>
      </c>
      <c r="AD269" s="25">
        <v>10000</v>
      </c>
      <c r="AE269" s="25">
        <v>0</v>
      </c>
      <c r="AF269" s="31">
        <v>40</v>
      </c>
      <c r="AG269" s="31">
        <v>0</v>
      </c>
      <c r="AH269" s="31">
        <v>0</v>
      </c>
      <c r="AI269" s="31">
        <v>0</v>
      </c>
      <c r="AJ269" s="31">
        <v>0</v>
      </c>
    </row>
    <row r="270" spans="1:36" ht="14.25" x14ac:dyDescent="0.2">
      <c r="A270" s="25">
        <v>90000301</v>
      </c>
      <c r="B270" s="25">
        <v>3</v>
      </c>
      <c r="C270" s="25" t="s">
        <v>173</v>
      </c>
      <c r="D270" s="25"/>
      <c r="E270" s="26"/>
      <c r="F270" s="25"/>
      <c r="G270" s="25">
        <v>1</v>
      </c>
      <c r="H270" s="25">
        <v>2</v>
      </c>
      <c r="I270" s="33" t="s">
        <v>81</v>
      </c>
      <c r="J270" s="25">
        <v>0</v>
      </c>
      <c r="K270" s="25" t="s">
        <v>246</v>
      </c>
      <c r="L270" s="27">
        <v>800007031</v>
      </c>
      <c r="M270" s="25">
        <v>1</v>
      </c>
      <c r="N270" s="28">
        <v>6</v>
      </c>
      <c r="O270" s="25">
        <v>1</v>
      </c>
      <c r="P270" s="25">
        <v>8</v>
      </c>
      <c r="Q270" s="25">
        <v>0</v>
      </c>
      <c r="R270" s="25">
        <v>25</v>
      </c>
      <c r="S270" s="25">
        <v>-5000</v>
      </c>
      <c r="T270" s="25">
        <v>1</v>
      </c>
      <c r="U270" s="25">
        <v>0</v>
      </c>
      <c r="V270" s="25" t="s">
        <v>82</v>
      </c>
      <c r="W270" s="25" t="s">
        <v>82</v>
      </c>
      <c r="X270" s="25" t="s">
        <v>82</v>
      </c>
      <c r="Y270" s="30">
        <v>20010001</v>
      </c>
      <c r="Z270" s="30">
        <v>0</v>
      </c>
      <c r="AA270" s="25">
        <v>1</v>
      </c>
      <c r="AB270" s="31" t="s">
        <v>83</v>
      </c>
      <c r="AC270" s="25">
        <v>10000</v>
      </c>
      <c r="AD270" s="25">
        <v>10000</v>
      </c>
      <c r="AE270" s="25">
        <v>0</v>
      </c>
      <c r="AF270" s="31">
        <v>40</v>
      </c>
      <c r="AG270" s="31">
        <v>0</v>
      </c>
      <c r="AH270" s="31">
        <v>0</v>
      </c>
      <c r="AI270" s="31">
        <v>0</v>
      </c>
      <c r="AJ270" s="31">
        <v>0</v>
      </c>
    </row>
    <row r="271" spans="1:36" ht="14.25" x14ac:dyDescent="0.2">
      <c r="A271" s="25">
        <v>90000302</v>
      </c>
      <c r="B271" s="25">
        <v>3</v>
      </c>
      <c r="C271" s="25" t="s">
        <v>174</v>
      </c>
      <c r="D271" s="25"/>
      <c r="E271" s="26"/>
      <c r="F271" s="25"/>
      <c r="G271" s="25">
        <v>1</v>
      </c>
      <c r="H271" s="25">
        <v>2</v>
      </c>
      <c r="I271" s="33" t="s">
        <v>81</v>
      </c>
      <c r="J271" s="25">
        <v>0</v>
      </c>
      <c r="K271" s="25" t="s">
        <v>246</v>
      </c>
      <c r="L271" s="27">
        <v>800007031</v>
      </c>
      <c r="M271" s="25">
        <v>1</v>
      </c>
      <c r="N271" s="28">
        <v>27</v>
      </c>
      <c r="O271" s="25">
        <v>1</v>
      </c>
      <c r="P271" s="25">
        <v>8</v>
      </c>
      <c r="Q271" s="25">
        <v>0</v>
      </c>
      <c r="R271" s="25">
        <v>25</v>
      </c>
      <c r="S271" s="25">
        <v>-5000</v>
      </c>
      <c r="T271" s="25">
        <v>1</v>
      </c>
      <c r="U271" s="25">
        <v>0</v>
      </c>
      <c r="V271" s="25" t="s">
        <v>82</v>
      </c>
      <c r="W271" s="25" t="s">
        <v>82</v>
      </c>
      <c r="X271" s="25" t="s">
        <v>82</v>
      </c>
      <c r="Y271" s="30">
        <v>20010001</v>
      </c>
      <c r="Z271" s="30">
        <v>0</v>
      </c>
      <c r="AA271" s="25">
        <v>1</v>
      </c>
      <c r="AB271" s="31" t="s">
        <v>83</v>
      </c>
      <c r="AC271" s="25">
        <v>10000</v>
      </c>
      <c r="AD271" s="25">
        <v>10000</v>
      </c>
      <c r="AE271" s="25">
        <v>0</v>
      </c>
      <c r="AF271" s="31">
        <v>40</v>
      </c>
      <c r="AG271" s="31">
        <v>0</v>
      </c>
      <c r="AH271" s="31">
        <v>0</v>
      </c>
      <c r="AI271" s="31">
        <v>0</v>
      </c>
      <c r="AJ271" s="31">
        <v>0</v>
      </c>
    </row>
    <row r="272" spans="1:36" ht="14.25" x14ac:dyDescent="0.2">
      <c r="A272" s="25">
        <v>90000400</v>
      </c>
      <c r="B272" s="25">
        <v>3</v>
      </c>
      <c r="C272" s="25" t="s">
        <v>247</v>
      </c>
      <c r="D272" s="25"/>
      <c r="E272" s="26"/>
      <c r="F272" s="25"/>
      <c r="G272" s="25">
        <v>1</v>
      </c>
      <c r="H272" s="25">
        <v>2</v>
      </c>
      <c r="I272" s="33" t="s">
        <v>81</v>
      </c>
      <c r="J272" s="25">
        <v>0</v>
      </c>
      <c r="K272" s="25" t="s">
        <v>176</v>
      </c>
      <c r="L272" s="29">
        <v>800003031</v>
      </c>
      <c r="M272" s="25">
        <v>1</v>
      </c>
      <c r="N272" s="28">
        <v>8</v>
      </c>
      <c r="O272" s="25">
        <v>1</v>
      </c>
      <c r="P272" s="25">
        <v>8</v>
      </c>
      <c r="Q272" s="25">
        <v>0</v>
      </c>
      <c r="R272" s="25">
        <v>25</v>
      </c>
      <c r="S272" s="25">
        <v>-5000</v>
      </c>
      <c r="T272" s="25">
        <v>1</v>
      </c>
      <c r="U272" s="25">
        <v>0</v>
      </c>
      <c r="V272" s="25" t="s">
        <v>82</v>
      </c>
      <c r="W272" s="25" t="s">
        <v>82</v>
      </c>
      <c r="X272" s="25" t="s">
        <v>82</v>
      </c>
      <c r="Y272" s="30">
        <v>20010001</v>
      </c>
      <c r="Z272" s="30">
        <v>0</v>
      </c>
      <c r="AA272" s="25">
        <v>1</v>
      </c>
      <c r="AB272" s="31" t="s">
        <v>83</v>
      </c>
      <c r="AC272" s="25">
        <v>10000</v>
      </c>
      <c r="AD272" s="25">
        <v>10000</v>
      </c>
      <c r="AE272" s="25">
        <v>0</v>
      </c>
      <c r="AF272" s="31">
        <v>40</v>
      </c>
      <c r="AG272" s="31">
        <v>0</v>
      </c>
      <c r="AH272" s="31">
        <v>0</v>
      </c>
      <c r="AI272" s="31">
        <v>0</v>
      </c>
      <c r="AJ272" s="31">
        <v>0</v>
      </c>
    </row>
    <row r="273" spans="1:36" ht="14.25" x14ac:dyDescent="0.2">
      <c r="A273" s="25">
        <v>90000401</v>
      </c>
      <c r="B273" s="25">
        <v>3</v>
      </c>
      <c r="C273" s="25" t="s">
        <v>175</v>
      </c>
      <c r="D273" s="25"/>
      <c r="E273" s="26"/>
      <c r="F273" s="25"/>
      <c r="G273" s="25">
        <v>1</v>
      </c>
      <c r="H273" s="25">
        <v>2</v>
      </c>
      <c r="I273" s="33" t="s">
        <v>81</v>
      </c>
      <c r="J273" s="25">
        <v>0</v>
      </c>
      <c r="K273" s="25" t="s">
        <v>176</v>
      </c>
      <c r="L273" s="29">
        <v>800003031</v>
      </c>
      <c r="M273" s="25">
        <v>1</v>
      </c>
      <c r="N273" s="28">
        <v>25</v>
      </c>
      <c r="O273" s="25">
        <v>1</v>
      </c>
      <c r="P273" s="25">
        <v>8</v>
      </c>
      <c r="Q273" s="25">
        <v>0</v>
      </c>
      <c r="R273" s="25">
        <v>25</v>
      </c>
      <c r="S273" s="25">
        <v>-5000</v>
      </c>
      <c r="T273" s="25">
        <v>1</v>
      </c>
      <c r="U273" s="25">
        <v>0</v>
      </c>
      <c r="V273" s="25" t="s">
        <v>82</v>
      </c>
      <c r="W273" s="25" t="s">
        <v>82</v>
      </c>
      <c r="X273" s="25" t="s">
        <v>82</v>
      </c>
      <c r="Y273" s="30">
        <v>20010001</v>
      </c>
      <c r="Z273" s="30">
        <v>0</v>
      </c>
      <c r="AA273" s="25">
        <v>1</v>
      </c>
      <c r="AB273" s="31" t="s">
        <v>83</v>
      </c>
      <c r="AC273" s="25">
        <v>10000</v>
      </c>
      <c r="AD273" s="25">
        <v>10000</v>
      </c>
      <c r="AE273" s="25">
        <v>0</v>
      </c>
      <c r="AF273" s="31">
        <v>40</v>
      </c>
      <c r="AG273" s="31">
        <v>0</v>
      </c>
      <c r="AH273" s="31">
        <v>0</v>
      </c>
      <c r="AI273" s="31">
        <v>0</v>
      </c>
      <c r="AJ273" s="31">
        <v>0</v>
      </c>
    </row>
    <row r="274" spans="1:36" ht="14.25" x14ac:dyDescent="0.2">
      <c r="A274" s="25">
        <v>90000402</v>
      </c>
      <c r="B274" s="25">
        <v>3</v>
      </c>
      <c r="C274" s="25" t="s">
        <v>177</v>
      </c>
      <c r="D274" s="25"/>
      <c r="E274" s="26"/>
      <c r="F274" s="25"/>
      <c r="G274" s="25">
        <v>1</v>
      </c>
      <c r="H274" s="25">
        <v>2</v>
      </c>
      <c r="I274" s="33" t="s">
        <v>81</v>
      </c>
      <c r="J274" s="25">
        <v>0</v>
      </c>
      <c r="K274" s="25" t="s">
        <v>176</v>
      </c>
      <c r="L274" s="29">
        <v>800003031</v>
      </c>
      <c r="M274" s="25">
        <v>1</v>
      </c>
      <c r="N274" s="28">
        <v>40</v>
      </c>
      <c r="O274" s="25">
        <v>1</v>
      </c>
      <c r="P274" s="25">
        <v>8</v>
      </c>
      <c r="Q274" s="25">
        <v>0</v>
      </c>
      <c r="R274" s="25">
        <v>25</v>
      </c>
      <c r="S274" s="25">
        <v>-5000</v>
      </c>
      <c r="T274" s="25">
        <v>1</v>
      </c>
      <c r="U274" s="25">
        <v>0</v>
      </c>
      <c r="V274" s="25" t="s">
        <v>82</v>
      </c>
      <c r="W274" s="25" t="s">
        <v>82</v>
      </c>
      <c r="X274" s="25" t="s">
        <v>82</v>
      </c>
      <c r="Y274" s="30">
        <v>20010001</v>
      </c>
      <c r="Z274" s="30">
        <v>0</v>
      </c>
      <c r="AA274" s="25">
        <v>1</v>
      </c>
      <c r="AB274" s="31" t="s">
        <v>83</v>
      </c>
      <c r="AC274" s="25">
        <v>10000</v>
      </c>
      <c r="AD274" s="25">
        <v>10000</v>
      </c>
      <c r="AE274" s="25">
        <v>0</v>
      </c>
      <c r="AF274" s="31">
        <v>40</v>
      </c>
      <c r="AG274" s="31">
        <v>0</v>
      </c>
      <c r="AH274" s="31">
        <v>0</v>
      </c>
      <c r="AI274" s="31">
        <v>0</v>
      </c>
      <c r="AJ274" s="31">
        <v>0</v>
      </c>
    </row>
    <row r="275" spans="1:36" ht="14.25" x14ac:dyDescent="0.2">
      <c r="A275" s="25">
        <v>90000501</v>
      </c>
      <c r="B275" s="25">
        <v>3</v>
      </c>
      <c r="C275" s="25" t="s">
        <v>178</v>
      </c>
      <c r="D275" s="25"/>
      <c r="E275" s="26"/>
      <c r="F275" s="25"/>
      <c r="G275" s="25">
        <v>1</v>
      </c>
      <c r="H275" s="25">
        <v>2</v>
      </c>
      <c r="I275" s="33" t="s">
        <v>81</v>
      </c>
      <c r="J275" s="25">
        <v>0</v>
      </c>
      <c r="K275" s="25" t="s">
        <v>168</v>
      </c>
      <c r="L275" s="27">
        <v>800001031</v>
      </c>
      <c r="M275" s="25">
        <v>1</v>
      </c>
      <c r="N275" s="28">
        <v>8</v>
      </c>
      <c r="O275" s="25">
        <v>1</v>
      </c>
      <c r="P275" s="25">
        <v>8</v>
      </c>
      <c r="Q275" s="25">
        <v>0</v>
      </c>
      <c r="R275" s="25">
        <v>25</v>
      </c>
      <c r="S275" s="25">
        <v>-5000</v>
      </c>
      <c r="T275" s="25">
        <v>1</v>
      </c>
      <c r="U275" s="25">
        <v>0</v>
      </c>
      <c r="V275" s="25" t="s">
        <v>82</v>
      </c>
      <c r="W275" s="25" t="s">
        <v>82</v>
      </c>
      <c r="X275" s="25" t="s">
        <v>82</v>
      </c>
      <c r="Y275" s="30">
        <v>20010001</v>
      </c>
      <c r="Z275" s="30">
        <v>0</v>
      </c>
      <c r="AA275" s="25">
        <v>1</v>
      </c>
      <c r="AB275" s="31" t="s">
        <v>83</v>
      </c>
      <c r="AC275" s="25">
        <v>10000</v>
      </c>
      <c r="AD275" s="25">
        <v>10000</v>
      </c>
      <c r="AE275" s="25">
        <v>0</v>
      </c>
      <c r="AF275" s="31">
        <v>40</v>
      </c>
      <c r="AG275" s="31">
        <v>0</v>
      </c>
      <c r="AH275" s="31">
        <v>0</v>
      </c>
      <c r="AI275" s="31">
        <v>0</v>
      </c>
      <c r="AJ275" s="31">
        <v>0</v>
      </c>
    </row>
    <row r="276" spans="1:36" ht="14.25" x14ac:dyDescent="0.2">
      <c r="A276" s="25">
        <v>90000502</v>
      </c>
      <c r="B276" s="25">
        <v>3</v>
      </c>
      <c r="C276" s="25" t="s">
        <v>179</v>
      </c>
      <c r="D276" s="25"/>
      <c r="E276" s="26"/>
      <c r="F276" s="25"/>
      <c r="G276" s="25">
        <v>1</v>
      </c>
      <c r="H276" s="25">
        <v>2</v>
      </c>
      <c r="I276" s="33" t="s">
        <v>81</v>
      </c>
      <c r="J276" s="25">
        <v>0</v>
      </c>
      <c r="K276" s="25" t="s">
        <v>168</v>
      </c>
      <c r="L276" s="27">
        <v>800001031</v>
      </c>
      <c r="M276" s="25">
        <v>1</v>
      </c>
      <c r="N276" s="28">
        <v>12</v>
      </c>
      <c r="O276" s="25">
        <v>1</v>
      </c>
      <c r="P276" s="25">
        <v>8</v>
      </c>
      <c r="Q276" s="25">
        <v>0</v>
      </c>
      <c r="R276" s="25">
        <v>25</v>
      </c>
      <c r="S276" s="25">
        <v>-5000</v>
      </c>
      <c r="T276" s="25">
        <v>1</v>
      </c>
      <c r="U276" s="25">
        <v>0</v>
      </c>
      <c r="V276" s="25" t="s">
        <v>82</v>
      </c>
      <c r="W276" s="25" t="s">
        <v>82</v>
      </c>
      <c r="X276" s="25" t="s">
        <v>82</v>
      </c>
      <c r="Y276" s="30">
        <v>20010001</v>
      </c>
      <c r="Z276" s="30">
        <v>0</v>
      </c>
      <c r="AA276" s="25">
        <v>1</v>
      </c>
      <c r="AB276" s="31" t="s">
        <v>83</v>
      </c>
      <c r="AC276" s="25">
        <v>10000</v>
      </c>
      <c r="AD276" s="25">
        <v>10000</v>
      </c>
      <c r="AE276" s="25">
        <v>0</v>
      </c>
      <c r="AF276" s="31">
        <v>40</v>
      </c>
      <c r="AG276" s="31">
        <v>0</v>
      </c>
      <c r="AH276" s="31">
        <v>0</v>
      </c>
      <c r="AI276" s="31">
        <v>0</v>
      </c>
      <c r="AJ276" s="31">
        <v>0</v>
      </c>
    </row>
    <row r="277" spans="1:36" ht="14.25" x14ac:dyDescent="0.2">
      <c r="A277" s="25">
        <v>90000503</v>
      </c>
      <c r="B277" s="25">
        <v>3</v>
      </c>
      <c r="C277" s="25" t="s">
        <v>180</v>
      </c>
      <c r="D277" s="25"/>
      <c r="E277" s="26"/>
      <c r="F277" s="25"/>
      <c r="G277" s="25">
        <v>1</v>
      </c>
      <c r="H277" s="25">
        <v>2</v>
      </c>
      <c r="I277" s="33" t="s">
        <v>81</v>
      </c>
      <c r="J277" s="25">
        <v>0</v>
      </c>
      <c r="K277" s="25" t="s">
        <v>168</v>
      </c>
      <c r="L277" s="27">
        <v>800001031</v>
      </c>
      <c r="M277" s="25">
        <v>1</v>
      </c>
      <c r="N277" s="28">
        <v>45</v>
      </c>
      <c r="O277" s="25">
        <v>1</v>
      </c>
      <c r="P277" s="25">
        <v>8</v>
      </c>
      <c r="Q277" s="25">
        <v>0</v>
      </c>
      <c r="R277" s="25">
        <v>25</v>
      </c>
      <c r="S277" s="25">
        <v>-5000</v>
      </c>
      <c r="T277" s="25">
        <v>1</v>
      </c>
      <c r="U277" s="25">
        <v>0</v>
      </c>
      <c r="V277" s="25" t="s">
        <v>82</v>
      </c>
      <c r="W277" s="25" t="s">
        <v>82</v>
      </c>
      <c r="X277" s="25" t="s">
        <v>82</v>
      </c>
      <c r="Y277" s="30">
        <v>20010001</v>
      </c>
      <c r="Z277" s="30">
        <v>0</v>
      </c>
      <c r="AA277" s="25">
        <v>1</v>
      </c>
      <c r="AB277" s="31" t="s">
        <v>83</v>
      </c>
      <c r="AC277" s="25">
        <v>10000</v>
      </c>
      <c r="AD277" s="25">
        <v>10000</v>
      </c>
      <c r="AE277" s="25">
        <v>0</v>
      </c>
      <c r="AF277" s="31">
        <v>40</v>
      </c>
      <c r="AG277" s="31">
        <v>0</v>
      </c>
      <c r="AH277" s="31">
        <v>0</v>
      </c>
      <c r="AI277" s="31">
        <v>0</v>
      </c>
      <c r="AJ277" s="31">
        <v>0</v>
      </c>
    </row>
    <row r="278" spans="1:36" ht="14.25" x14ac:dyDescent="0.2">
      <c r="A278" s="25">
        <v>90000504</v>
      </c>
      <c r="B278" s="25">
        <v>3</v>
      </c>
      <c r="C278" s="25" t="s">
        <v>181</v>
      </c>
      <c r="D278" s="25"/>
      <c r="E278" s="26"/>
      <c r="F278" s="25"/>
      <c r="G278" s="25">
        <v>1</v>
      </c>
      <c r="H278" s="25">
        <v>2</v>
      </c>
      <c r="I278" s="33" t="s">
        <v>81</v>
      </c>
      <c r="J278" s="25">
        <v>0</v>
      </c>
      <c r="K278" s="25" t="s">
        <v>168</v>
      </c>
      <c r="L278" s="27">
        <v>800001031</v>
      </c>
      <c r="M278" s="25">
        <v>1</v>
      </c>
      <c r="N278" s="28">
        <v>70</v>
      </c>
      <c r="O278" s="25">
        <v>1</v>
      </c>
      <c r="P278" s="25">
        <v>8</v>
      </c>
      <c r="Q278" s="25">
        <v>0</v>
      </c>
      <c r="R278" s="25">
        <v>25</v>
      </c>
      <c r="S278" s="25">
        <v>-5000</v>
      </c>
      <c r="T278" s="25">
        <v>1</v>
      </c>
      <c r="U278" s="25">
        <v>0</v>
      </c>
      <c r="V278" s="25" t="s">
        <v>82</v>
      </c>
      <c r="W278" s="25" t="s">
        <v>82</v>
      </c>
      <c r="X278" s="25" t="s">
        <v>82</v>
      </c>
      <c r="Y278" s="30">
        <v>20010001</v>
      </c>
      <c r="Z278" s="30">
        <v>0</v>
      </c>
      <c r="AA278" s="25">
        <v>1</v>
      </c>
      <c r="AB278" s="31" t="s">
        <v>83</v>
      </c>
      <c r="AC278" s="25">
        <v>10000</v>
      </c>
      <c r="AD278" s="25">
        <v>10000</v>
      </c>
      <c r="AE278" s="25">
        <v>0</v>
      </c>
      <c r="AF278" s="31">
        <v>40</v>
      </c>
      <c r="AG278" s="31">
        <v>0</v>
      </c>
      <c r="AH278" s="31">
        <v>0</v>
      </c>
      <c r="AI278" s="31">
        <v>0</v>
      </c>
      <c r="AJ278" s="31">
        <v>0</v>
      </c>
    </row>
    <row r="279" spans="1:36" ht="14.25" x14ac:dyDescent="0.2">
      <c r="A279" s="25">
        <v>90000601</v>
      </c>
      <c r="B279" s="25">
        <v>3</v>
      </c>
      <c r="C279" s="25" t="s">
        <v>182</v>
      </c>
      <c r="D279" s="25"/>
      <c r="E279" s="26"/>
      <c r="F279" s="25"/>
      <c r="G279" s="25">
        <v>1</v>
      </c>
      <c r="H279" s="25">
        <v>2</v>
      </c>
      <c r="I279" s="33" t="s">
        <v>81</v>
      </c>
      <c r="J279" s="25">
        <v>0</v>
      </c>
      <c r="K279" s="25" t="s">
        <v>171</v>
      </c>
      <c r="L279" s="27">
        <v>800004031</v>
      </c>
      <c r="M279" s="25">
        <v>1</v>
      </c>
      <c r="N279" s="28">
        <v>8</v>
      </c>
      <c r="O279" s="25">
        <v>1</v>
      </c>
      <c r="P279" s="25">
        <v>8</v>
      </c>
      <c r="Q279" s="25">
        <v>0</v>
      </c>
      <c r="R279" s="25">
        <v>25</v>
      </c>
      <c r="S279" s="25">
        <v>-5000</v>
      </c>
      <c r="T279" s="25">
        <v>1</v>
      </c>
      <c r="U279" s="25">
        <v>0</v>
      </c>
      <c r="V279" s="25" t="s">
        <v>82</v>
      </c>
      <c r="W279" s="25" t="s">
        <v>82</v>
      </c>
      <c r="X279" s="25" t="s">
        <v>82</v>
      </c>
      <c r="Y279" s="30">
        <v>20010001</v>
      </c>
      <c r="Z279" s="30">
        <v>0</v>
      </c>
      <c r="AA279" s="25">
        <v>1</v>
      </c>
      <c r="AB279" s="31" t="s">
        <v>83</v>
      </c>
      <c r="AC279" s="25">
        <v>10000</v>
      </c>
      <c r="AD279" s="25">
        <v>10000</v>
      </c>
      <c r="AE279" s="25">
        <v>0</v>
      </c>
      <c r="AF279" s="31">
        <v>40</v>
      </c>
      <c r="AG279" s="31">
        <v>0</v>
      </c>
      <c r="AH279" s="31">
        <v>0</v>
      </c>
      <c r="AI279" s="31">
        <v>0</v>
      </c>
      <c r="AJ279" s="31">
        <v>0</v>
      </c>
    </row>
    <row r="280" spans="1:36" ht="14.25" x14ac:dyDescent="0.2">
      <c r="A280" s="25">
        <v>90000602</v>
      </c>
      <c r="B280" s="25">
        <v>3</v>
      </c>
      <c r="C280" s="25" t="s">
        <v>183</v>
      </c>
      <c r="D280" s="25"/>
      <c r="E280" s="26"/>
      <c r="F280" s="25"/>
      <c r="G280" s="25">
        <v>1</v>
      </c>
      <c r="H280" s="25">
        <v>2</v>
      </c>
      <c r="I280" s="33" t="s">
        <v>81</v>
      </c>
      <c r="J280" s="25">
        <v>0</v>
      </c>
      <c r="K280" s="25" t="s">
        <v>171</v>
      </c>
      <c r="L280" s="27">
        <v>800004031</v>
      </c>
      <c r="M280" s="25">
        <v>1</v>
      </c>
      <c r="N280" s="28">
        <v>16</v>
      </c>
      <c r="O280" s="25">
        <v>1</v>
      </c>
      <c r="P280" s="25">
        <v>8</v>
      </c>
      <c r="Q280" s="25">
        <v>0</v>
      </c>
      <c r="R280" s="25">
        <v>25</v>
      </c>
      <c r="S280" s="25">
        <v>-5000</v>
      </c>
      <c r="T280" s="25">
        <v>1</v>
      </c>
      <c r="U280" s="25">
        <v>0</v>
      </c>
      <c r="V280" s="25" t="s">
        <v>82</v>
      </c>
      <c r="W280" s="25" t="s">
        <v>82</v>
      </c>
      <c r="X280" s="25" t="s">
        <v>82</v>
      </c>
      <c r="Y280" s="30">
        <v>20010001</v>
      </c>
      <c r="Z280" s="30">
        <v>0</v>
      </c>
      <c r="AA280" s="25">
        <v>1</v>
      </c>
      <c r="AB280" s="31" t="s">
        <v>83</v>
      </c>
      <c r="AC280" s="25">
        <v>10000</v>
      </c>
      <c r="AD280" s="25">
        <v>10000</v>
      </c>
      <c r="AE280" s="25">
        <v>0</v>
      </c>
      <c r="AF280" s="31">
        <v>40</v>
      </c>
      <c r="AG280" s="31">
        <v>0</v>
      </c>
      <c r="AH280" s="31">
        <v>0</v>
      </c>
      <c r="AI280" s="31">
        <v>0</v>
      </c>
      <c r="AJ280" s="31">
        <v>0</v>
      </c>
    </row>
    <row r="281" spans="1:36" ht="14.25" x14ac:dyDescent="0.2">
      <c r="A281" s="25">
        <v>90000603</v>
      </c>
      <c r="B281" s="25">
        <v>3</v>
      </c>
      <c r="C281" s="25" t="s">
        <v>184</v>
      </c>
      <c r="D281" s="25"/>
      <c r="E281" s="26"/>
      <c r="F281" s="25"/>
      <c r="G281" s="25">
        <v>1</v>
      </c>
      <c r="H281" s="25">
        <v>2</v>
      </c>
      <c r="I281" s="33" t="s">
        <v>81</v>
      </c>
      <c r="J281" s="25">
        <v>0</v>
      </c>
      <c r="K281" s="25" t="s">
        <v>171</v>
      </c>
      <c r="L281" s="27">
        <v>800004031</v>
      </c>
      <c r="M281" s="25">
        <v>1</v>
      </c>
      <c r="N281" s="28">
        <v>36</v>
      </c>
      <c r="O281" s="25">
        <v>1</v>
      </c>
      <c r="P281" s="25">
        <v>8</v>
      </c>
      <c r="Q281" s="25">
        <v>0</v>
      </c>
      <c r="R281" s="25">
        <v>25</v>
      </c>
      <c r="S281" s="25">
        <v>-5000</v>
      </c>
      <c r="T281" s="25">
        <v>1</v>
      </c>
      <c r="U281" s="25">
        <v>0</v>
      </c>
      <c r="V281" s="25" t="s">
        <v>82</v>
      </c>
      <c r="W281" s="25" t="s">
        <v>82</v>
      </c>
      <c r="X281" s="25" t="s">
        <v>82</v>
      </c>
      <c r="Y281" s="30">
        <v>20010001</v>
      </c>
      <c r="Z281" s="30">
        <v>0</v>
      </c>
      <c r="AA281" s="25">
        <v>1</v>
      </c>
      <c r="AB281" s="31" t="s">
        <v>83</v>
      </c>
      <c r="AC281" s="25">
        <v>10000</v>
      </c>
      <c r="AD281" s="25">
        <v>10000</v>
      </c>
      <c r="AE281" s="25">
        <v>0</v>
      </c>
      <c r="AF281" s="31">
        <v>40</v>
      </c>
      <c r="AG281" s="31">
        <v>0</v>
      </c>
      <c r="AH281" s="31">
        <v>0</v>
      </c>
      <c r="AI281" s="31">
        <v>0</v>
      </c>
      <c r="AJ281" s="31">
        <v>0</v>
      </c>
    </row>
    <row r="282" spans="1:36" ht="14.25" x14ac:dyDescent="0.2">
      <c r="A282" s="25">
        <v>90000604</v>
      </c>
      <c r="B282" s="25">
        <v>3</v>
      </c>
      <c r="C282" s="25" t="s">
        <v>185</v>
      </c>
      <c r="D282" s="25"/>
      <c r="E282" s="26"/>
      <c r="F282" s="25"/>
      <c r="G282" s="25">
        <v>1</v>
      </c>
      <c r="H282" s="25">
        <v>2</v>
      </c>
      <c r="I282" s="33" t="s">
        <v>81</v>
      </c>
      <c r="J282" s="25">
        <v>0</v>
      </c>
      <c r="K282" s="25" t="s">
        <v>171</v>
      </c>
      <c r="L282" s="27">
        <v>800004031</v>
      </c>
      <c r="M282" s="25">
        <v>1</v>
      </c>
      <c r="N282" s="28">
        <v>60</v>
      </c>
      <c r="O282" s="25">
        <v>1</v>
      </c>
      <c r="P282" s="25">
        <v>8</v>
      </c>
      <c r="Q282" s="25">
        <v>0</v>
      </c>
      <c r="R282" s="25">
        <v>25</v>
      </c>
      <c r="S282" s="25">
        <v>-5000</v>
      </c>
      <c r="T282" s="25">
        <v>1</v>
      </c>
      <c r="U282" s="25">
        <v>0</v>
      </c>
      <c r="V282" s="25" t="s">
        <v>82</v>
      </c>
      <c r="W282" s="25" t="s">
        <v>82</v>
      </c>
      <c r="X282" s="25" t="s">
        <v>82</v>
      </c>
      <c r="Y282" s="30">
        <v>20010001</v>
      </c>
      <c r="Z282" s="30">
        <v>0</v>
      </c>
      <c r="AA282" s="25">
        <v>1</v>
      </c>
      <c r="AB282" s="31" t="s">
        <v>83</v>
      </c>
      <c r="AC282" s="25">
        <v>10000</v>
      </c>
      <c r="AD282" s="25">
        <v>10000</v>
      </c>
      <c r="AE282" s="25">
        <v>0</v>
      </c>
      <c r="AF282" s="31">
        <v>40</v>
      </c>
      <c r="AG282" s="31">
        <v>0</v>
      </c>
      <c r="AH282" s="31">
        <v>0</v>
      </c>
      <c r="AI282" s="31">
        <v>0</v>
      </c>
      <c r="AJ282" s="31">
        <v>0</v>
      </c>
    </row>
    <row r="283" spans="1:36" ht="14.25" x14ac:dyDescent="0.2">
      <c r="A283" s="25">
        <v>90000605</v>
      </c>
      <c r="B283" s="25">
        <v>3</v>
      </c>
      <c r="C283" s="25" t="s">
        <v>186</v>
      </c>
      <c r="D283" s="25"/>
      <c r="E283" s="26"/>
      <c r="F283" s="25"/>
      <c r="G283" s="25">
        <v>1</v>
      </c>
      <c r="H283" s="25">
        <v>2</v>
      </c>
      <c r="I283" s="33" t="s">
        <v>81</v>
      </c>
      <c r="J283" s="25">
        <v>0</v>
      </c>
      <c r="K283" s="25" t="s">
        <v>171</v>
      </c>
      <c r="L283" s="27">
        <v>800004031</v>
      </c>
      <c r="M283" s="25">
        <v>1</v>
      </c>
      <c r="N283" s="28">
        <v>120</v>
      </c>
      <c r="O283" s="25">
        <v>1</v>
      </c>
      <c r="P283" s="25">
        <v>8</v>
      </c>
      <c r="Q283" s="25">
        <v>0</v>
      </c>
      <c r="R283" s="25">
        <v>25</v>
      </c>
      <c r="S283" s="25">
        <v>-5000</v>
      </c>
      <c r="T283" s="25">
        <v>1</v>
      </c>
      <c r="U283" s="25">
        <v>0</v>
      </c>
      <c r="V283" s="25" t="s">
        <v>82</v>
      </c>
      <c r="W283" s="25" t="s">
        <v>82</v>
      </c>
      <c r="X283" s="25" t="s">
        <v>82</v>
      </c>
      <c r="Y283" s="30">
        <v>20010001</v>
      </c>
      <c r="Z283" s="30">
        <v>0</v>
      </c>
      <c r="AA283" s="25">
        <v>1</v>
      </c>
      <c r="AB283" s="31" t="s">
        <v>83</v>
      </c>
      <c r="AC283" s="25">
        <v>10000</v>
      </c>
      <c r="AD283" s="25">
        <v>10000</v>
      </c>
      <c r="AE283" s="25">
        <v>0</v>
      </c>
      <c r="AF283" s="31">
        <v>40</v>
      </c>
      <c r="AG283" s="31">
        <v>0</v>
      </c>
      <c r="AH283" s="31">
        <v>0</v>
      </c>
      <c r="AI283" s="31">
        <v>0</v>
      </c>
      <c r="AJ283" s="31">
        <v>0</v>
      </c>
    </row>
    <row r="284" spans="1:36" ht="14.25" x14ac:dyDescent="0.2">
      <c r="A284" s="25">
        <v>90000606</v>
      </c>
      <c r="B284" s="25">
        <v>3</v>
      </c>
      <c r="C284" s="25" t="s">
        <v>187</v>
      </c>
      <c r="D284" s="25"/>
      <c r="E284" s="26"/>
      <c r="F284" s="25"/>
      <c r="G284" s="25">
        <v>1</v>
      </c>
      <c r="H284" s="25">
        <v>2</v>
      </c>
      <c r="I284" s="33" t="s">
        <v>81</v>
      </c>
      <c r="J284" s="25">
        <v>0</v>
      </c>
      <c r="K284" s="25" t="s">
        <v>171</v>
      </c>
      <c r="L284" s="27">
        <v>800004031</v>
      </c>
      <c r="M284" s="25">
        <v>1</v>
      </c>
      <c r="N284" s="28">
        <v>240</v>
      </c>
      <c r="O284" s="25">
        <v>1</v>
      </c>
      <c r="P284" s="25">
        <v>8</v>
      </c>
      <c r="Q284" s="25">
        <v>0</v>
      </c>
      <c r="R284" s="25">
        <v>25</v>
      </c>
      <c r="S284" s="25">
        <v>-5000</v>
      </c>
      <c r="T284" s="25">
        <v>1</v>
      </c>
      <c r="U284" s="25">
        <v>0</v>
      </c>
      <c r="V284" s="25" t="s">
        <v>82</v>
      </c>
      <c r="W284" s="25" t="s">
        <v>82</v>
      </c>
      <c r="X284" s="25" t="s">
        <v>82</v>
      </c>
      <c r="Y284" s="30">
        <v>20010001</v>
      </c>
      <c r="Z284" s="30">
        <v>0</v>
      </c>
      <c r="AA284" s="25">
        <v>1</v>
      </c>
      <c r="AB284" s="31" t="s">
        <v>83</v>
      </c>
      <c r="AC284" s="25">
        <v>10000</v>
      </c>
      <c r="AD284" s="25">
        <v>10000</v>
      </c>
      <c r="AE284" s="25">
        <v>0</v>
      </c>
      <c r="AF284" s="31">
        <v>40</v>
      </c>
      <c r="AG284" s="31">
        <v>0</v>
      </c>
      <c r="AH284" s="31">
        <v>0</v>
      </c>
      <c r="AI284" s="31">
        <v>0</v>
      </c>
      <c r="AJ284" s="31">
        <v>0</v>
      </c>
    </row>
    <row r="285" spans="1:36" ht="14.25" x14ac:dyDescent="0.2">
      <c r="A285" s="25">
        <v>90000607</v>
      </c>
      <c r="B285" s="25">
        <v>3</v>
      </c>
      <c r="C285" s="25" t="s">
        <v>188</v>
      </c>
      <c r="D285" s="25"/>
      <c r="E285" s="26"/>
      <c r="F285" s="25"/>
      <c r="G285" s="25">
        <v>1</v>
      </c>
      <c r="H285" s="25">
        <v>2</v>
      </c>
      <c r="I285" s="33" t="s">
        <v>81</v>
      </c>
      <c r="J285" s="25">
        <v>0</v>
      </c>
      <c r="K285" s="25" t="s">
        <v>171</v>
      </c>
      <c r="L285" s="27">
        <v>800004031</v>
      </c>
      <c r="M285" s="25">
        <v>1</v>
      </c>
      <c r="N285" s="28">
        <v>350</v>
      </c>
      <c r="O285" s="25">
        <v>1</v>
      </c>
      <c r="P285" s="25">
        <v>8</v>
      </c>
      <c r="Q285" s="25">
        <v>0</v>
      </c>
      <c r="R285" s="25">
        <v>25</v>
      </c>
      <c r="S285" s="25">
        <v>-5000</v>
      </c>
      <c r="T285" s="25">
        <v>1</v>
      </c>
      <c r="U285" s="25">
        <v>0</v>
      </c>
      <c r="V285" s="25" t="s">
        <v>82</v>
      </c>
      <c r="W285" s="25" t="s">
        <v>82</v>
      </c>
      <c r="X285" s="25" t="s">
        <v>82</v>
      </c>
      <c r="Y285" s="30">
        <v>20010001</v>
      </c>
      <c r="Z285" s="30">
        <v>0</v>
      </c>
      <c r="AA285" s="25">
        <v>1</v>
      </c>
      <c r="AB285" s="31" t="s">
        <v>83</v>
      </c>
      <c r="AC285" s="25">
        <v>10000</v>
      </c>
      <c r="AD285" s="25">
        <v>10000</v>
      </c>
      <c r="AE285" s="25">
        <v>0</v>
      </c>
      <c r="AF285" s="31">
        <v>40</v>
      </c>
      <c r="AG285" s="31">
        <v>0</v>
      </c>
      <c r="AH285" s="31">
        <v>0</v>
      </c>
      <c r="AI285" s="31">
        <v>0</v>
      </c>
      <c r="AJ285" s="31">
        <v>0</v>
      </c>
    </row>
    <row r="286" spans="1:36" ht="14.25" x14ac:dyDescent="0.2">
      <c r="A286" s="25">
        <v>90000608</v>
      </c>
      <c r="B286" s="25">
        <v>3</v>
      </c>
      <c r="C286" s="25" t="s">
        <v>189</v>
      </c>
      <c r="D286" s="25"/>
      <c r="E286" s="26"/>
      <c r="F286" s="25"/>
      <c r="G286" s="25">
        <v>1</v>
      </c>
      <c r="H286" s="25">
        <v>2</v>
      </c>
      <c r="I286" s="33" t="s">
        <v>81</v>
      </c>
      <c r="J286" s="25">
        <v>0</v>
      </c>
      <c r="K286" s="25" t="s">
        <v>171</v>
      </c>
      <c r="L286" s="27">
        <v>800004031</v>
      </c>
      <c r="M286" s="25">
        <v>1</v>
      </c>
      <c r="N286" s="28">
        <v>900</v>
      </c>
      <c r="O286" s="25">
        <v>1</v>
      </c>
      <c r="P286" s="25">
        <v>8</v>
      </c>
      <c r="Q286" s="25">
        <v>0</v>
      </c>
      <c r="R286" s="25">
        <v>25</v>
      </c>
      <c r="S286" s="25">
        <v>-5000</v>
      </c>
      <c r="T286" s="25">
        <v>1</v>
      </c>
      <c r="U286" s="25">
        <v>0</v>
      </c>
      <c r="V286" s="25" t="s">
        <v>82</v>
      </c>
      <c r="W286" s="25" t="s">
        <v>82</v>
      </c>
      <c r="X286" s="25" t="s">
        <v>82</v>
      </c>
      <c r="Y286" s="30">
        <v>20010001</v>
      </c>
      <c r="Z286" s="30">
        <v>0</v>
      </c>
      <c r="AA286" s="25">
        <v>1</v>
      </c>
      <c r="AB286" s="31" t="s">
        <v>83</v>
      </c>
      <c r="AC286" s="25">
        <v>10000</v>
      </c>
      <c r="AD286" s="25">
        <v>10000</v>
      </c>
      <c r="AE286" s="25">
        <v>0</v>
      </c>
      <c r="AF286" s="31">
        <v>40</v>
      </c>
      <c r="AG286" s="31">
        <v>0</v>
      </c>
      <c r="AH286" s="31">
        <v>0</v>
      </c>
      <c r="AI286" s="31">
        <v>0</v>
      </c>
      <c r="AJ286" s="31">
        <v>0</v>
      </c>
    </row>
    <row r="287" spans="1:36" ht="14.25" x14ac:dyDescent="0.2">
      <c r="A287" s="25">
        <v>90000701</v>
      </c>
      <c r="B287" s="25">
        <v>3</v>
      </c>
      <c r="C287" s="25" t="s">
        <v>190</v>
      </c>
      <c r="D287" s="25"/>
      <c r="E287" s="26"/>
      <c r="F287" s="25"/>
      <c r="G287" s="25">
        <v>1</v>
      </c>
      <c r="H287" s="25">
        <v>2</v>
      </c>
      <c r="I287" s="33" t="s">
        <v>81</v>
      </c>
      <c r="J287" s="25">
        <v>0</v>
      </c>
      <c r="K287" s="25" t="s">
        <v>168</v>
      </c>
      <c r="L287" s="27">
        <v>800001031</v>
      </c>
      <c r="M287" s="25">
        <v>1</v>
      </c>
      <c r="N287" s="28">
        <v>9</v>
      </c>
      <c r="O287" s="25">
        <v>1</v>
      </c>
      <c r="P287" s="25">
        <v>8</v>
      </c>
      <c r="Q287" s="25">
        <v>0</v>
      </c>
      <c r="R287" s="25">
        <v>25</v>
      </c>
      <c r="S287" s="25">
        <v>-5000</v>
      </c>
      <c r="T287" s="25">
        <v>1</v>
      </c>
      <c r="U287" s="25">
        <v>0</v>
      </c>
      <c r="V287" s="25" t="s">
        <v>82</v>
      </c>
      <c r="W287" s="25" t="s">
        <v>82</v>
      </c>
      <c r="X287" s="25" t="s">
        <v>82</v>
      </c>
      <c r="Y287" s="30">
        <v>20010001</v>
      </c>
      <c r="Z287" s="30">
        <v>0</v>
      </c>
      <c r="AA287" s="25">
        <v>1</v>
      </c>
      <c r="AB287" s="31" t="s">
        <v>83</v>
      </c>
      <c r="AC287" s="25">
        <v>10000</v>
      </c>
      <c r="AD287" s="25">
        <v>10000</v>
      </c>
      <c r="AE287" s="25">
        <v>0</v>
      </c>
      <c r="AF287" s="31">
        <v>40</v>
      </c>
      <c r="AG287" s="31">
        <v>0</v>
      </c>
      <c r="AH287" s="31">
        <v>0</v>
      </c>
      <c r="AI287" s="31">
        <v>0</v>
      </c>
      <c r="AJ287" s="31">
        <v>0</v>
      </c>
    </row>
    <row r="288" spans="1:36" ht="14.25" x14ac:dyDescent="0.2">
      <c r="A288" s="25">
        <v>90000702</v>
      </c>
      <c r="B288" s="25">
        <v>3</v>
      </c>
      <c r="C288" s="25" t="s">
        <v>191</v>
      </c>
      <c r="D288" s="25"/>
      <c r="E288" s="26"/>
      <c r="F288" s="25"/>
      <c r="G288" s="25">
        <v>1</v>
      </c>
      <c r="H288" s="25">
        <v>2</v>
      </c>
      <c r="I288" s="33" t="s">
        <v>81</v>
      </c>
      <c r="J288" s="25">
        <v>0</v>
      </c>
      <c r="K288" s="25" t="s">
        <v>168</v>
      </c>
      <c r="L288" s="27">
        <v>800001031</v>
      </c>
      <c r="M288" s="25">
        <v>1</v>
      </c>
      <c r="N288" s="28">
        <v>18</v>
      </c>
      <c r="O288" s="25">
        <v>1</v>
      </c>
      <c r="P288" s="25">
        <v>8</v>
      </c>
      <c r="Q288" s="25">
        <v>0</v>
      </c>
      <c r="R288" s="25">
        <v>25</v>
      </c>
      <c r="S288" s="25">
        <v>-5000</v>
      </c>
      <c r="T288" s="25">
        <v>1</v>
      </c>
      <c r="U288" s="25">
        <v>0</v>
      </c>
      <c r="V288" s="25" t="s">
        <v>82</v>
      </c>
      <c r="W288" s="25" t="s">
        <v>82</v>
      </c>
      <c r="X288" s="25" t="s">
        <v>82</v>
      </c>
      <c r="Y288" s="30">
        <v>20010001</v>
      </c>
      <c r="Z288" s="30">
        <v>0</v>
      </c>
      <c r="AA288" s="25">
        <v>1</v>
      </c>
      <c r="AB288" s="31" t="s">
        <v>83</v>
      </c>
      <c r="AC288" s="25">
        <v>10000</v>
      </c>
      <c r="AD288" s="25">
        <v>10000</v>
      </c>
      <c r="AE288" s="25">
        <v>0</v>
      </c>
      <c r="AF288" s="31">
        <v>40</v>
      </c>
      <c r="AG288" s="31">
        <v>0</v>
      </c>
      <c r="AH288" s="31">
        <v>0</v>
      </c>
      <c r="AI288" s="31">
        <v>0</v>
      </c>
      <c r="AJ288" s="31">
        <v>0</v>
      </c>
    </row>
    <row r="289" spans="1:36" ht="14.25" x14ac:dyDescent="0.2">
      <c r="A289" s="25">
        <v>90000703</v>
      </c>
      <c r="B289" s="25">
        <v>3</v>
      </c>
      <c r="C289" s="25" t="s">
        <v>192</v>
      </c>
      <c r="D289" s="25"/>
      <c r="E289" s="26"/>
      <c r="F289" s="25"/>
      <c r="G289" s="25">
        <v>1</v>
      </c>
      <c r="H289" s="25">
        <v>2</v>
      </c>
      <c r="I289" s="33" t="s">
        <v>81</v>
      </c>
      <c r="J289" s="25">
        <v>0</v>
      </c>
      <c r="K289" s="25" t="s">
        <v>168</v>
      </c>
      <c r="L289" s="27">
        <v>800001031</v>
      </c>
      <c r="M289" s="25">
        <v>1</v>
      </c>
      <c r="N289" s="28">
        <v>27</v>
      </c>
      <c r="O289" s="25">
        <v>1</v>
      </c>
      <c r="P289" s="25">
        <v>8</v>
      </c>
      <c r="Q289" s="25">
        <v>0</v>
      </c>
      <c r="R289" s="25">
        <v>25</v>
      </c>
      <c r="S289" s="25">
        <v>-5000</v>
      </c>
      <c r="T289" s="25">
        <v>1</v>
      </c>
      <c r="U289" s="25">
        <v>0</v>
      </c>
      <c r="V289" s="25" t="s">
        <v>82</v>
      </c>
      <c r="W289" s="25" t="s">
        <v>82</v>
      </c>
      <c r="X289" s="25" t="s">
        <v>82</v>
      </c>
      <c r="Y289" s="30">
        <v>20010001</v>
      </c>
      <c r="Z289" s="30">
        <v>0</v>
      </c>
      <c r="AA289" s="25">
        <v>1</v>
      </c>
      <c r="AB289" s="31" t="s">
        <v>83</v>
      </c>
      <c r="AC289" s="25">
        <v>10000</v>
      </c>
      <c r="AD289" s="25">
        <v>10000</v>
      </c>
      <c r="AE289" s="25">
        <v>0</v>
      </c>
      <c r="AF289" s="31">
        <v>40</v>
      </c>
      <c r="AG289" s="31">
        <v>0</v>
      </c>
      <c r="AH289" s="31">
        <v>0</v>
      </c>
      <c r="AI289" s="31">
        <v>0</v>
      </c>
      <c r="AJ289" s="31">
        <v>0</v>
      </c>
    </row>
    <row r="290" spans="1:36" ht="14.25" x14ac:dyDescent="0.2">
      <c r="A290" s="25">
        <v>90000704</v>
      </c>
      <c r="B290" s="25">
        <v>3</v>
      </c>
      <c r="C290" s="25" t="s">
        <v>193</v>
      </c>
      <c r="D290" s="25"/>
      <c r="E290" s="26"/>
      <c r="F290" s="25"/>
      <c r="G290" s="25">
        <v>1</v>
      </c>
      <c r="H290" s="25">
        <v>2</v>
      </c>
      <c r="I290" s="33" t="s">
        <v>81</v>
      </c>
      <c r="J290" s="25">
        <v>0</v>
      </c>
      <c r="K290" s="25" t="s">
        <v>168</v>
      </c>
      <c r="L290" s="27">
        <v>800001031</v>
      </c>
      <c r="M290" s="25">
        <v>1</v>
      </c>
      <c r="N290" s="28">
        <v>32</v>
      </c>
      <c r="O290" s="25">
        <v>1</v>
      </c>
      <c r="P290" s="25">
        <v>8</v>
      </c>
      <c r="Q290" s="25">
        <v>0</v>
      </c>
      <c r="R290" s="25">
        <v>25</v>
      </c>
      <c r="S290" s="25">
        <v>-5000</v>
      </c>
      <c r="T290" s="25">
        <v>1</v>
      </c>
      <c r="U290" s="25">
        <v>0</v>
      </c>
      <c r="V290" s="25" t="s">
        <v>82</v>
      </c>
      <c r="W290" s="25" t="s">
        <v>82</v>
      </c>
      <c r="X290" s="25" t="s">
        <v>82</v>
      </c>
      <c r="Y290" s="30">
        <v>20010001</v>
      </c>
      <c r="Z290" s="30">
        <v>0</v>
      </c>
      <c r="AA290" s="25">
        <v>1</v>
      </c>
      <c r="AB290" s="31" t="s">
        <v>83</v>
      </c>
      <c r="AC290" s="25">
        <v>10000</v>
      </c>
      <c r="AD290" s="25">
        <v>10000</v>
      </c>
      <c r="AE290" s="25">
        <v>0</v>
      </c>
      <c r="AF290" s="31">
        <v>40</v>
      </c>
      <c r="AG290" s="31">
        <v>0</v>
      </c>
      <c r="AH290" s="31">
        <v>0</v>
      </c>
      <c r="AI290" s="31">
        <v>0</v>
      </c>
      <c r="AJ290" s="31">
        <v>0</v>
      </c>
    </row>
    <row r="291" spans="1:36" ht="14.25" x14ac:dyDescent="0.2">
      <c r="A291" s="25">
        <v>90000705</v>
      </c>
      <c r="B291" s="25">
        <v>3</v>
      </c>
      <c r="C291" s="25" t="s">
        <v>194</v>
      </c>
      <c r="D291" s="25"/>
      <c r="E291" s="26"/>
      <c r="F291" s="25"/>
      <c r="G291" s="25">
        <v>1</v>
      </c>
      <c r="H291" s="25">
        <v>2</v>
      </c>
      <c r="I291" s="33" t="s">
        <v>81</v>
      </c>
      <c r="J291" s="25">
        <v>0</v>
      </c>
      <c r="K291" s="25" t="s">
        <v>168</v>
      </c>
      <c r="L291" s="27">
        <v>800001031</v>
      </c>
      <c r="M291" s="25">
        <v>1</v>
      </c>
      <c r="N291" s="28">
        <v>48</v>
      </c>
      <c r="O291" s="25">
        <v>1</v>
      </c>
      <c r="P291" s="25">
        <v>8</v>
      </c>
      <c r="Q291" s="25">
        <v>0</v>
      </c>
      <c r="R291" s="25">
        <v>25</v>
      </c>
      <c r="S291" s="25">
        <v>-5000</v>
      </c>
      <c r="T291" s="25">
        <v>1</v>
      </c>
      <c r="U291" s="25">
        <v>0</v>
      </c>
      <c r="V291" s="25" t="s">
        <v>82</v>
      </c>
      <c r="W291" s="25" t="s">
        <v>82</v>
      </c>
      <c r="X291" s="25" t="s">
        <v>82</v>
      </c>
      <c r="Y291" s="30">
        <v>20010001</v>
      </c>
      <c r="Z291" s="30">
        <v>0</v>
      </c>
      <c r="AA291" s="25">
        <v>1</v>
      </c>
      <c r="AB291" s="31" t="s">
        <v>83</v>
      </c>
      <c r="AC291" s="25">
        <v>10000</v>
      </c>
      <c r="AD291" s="25">
        <v>10000</v>
      </c>
      <c r="AE291" s="25">
        <v>0</v>
      </c>
      <c r="AF291" s="31">
        <v>40</v>
      </c>
      <c r="AG291" s="31">
        <v>0</v>
      </c>
      <c r="AH291" s="31">
        <v>0</v>
      </c>
      <c r="AI291" s="31">
        <v>0</v>
      </c>
      <c r="AJ291" s="31">
        <v>0</v>
      </c>
    </row>
    <row r="292" spans="1:36" ht="14.25" x14ac:dyDescent="0.2">
      <c r="A292" s="25">
        <v>90000706</v>
      </c>
      <c r="B292" s="25">
        <v>3</v>
      </c>
      <c r="C292" s="25" t="s">
        <v>195</v>
      </c>
      <c r="D292" s="25"/>
      <c r="E292" s="26"/>
      <c r="F292" s="25"/>
      <c r="G292" s="25">
        <v>1</v>
      </c>
      <c r="H292" s="25">
        <v>2</v>
      </c>
      <c r="I292" s="33" t="s">
        <v>81</v>
      </c>
      <c r="J292" s="25">
        <v>0</v>
      </c>
      <c r="K292" s="25" t="s">
        <v>168</v>
      </c>
      <c r="L292" s="27">
        <v>800001031</v>
      </c>
      <c r="M292" s="25">
        <v>1</v>
      </c>
      <c r="N292" s="28">
        <v>135</v>
      </c>
      <c r="O292" s="25">
        <v>1</v>
      </c>
      <c r="P292" s="25">
        <v>8</v>
      </c>
      <c r="Q292" s="25">
        <v>0</v>
      </c>
      <c r="R292" s="25">
        <v>25</v>
      </c>
      <c r="S292" s="25">
        <v>-5000</v>
      </c>
      <c r="T292" s="25">
        <v>1</v>
      </c>
      <c r="U292" s="25">
        <v>0</v>
      </c>
      <c r="V292" s="25" t="s">
        <v>82</v>
      </c>
      <c r="W292" s="25" t="s">
        <v>82</v>
      </c>
      <c r="X292" s="25" t="s">
        <v>82</v>
      </c>
      <c r="Y292" s="30">
        <v>20010001</v>
      </c>
      <c r="Z292" s="30">
        <v>0</v>
      </c>
      <c r="AA292" s="25">
        <v>1</v>
      </c>
      <c r="AB292" s="31" t="s">
        <v>83</v>
      </c>
      <c r="AC292" s="25">
        <v>10000</v>
      </c>
      <c r="AD292" s="25">
        <v>10000</v>
      </c>
      <c r="AE292" s="25">
        <v>0</v>
      </c>
      <c r="AF292" s="31">
        <v>40</v>
      </c>
      <c r="AG292" s="31">
        <v>0</v>
      </c>
      <c r="AH292" s="31">
        <v>0</v>
      </c>
      <c r="AI292" s="31">
        <v>0</v>
      </c>
      <c r="AJ292" s="31">
        <v>0</v>
      </c>
    </row>
    <row r="293" spans="1:36" ht="14.25" x14ac:dyDescent="0.2">
      <c r="A293" s="25">
        <v>90000707</v>
      </c>
      <c r="B293" s="25">
        <v>3</v>
      </c>
      <c r="C293" s="25" t="s">
        <v>196</v>
      </c>
      <c r="D293" s="25"/>
      <c r="E293" s="26"/>
      <c r="F293" s="25"/>
      <c r="G293" s="25">
        <v>1</v>
      </c>
      <c r="H293" s="25">
        <v>2</v>
      </c>
      <c r="I293" s="33" t="s">
        <v>81</v>
      </c>
      <c r="J293" s="25">
        <v>0</v>
      </c>
      <c r="K293" s="25" t="s">
        <v>168</v>
      </c>
      <c r="L293" s="27">
        <v>800001031</v>
      </c>
      <c r="M293" s="25">
        <v>1</v>
      </c>
      <c r="N293" s="28">
        <v>250</v>
      </c>
      <c r="O293" s="25">
        <v>1</v>
      </c>
      <c r="P293" s="25">
        <v>8</v>
      </c>
      <c r="Q293" s="25">
        <v>0</v>
      </c>
      <c r="R293" s="25">
        <v>25</v>
      </c>
      <c r="S293" s="25">
        <v>-5000</v>
      </c>
      <c r="T293" s="25">
        <v>1</v>
      </c>
      <c r="U293" s="25">
        <v>0</v>
      </c>
      <c r="V293" s="25" t="s">
        <v>82</v>
      </c>
      <c r="W293" s="25" t="s">
        <v>82</v>
      </c>
      <c r="X293" s="25" t="s">
        <v>82</v>
      </c>
      <c r="Y293" s="30">
        <v>20010001</v>
      </c>
      <c r="Z293" s="30">
        <v>0</v>
      </c>
      <c r="AA293" s="25">
        <v>1</v>
      </c>
      <c r="AB293" s="31" t="s">
        <v>83</v>
      </c>
      <c r="AC293" s="25">
        <v>10000</v>
      </c>
      <c r="AD293" s="25">
        <v>10000</v>
      </c>
      <c r="AE293" s="25">
        <v>0</v>
      </c>
      <c r="AF293" s="31">
        <v>40</v>
      </c>
      <c r="AG293" s="31">
        <v>0</v>
      </c>
      <c r="AH293" s="31">
        <v>0</v>
      </c>
      <c r="AI293" s="31">
        <v>0</v>
      </c>
      <c r="AJ293" s="31">
        <v>0</v>
      </c>
    </row>
    <row r="294" spans="1:36" ht="14.25" x14ac:dyDescent="0.2">
      <c r="A294" s="25">
        <v>90000708</v>
      </c>
      <c r="B294" s="25">
        <v>3</v>
      </c>
      <c r="C294" s="25" t="s">
        <v>197</v>
      </c>
      <c r="D294" s="25"/>
      <c r="E294" s="26"/>
      <c r="F294" s="25"/>
      <c r="G294" s="25">
        <v>1</v>
      </c>
      <c r="H294" s="25">
        <v>2</v>
      </c>
      <c r="I294" s="33" t="s">
        <v>81</v>
      </c>
      <c r="J294" s="25">
        <v>0</v>
      </c>
      <c r="K294" s="25" t="s">
        <v>168</v>
      </c>
      <c r="L294" s="27">
        <v>800001031</v>
      </c>
      <c r="M294" s="25">
        <v>1</v>
      </c>
      <c r="N294" s="28">
        <v>450</v>
      </c>
      <c r="O294" s="25">
        <v>1</v>
      </c>
      <c r="P294" s="25">
        <v>8</v>
      </c>
      <c r="Q294" s="25">
        <v>0</v>
      </c>
      <c r="R294" s="25">
        <v>25</v>
      </c>
      <c r="S294" s="25">
        <v>-5000</v>
      </c>
      <c r="T294" s="25">
        <v>1</v>
      </c>
      <c r="U294" s="25">
        <v>0</v>
      </c>
      <c r="V294" s="25" t="s">
        <v>82</v>
      </c>
      <c r="W294" s="25" t="s">
        <v>82</v>
      </c>
      <c r="X294" s="25" t="s">
        <v>82</v>
      </c>
      <c r="Y294" s="30">
        <v>20010001</v>
      </c>
      <c r="Z294" s="30">
        <v>0</v>
      </c>
      <c r="AA294" s="25">
        <v>1</v>
      </c>
      <c r="AB294" s="31" t="s">
        <v>83</v>
      </c>
      <c r="AC294" s="25">
        <v>10000</v>
      </c>
      <c r="AD294" s="25">
        <v>10000</v>
      </c>
      <c r="AE294" s="25">
        <v>0</v>
      </c>
      <c r="AF294" s="31">
        <v>40</v>
      </c>
      <c r="AG294" s="31">
        <v>0</v>
      </c>
      <c r="AH294" s="31">
        <v>0</v>
      </c>
      <c r="AI294" s="31">
        <v>0</v>
      </c>
      <c r="AJ294" s="31">
        <v>0</v>
      </c>
    </row>
    <row r="295" spans="1:36" ht="14.25" x14ac:dyDescent="0.2">
      <c r="A295" s="25">
        <v>90000709</v>
      </c>
      <c r="B295" s="25">
        <v>3</v>
      </c>
      <c r="C295" s="25" t="s">
        <v>198</v>
      </c>
      <c r="D295" s="25"/>
      <c r="E295" s="26"/>
      <c r="F295" s="25"/>
      <c r="G295" s="25">
        <v>1</v>
      </c>
      <c r="H295" s="25">
        <v>2</v>
      </c>
      <c r="I295" s="33" t="s">
        <v>81</v>
      </c>
      <c r="J295" s="25">
        <v>0</v>
      </c>
      <c r="K295" s="25" t="s">
        <v>168</v>
      </c>
      <c r="L295" s="27">
        <v>800001031</v>
      </c>
      <c r="M295" s="25">
        <v>1</v>
      </c>
      <c r="N295" s="28">
        <v>500</v>
      </c>
      <c r="O295" s="25">
        <v>1</v>
      </c>
      <c r="P295" s="25">
        <v>8</v>
      </c>
      <c r="Q295" s="25">
        <v>0</v>
      </c>
      <c r="R295" s="25">
        <v>25</v>
      </c>
      <c r="S295" s="25">
        <v>-5000</v>
      </c>
      <c r="T295" s="25">
        <v>1</v>
      </c>
      <c r="U295" s="25">
        <v>0</v>
      </c>
      <c r="V295" s="25" t="s">
        <v>82</v>
      </c>
      <c r="W295" s="25" t="s">
        <v>82</v>
      </c>
      <c r="X295" s="25" t="s">
        <v>82</v>
      </c>
      <c r="Y295" s="30">
        <v>20010001</v>
      </c>
      <c r="Z295" s="30">
        <v>0</v>
      </c>
      <c r="AA295" s="25">
        <v>1</v>
      </c>
      <c r="AB295" s="31" t="s">
        <v>83</v>
      </c>
      <c r="AC295" s="25">
        <v>10000</v>
      </c>
      <c r="AD295" s="25">
        <v>10000</v>
      </c>
      <c r="AE295" s="25">
        <v>0</v>
      </c>
      <c r="AF295" s="31">
        <v>40</v>
      </c>
      <c r="AG295" s="31">
        <v>0</v>
      </c>
      <c r="AH295" s="31">
        <v>0</v>
      </c>
      <c r="AI295" s="31">
        <v>0</v>
      </c>
      <c r="AJ295" s="31">
        <v>0</v>
      </c>
    </row>
    <row r="296" spans="1:36" ht="14.25" x14ac:dyDescent="0.2">
      <c r="A296" s="25">
        <v>90000710</v>
      </c>
      <c r="B296" s="25">
        <v>3</v>
      </c>
      <c r="C296" s="25" t="s">
        <v>199</v>
      </c>
      <c r="D296" s="25"/>
      <c r="E296" s="26"/>
      <c r="F296" s="25"/>
      <c r="G296" s="25">
        <v>1</v>
      </c>
      <c r="H296" s="25">
        <v>2</v>
      </c>
      <c r="I296" s="33" t="s">
        <v>81</v>
      </c>
      <c r="J296" s="25">
        <v>0</v>
      </c>
      <c r="K296" s="25" t="s">
        <v>168</v>
      </c>
      <c r="L296" s="27">
        <v>800001031</v>
      </c>
      <c r="M296" s="25">
        <v>1</v>
      </c>
      <c r="N296" s="28">
        <v>1200</v>
      </c>
      <c r="O296" s="25">
        <v>1</v>
      </c>
      <c r="P296" s="25">
        <v>8</v>
      </c>
      <c r="Q296" s="25">
        <v>0</v>
      </c>
      <c r="R296" s="25">
        <v>25</v>
      </c>
      <c r="S296" s="25">
        <v>-5000</v>
      </c>
      <c r="T296" s="25">
        <v>1</v>
      </c>
      <c r="U296" s="25">
        <v>0</v>
      </c>
      <c r="V296" s="25" t="s">
        <v>82</v>
      </c>
      <c r="W296" s="25" t="s">
        <v>82</v>
      </c>
      <c r="X296" s="25" t="s">
        <v>82</v>
      </c>
      <c r="Y296" s="30">
        <v>20010001</v>
      </c>
      <c r="Z296" s="30">
        <v>0</v>
      </c>
      <c r="AA296" s="25">
        <v>1</v>
      </c>
      <c r="AB296" s="31" t="s">
        <v>83</v>
      </c>
      <c r="AC296" s="25">
        <v>10000</v>
      </c>
      <c r="AD296" s="25">
        <v>10000</v>
      </c>
      <c r="AE296" s="25">
        <v>0</v>
      </c>
      <c r="AF296" s="31">
        <v>40</v>
      </c>
      <c r="AG296" s="31">
        <v>0</v>
      </c>
      <c r="AH296" s="31">
        <v>0</v>
      </c>
      <c r="AI296" s="31">
        <v>0</v>
      </c>
      <c r="AJ296" s="31">
        <v>0</v>
      </c>
    </row>
    <row r="297" spans="1:36" ht="14.25" x14ac:dyDescent="0.2">
      <c r="A297" s="25">
        <v>90000711</v>
      </c>
      <c r="B297" s="25">
        <v>3</v>
      </c>
      <c r="C297" s="25" t="s">
        <v>200</v>
      </c>
      <c r="D297" s="25"/>
      <c r="E297" s="26"/>
      <c r="F297" s="25"/>
      <c r="G297" s="25">
        <v>1</v>
      </c>
      <c r="H297" s="25">
        <v>2</v>
      </c>
      <c r="I297" s="33" t="s">
        <v>81</v>
      </c>
      <c r="J297" s="25">
        <v>0</v>
      </c>
      <c r="K297" s="25" t="s">
        <v>168</v>
      </c>
      <c r="L297" s="27">
        <v>800001031</v>
      </c>
      <c r="M297" s="25">
        <v>1</v>
      </c>
      <c r="N297" s="28">
        <v>1500</v>
      </c>
      <c r="O297" s="25">
        <v>1</v>
      </c>
      <c r="P297" s="25">
        <v>8</v>
      </c>
      <c r="Q297" s="25">
        <v>0</v>
      </c>
      <c r="R297" s="25">
        <v>25</v>
      </c>
      <c r="S297" s="25">
        <v>-5000</v>
      </c>
      <c r="T297" s="25">
        <v>1</v>
      </c>
      <c r="U297" s="25">
        <v>0</v>
      </c>
      <c r="V297" s="25" t="s">
        <v>82</v>
      </c>
      <c r="W297" s="25" t="s">
        <v>82</v>
      </c>
      <c r="X297" s="25" t="s">
        <v>82</v>
      </c>
      <c r="Y297" s="30">
        <v>20010001</v>
      </c>
      <c r="Z297" s="30">
        <v>0</v>
      </c>
      <c r="AA297" s="25">
        <v>1</v>
      </c>
      <c r="AB297" s="31" t="s">
        <v>83</v>
      </c>
      <c r="AC297" s="25">
        <v>10000</v>
      </c>
      <c r="AD297" s="25">
        <v>10000</v>
      </c>
      <c r="AE297" s="25">
        <v>0</v>
      </c>
      <c r="AF297" s="31">
        <v>40</v>
      </c>
      <c r="AG297" s="31">
        <v>0</v>
      </c>
      <c r="AH297" s="31">
        <v>0</v>
      </c>
      <c r="AI297" s="31">
        <v>0</v>
      </c>
      <c r="AJ297" s="31">
        <v>0</v>
      </c>
    </row>
    <row r="298" spans="1:36" ht="14.25" x14ac:dyDescent="0.2">
      <c r="A298" s="25">
        <v>90000712</v>
      </c>
      <c r="B298" s="25">
        <v>3</v>
      </c>
      <c r="C298" s="25" t="s">
        <v>201</v>
      </c>
      <c r="D298" s="25"/>
      <c r="E298" s="26"/>
      <c r="F298" s="25"/>
      <c r="G298" s="25">
        <v>1</v>
      </c>
      <c r="H298" s="25">
        <v>2</v>
      </c>
      <c r="I298" s="33" t="s">
        <v>81</v>
      </c>
      <c r="J298" s="25">
        <v>0</v>
      </c>
      <c r="K298" s="25" t="s">
        <v>168</v>
      </c>
      <c r="L298" s="27">
        <v>800001031</v>
      </c>
      <c r="M298" s="25">
        <v>1</v>
      </c>
      <c r="N298" s="28">
        <v>3200</v>
      </c>
      <c r="O298" s="25">
        <v>1</v>
      </c>
      <c r="P298" s="25">
        <v>8</v>
      </c>
      <c r="Q298" s="25">
        <v>0</v>
      </c>
      <c r="R298" s="25">
        <v>25</v>
      </c>
      <c r="S298" s="25">
        <v>-5000</v>
      </c>
      <c r="T298" s="25">
        <v>1</v>
      </c>
      <c r="U298" s="25">
        <v>0</v>
      </c>
      <c r="V298" s="25" t="s">
        <v>82</v>
      </c>
      <c r="W298" s="25" t="s">
        <v>82</v>
      </c>
      <c r="X298" s="25" t="s">
        <v>82</v>
      </c>
      <c r="Y298" s="30">
        <v>20010001</v>
      </c>
      <c r="Z298" s="30">
        <v>0</v>
      </c>
      <c r="AA298" s="25">
        <v>1</v>
      </c>
      <c r="AB298" s="31" t="s">
        <v>83</v>
      </c>
      <c r="AC298" s="25">
        <v>10000</v>
      </c>
      <c r="AD298" s="25">
        <v>10000</v>
      </c>
      <c r="AE298" s="25">
        <v>0</v>
      </c>
      <c r="AF298" s="31">
        <v>40</v>
      </c>
      <c r="AG298" s="31">
        <v>0</v>
      </c>
      <c r="AH298" s="31">
        <v>0</v>
      </c>
      <c r="AI298" s="31">
        <v>0</v>
      </c>
      <c r="AJ298" s="31">
        <v>0</v>
      </c>
    </row>
    <row r="299" spans="1:36" ht="14.25" x14ac:dyDescent="0.2">
      <c r="A299" s="25">
        <v>90000713</v>
      </c>
      <c r="B299" s="25">
        <v>3</v>
      </c>
      <c r="C299" s="25" t="s">
        <v>202</v>
      </c>
      <c r="D299" s="25"/>
      <c r="E299" s="26"/>
      <c r="F299" s="25"/>
      <c r="G299" s="25">
        <v>1</v>
      </c>
      <c r="H299" s="25">
        <v>2</v>
      </c>
      <c r="I299" s="33" t="s">
        <v>81</v>
      </c>
      <c r="J299" s="25">
        <v>0</v>
      </c>
      <c r="K299" s="25" t="s">
        <v>168</v>
      </c>
      <c r="L299" s="27">
        <v>800001031</v>
      </c>
      <c r="M299" s="25">
        <v>1</v>
      </c>
      <c r="N299" s="28">
        <v>3500</v>
      </c>
      <c r="O299" s="25">
        <v>1</v>
      </c>
      <c r="P299" s="25">
        <v>8</v>
      </c>
      <c r="Q299" s="25">
        <v>0</v>
      </c>
      <c r="R299" s="25">
        <v>25</v>
      </c>
      <c r="S299" s="25">
        <v>-5000</v>
      </c>
      <c r="T299" s="25">
        <v>1</v>
      </c>
      <c r="U299" s="25">
        <v>0</v>
      </c>
      <c r="V299" s="25" t="s">
        <v>82</v>
      </c>
      <c r="W299" s="25" t="s">
        <v>82</v>
      </c>
      <c r="X299" s="25" t="s">
        <v>82</v>
      </c>
      <c r="Y299" s="30">
        <v>20010001</v>
      </c>
      <c r="Z299" s="30">
        <v>0</v>
      </c>
      <c r="AA299" s="25">
        <v>1</v>
      </c>
      <c r="AB299" s="31" t="s">
        <v>83</v>
      </c>
      <c r="AC299" s="25">
        <v>10000</v>
      </c>
      <c r="AD299" s="25">
        <v>10000</v>
      </c>
      <c r="AE299" s="25">
        <v>0</v>
      </c>
      <c r="AF299" s="31">
        <v>40</v>
      </c>
      <c r="AG299" s="31">
        <v>0</v>
      </c>
      <c r="AH299" s="31">
        <v>0</v>
      </c>
      <c r="AI299" s="31">
        <v>0</v>
      </c>
      <c r="AJ299" s="31">
        <v>0</v>
      </c>
    </row>
    <row r="300" spans="1:36" ht="14.25" x14ac:dyDescent="0.2">
      <c r="A300" s="25">
        <v>90000714</v>
      </c>
      <c r="B300" s="25">
        <v>3</v>
      </c>
      <c r="C300" s="25" t="s">
        <v>203</v>
      </c>
      <c r="D300" s="25"/>
      <c r="E300" s="26"/>
      <c r="F300" s="25"/>
      <c r="G300" s="25">
        <v>1</v>
      </c>
      <c r="H300" s="25">
        <v>2</v>
      </c>
      <c r="I300" s="33" t="s">
        <v>81</v>
      </c>
      <c r="J300" s="25">
        <v>0</v>
      </c>
      <c r="K300" s="25" t="s">
        <v>168</v>
      </c>
      <c r="L300" s="27">
        <v>800001031</v>
      </c>
      <c r="M300" s="25">
        <v>1</v>
      </c>
      <c r="N300" s="28">
        <v>11000</v>
      </c>
      <c r="O300" s="25">
        <v>1</v>
      </c>
      <c r="P300" s="25">
        <v>8</v>
      </c>
      <c r="Q300" s="25">
        <v>0</v>
      </c>
      <c r="R300" s="25">
        <v>25</v>
      </c>
      <c r="S300" s="25">
        <v>-5000</v>
      </c>
      <c r="T300" s="25">
        <v>1</v>
      </c>
      <c r="U300" s="25">
        <v>0</v>
      </c>
      <c r="V300" s="25" t="s">
        <v>82</v>
      </c>
      <c r="W300" s="25" t="s">
        <v>82</v>
      </c>
      <c r="X300" s="25" t="s">
        <v>82</v>
      </c>
      <c r="Y300" s="30">
        <v>20010001</v>
      </c>
      <c r="Z300" s="30">
        <v>0</v>
      </c>
      <c r="AA300" s="25">
        <v>1</v>
      </c>
      <c r="AB300" s="31" t="s">
        <v>83</v>
      </c>
      <c r="AC300" s="25">
        <v>10000</v>
      </c>
      <c r="AD300" s="25">
        <v>10000</v>
      </c>
      <c r="AE300" s="25">
        <v>0</v>
      </c>
      <c r="AF300" s="31">
        <v>40</v>
      </c>
      <c r="AG300" s="31">
        <v>0</v>
      </c>
      <c r="AH300" s="31">
        <v>0</v>
      </c>
      <c r="AI300" s="31">
        <v>0</v>
      </c>
      <c r="AJ300" s="31">
        <v>0</v>
      </c>
    </row>
    <row r="301" spans="1:36" ht="14.25" x14ac:dyDescent="0.2">
      <c r="A301" s="25">
        <v>90000715</v>
      </c>
      <c r="B301" s="25">
        <v>3</v>
      </c>
      <c r="C301" s="25" t="s">
        <v>204</v>
      </c>
      <c r="D301" s="25"/>
      <c r="E301" s="26"/>
      <c r="F301" s="25"/>
      <c r="G301" s="25">
        <v>1</v>
      </c>
      <c r="H301" s="25">
        <v>2</v>
      </c>
      <c r="I301" s="33" t="s">
        <v>81</v>
      </c>
      <c r="J301" s="25">
        <v>0</v>
      </c>
      <c r="K301" s="25" t="s">
        <v>168</v>
      </c>
      <c r="L301" s="27">
        <v>800001031</v>
      </c>
      <c r="M301" s="25">
        <v>1</v>
      </c>
      <c r="N301" s="28">
        <v>12000</v>
      </c>
      <c r="O301" s="25">
        <v>1</v>
      </c>
      <c r="P301" s="25">
        <v>8</v>
      </c>
      <c r="Q301" s="25">
        <v>0</v>
      </c>
      <c r="R301" s="25">
        <v>25</v>
      </c>
      <c r="S301" s="25">
        <v>-5000</v>
      </c>
      <c r="T301" s="25">
        <v>1</v>
      </c>
      <c r="U301" s="25">
        <v>0</v>
      </c>
      <c r="V301" s="25" t="s">
        <v>82</v>
      </c>
      <c r="W301" s="25" t="s">
        <v>82</v>
      </c>
      <c r="X301" s="25" t="s">
        <v>82</v>
      </c>
      <c r="Y301" s="30">
        <v>20010001</v>
      </c>
      <c r="Z301" s="30">
        <v>0</v>
      </c>
      <c r="AA301" s="25">
        <v>1</v>
      </c>
      <c r="AB301" s="31" t="s">
        <v>83</v>
      </c>
      <c r="AC301" s="25">
        <v>10000</v>
      </c>
      <c r="AD301" s="25">
        <v>10000</v>
      </c>
      <c r="AE301" s="25">
        <v>0</v>
      </c>
      <c r="AF301" s="31">
        <v>40</v>
      </c>
      <c r="AG301" s="31">
        <v>0</v>
      </c>
      <c r="AH301" s="31">
        <v>0</v>
      </c>
      <c r="AI301" s="31">
        <v>0</v>
      </c>
      <c r="AJ301" s="31">
        <v>0</v>
      </c>
    </row>
    <row r="302" spans="1:36" ht="14.25" x14ac:dyDescent="0.2">
      <c r="A302" s="25">
        <v>90000716</v>
      </c>
      <c r="B302" s="25">
        <v>3</v>
      </c>
      <c r="C302" s="25" t="s">
        <v>205</v>
      </c>
      <c r="D302" s="25"/>
      <c r="E302" s="26"/>
      <c r="F302" s="25"/>
      <c r="G302" s="25">
        <v>1</v>
      </c>
      <c r="H302" s="25">
        <v>2</v>
      </c>
      <c r="I302" s="33" t="s">
        <v>81</v>
      </c>
      <c r="J302" s="25">
        <v>0</v>
      </c>
      <c r="K302" s="25" t="s">
        <v>168</v>
      </c>
      <c r="L302" s="27">
        <v>800001031</v>
      </c>
      <c r="M302" s="25">
        <v>1</v>
      </c>
      <c r="N302" s="28">
        <v>22000</v>
      </c>
      <c r="O302" s="25">
        <v>1</v>
      </c>
      <c r="P302" s="25">
        <v>8</v>
      </c>
      <c r="Q302" s="25">
        <v>0</v>
      </c>
      <c r="R302" s="25">
        <v>25</v>
      </c>
      <c r="S302" s="25">
        <v>-5000</v>
      </c>
      <c r="T302" s="25">
        <v>1</v>
      </c>
      <c r="U302" s="25">
        <v>0</v>
      </c>
      <c r="V302" s="25" t="s">
        <v>82</v>
      </c>
      <c r="W302" s="25" t="s">
        <v>82</v>
      </c>
      <c r="X302" s="25" t="s">
        <v>82</v>
      </c>
      <c r="Y302" s="30">
        <v>20010001</v>
      </c>
      <c r="Z302" s="30">
        <v>0</v>
      </c>
      <c r="AA302" s="25">
        <v>1</v>
      </c>
      <c r="AB302" s="31" t="s">
        <v>83</v>
      </c>
      <c r="AC302" s="25">
        <v>10000</v>
      </c>
      <c r="AD302" s="25">
        <v>10000</v>
      </c>
      <c r="AE302" s="25">
        <v>0</v>
      </c>
      <c r="AF302" s="31">
        <v>40</v>
      </c>
      <c r="AG302" s="31">
        <v>0</v>
      </c>
      <c r="AH302" s="31">
        <v>0</v>
      </c>
      <c r="AI302" s="31">
        <v>0</v>
      </c>
      <c r="AJ302" s="31">
        <v>0</v>
      </c>
    </row>
    <row r="303" spans="1:36" ht="14.25" x14ac:dyDescent="0.2">
      <c r="A303" s="25">
        <v>90000717</v>
      </c>
      <c r="B303" s="25">
        <v>3</v>
      </c>
      <c r="C303" s="25" t="s">
        <v>206</v>
      </c>
      <c r="D303" s="25"/>
      <c r="E303" s="26"/>
      <c r="F303" s="25"/>
      <c r="G303" s="25">
        <v>1</v>
      </c>
      <c r="H303" s="25">
        <v>2</v>
      </c>
      <c r="I303" s="33" t="s">
        <v>81</v>
      </c>
      <c r="J303" s="25">
        <v>0</v>
      </c>
      <c r="K303" s="25" t="s">
        <v>168</v>
      </c>
      <c r="L303" s="27">
        <v>800001031</v>
      </c>
      <c r="M303" s="25">
        <v>1</v>
      </c>
      <c r="N303" s="28">
        <v>50000</v>
      </c>
      <c r="O303" s="25">
        <v>1</v>
      </c>
      <c r="P303" s="25">
        <v>8</v>
      </c>
      <c r="Q303" s="25">
        <v>0</v>
      </c>
      <c r="R303" s="25">
        <v>25</v>
      </c>
      <c r="S303" s="25">
        <v>-5000</v>
      </c>
      <c r="T303" s="25">
        <v>1</v>
      </c>
      <c r="U303" s="25">
        <v>0</v>
      </c>
      <c r="V303" s="25" t="s">
        <v>82</v>
      </c>
      <c r="W303" s="25" t="s">
        <v>82</v>
      </c>
      <c r="X303" s="25" t="s">
        <v>82</v>
      </c>
      <c r="Y303" s="30">
        <v>20010001</v>
      </c>
      <c r="Z303" s="30">
        <v>0</v>
      </c>
      <c r="AA303" s="25">
        <v>1</v>
      </c>
      <c r="AB303" s="31" t="s">
        <v>83</v>
      </c>
      <c r="AC303" s="25">
        <v>10000</v>
      </c>
      <c r="AD303" s="25">
        <v>10000</v>
      </c>
      <c r="AE303" s="25">
        <v>0</v>
      </c>
      <c r="AF303" s="31">
        <v>40</v>
      </c>
      <c r="AG303" s="31">
        <v>0</v>
      </c>
      <c r="AH303" s="31">
        <v>0</v>
      </c>
      <c r="AI303" s="31">
        <v>0</v>
      </c>
      <c r="AJ303" s="31">
        <v>0</v>
      </c>
    </row>
    <row r="304" spans="1:36" ht="14.25" x14ac:dyDescent="0.2">
      <c r="A304" s="25">
        <v>90000718</v>
      </c>
      <c r="B304" s="25">
        <v>3</v>
      </c>
      <c r="C304" s="25" t="s">
        <v>207</v>
      </c>
      <c r="D304" s="25"/>
      <c r="E304" s="26"/>
      <c r="F304" s="25"/>
      <c r="G304" s="25">
        <v>1</v>
      </c>
      <c r="H304" s="25">
        <v>2</v>
      </c>
      <c r="I304" s="33" t="s">
        <v>81</v>
      </c>
      <c r="J304" s="25">
        <v>0</v>
      </c>
      <c r="K304" s="25" t="s">
        <v>168</v>
      </c>
      <c r="L304" s="27">
        <v>800001031</v>
      </c>
      <c r="M304" s="25">
        <v>1</v>
      </c>
      <c r="N304" s="28">
        <v>70000</v>
      </c>
      <c r="O304" s="25">
        <v>1</v>
      </c>
      <c r="P304" s="25">
        <v>8</v>
      </c>
      <c r="Q304" s="25">
        <v>0</v>
      </c>
      <c r="R304" s="25">
        <v>25</v>
      </c>
      <c r="S304" s="25">
        <v>-5000</v>
      </c>
      <c r="T304" s="25">
        <v>1</v>
      </c>
      <c r="U304" s="25">
        <v>0</v>
      </c>
      <c r="V304" s="25" t="s">
        <v>82</v>
      </c>
      <c r="W304" s="25" t="s">
        <v>82</v>
      </c>
      <c r="X304" s="25" t="s">
        <v>82</v>
      </c>
      <c r="Y304" s="30">
        <v>20010001</v>
      </c>
      <c r="Z304" s="30">
        <v>0</v>
      </c>
      <c r="AA304" s="25">
        <v>1</v>
      </c>
      <c r="AB304" s="31" t="s">
        <v>83</v>
      </c>
      <c r="AC304" s="25">
        <v>10000</v>
      </c>
      <c r="AD304" s="25">
        <v>10000</v>
      </c>
      <c r="AE304" s="25">
        <v>0</v>
      </c>
      <c r="AF304" s="31">
        <v>40</v>
      </c>
      <c r="AG304" s="31">
        <v>0</v>
      </c>
      <c r="AH304" s="31">
        <v>0</v>
      </c>
      <c r="AI304" s="31">
        <v>0</v>
      </c>
      <c r="AJ304" s="31">
        <v>0</v>
      </c>
    </row>
    <row r="305" spans="1:36" ht="14.25" x14ac:dyDescent="0.2">
      <c r="A305" s="25">
        <v>90000719</v>
      </c>
      <c r="B305" s="25">
        <v>3</v>
      </c>
      <c r="C305" s="25" t="s">
        <v>208</v>
      </c>
      <c r="D305" s="25"/>
      <c r="E305" s="26"/>
      <c r="F305" s="25"/>
      <c r="G305" s="25">
        <v>1</v>
      </c>
      <c r="H305" s="25">
        <v>2</v>
      </c>
      <c r="I305" s="33" t="s">
        <v>81</v>
      </c>
      <c r="J305" s="25">
        <v>0</v>
      </c>
      <c r="K305" s="25" t="s">
        <v>168</v>
      </c>
      <c r="L305" s="27">
        <v>800001031</v>
      </c>
      <c r="M305" s="25">
        <v>1</v>
      </c>
      <c r="N305" s="28">
        <v>120000</v>
      </c>
      <c r="O305" s="25">
        <v>1</v>
      </c>
      <c r="P305" s="25">
        <v>8</v>
      </c>
      <c r="Q305" s="25">
        <v>0</v>
      </c>
      <c r="R305" s="25">
        <v>25</v>
      </c>
      <c r="S305" s="25">
        <v>-5000</v>
      </c>
      <c r="T305" s="25">
        <v>1</v>
      </c>
      <c r="U305" s="25">
        <v>0</v>
      </c>
      <c r="V305" s="25" t="s">
        <v>82</v>
      </c>
      <c r="W305" s="25" t="s">
        <v>82</v>
      </c>
      <c r="X305" s="25" t="s">
        <v>82</v>
      </c>
      <c r="Y305" s="30">
        <v>20010001</v>
      </c>
      <c r="Z305" s="30">
        <v>0</v>
      </c>
      <c r="AA305" s="25">
        <v>1</v>
      </c>
      <c r="AB305" s="31" t="s">
        <v>83</v>
      </c>
      <c r="AC305" s="25">
        <v>10000</v>
      </c>
      <c r="AD305" s="25">
        <v>10000</v>
      </c>
      <c r="AE305" s="25">
        <v>0</v>
      </c>
      <c r="AF305" s="31">
        <v>40</v>
      </c>
      <c r="AG305" s="31">
        <v>0</v>
      </c>
      <c r="AH305" s="31">
        <v>0</v>
      </c>
      <c r="AI305" s="31">
        <v>0</v>
      </c>
      <c r="AJ305" s="31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1:A211 A22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209</v>
      </c>
      <c r="D6"/>
      <c r="E6"/>
      <c r="F6"/>
      <c r="G6" t="s">
        <v>210</v>
      </c>
      <c r="J6" t="s">
        <v>211</v>
      </c>
      <c r="K6"/>
      <c r="L6"/>
      <c r="M6"/>
      <c r="N6" s="1" t="s">
        <v>212</v>
      </c>
    </row>
    <row r="7" spans="1:15" ht="14.25" x14ac:dyDescent="0.2">
      <c r="A7" s="2" t="s">
        <v>151</v>
      </c>
      <c r="B7">
        <v>1000003</v>
      </c>
      <c r="C7">
        <f>VLOOKUP(F7,$M$7:$N$16,2,FALSE)</f>
        <v>20030001</v>
      </c>
      <c r="D7" t="s">
        <v>213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214</v>
      </c>
      <c r="J7">
        <v>990101</v>
      </c>
      <c r="K7" t="s">
        <v>215</v>
      </c>
      <c r="L7" t="s">
        <v>216</v>
      </c>
      <c r="M7">
        <v>1</v>
      </c>
      <c r="N7" s="4">
        <v>20010001</v>
      </c>
      <c r="O7" s="5" t="s">
        <v>216</v>
      </c>
    </row>
    <row r="8" spans="1:15" ht="14.25" x14ac:dyDescent="0.2">
      <c r="A8" s="2" t="s">
        <v>151</v>
      </c>
      <c r="B8">
        <v>1000004</v>
      </c>
      <c r="C8">
        <f t="shared" ref="C8:C22" si="1">VLOOKUP(F8,$M$7:$N$16,2,FALSE)</f>
        <v>20030001</v>
      </c>
      <c r="D8" t="s">
        <v>217</v>
      </c>
      <c r="E8" t="str">
        <f t="shared" si="0"/>
        <v>乌龟怪</v>
      </c>
      <c r="F8">
        <f>VLOOKUP(E8,备注资源组与动作id!$L$7:$M$16,2,FALSE)</f>
        <v>3</v>
      </c>
      <c r="G8" t="s">
        <v>214</v>
      </c>
      <c r="J8">
        <v>990102</v>
      </c>
      <c r="K8" t="s">
        <v>215</v>
      </c>
      <c r="L8" t="s">
        <v>216</v>
      </c>
      <c r="M8">
        <v>1</v>
      </c>
      <c r="N8" s="4">
        <v>20010002</v>
      </c>
      <c r="O8" s="5" t="s">
        <v>216</v>
      </c>
    </row>
    <row r="9" spans="1:15" ht="14.25" x14ac:dyDescent="0.2">
      <c r="A9" s="2" t="s">
        <v>151</v>
      </c>
      <c r="B9">
        <v>1000005</v>
      </c>
      <c r="C9">
        <f t="shared" si="1"/>
        <v>20030001</v>
      </c>
      <c r="D9" t="s">
        <v>218</v>
      </c>
      <c r="E9" t="str">
        <f t="shared" si="0"/>
        <v>乌龟怪</v>
      </c>
      <c r="F9">
        <f>VLOOKUP(E9,备注资源组与动作id!$L$7:$M$16,2,FALSE)</f>
        <v>3</v>
      </c>
      <c r="G9" t="s">
        <v>214</v>
      </c>
      <c r="J9">
        <v>990201</v>
      </c>
      <c r="K9" t="s">
        <v>215</v>
      </c>
      <c r="L9" t="s">
        <v>219</v>
      </c>
      <c r="M9">
        <v>2</v>
      </c>
      <c r="N9" s="4">
        <v>20020001</v>
      </c>
      <c r="O9" s="5" t="s">
        <v>220</v>
      </c>
    </row>
    <row r="10" spans="1:15" ht="14.25" x14ac:dyDescent="0.2">
      <c r="A10" s="2" t="s">
        <v>151</v>
      </c>
      <c r="B10">
        <v>1000006</v>
      </c>
      <c r="C10">
        <f t="shared" si="1"/>
        <v>20030001</v>
      </c>
      <c r="D10" t="s">
        <v>221</v>
      </c>
      <c r="E10" t="str">
        <f t="shared" si="0"/>
        <v>乌龟怪</v>
      </c>
      <c r="F10">
        <f>VLOOKUP(E10,备注资源组与动作id!$L$7:$M$16,2,FALSE)</f>
        <v>3</v>
      </c>
      <c r="G10" t="s">
        <v>214</v>
      </c>
      <c r="J10">
        <v>990202</v>
      </c>
      <c r="K10" t="s">
        <v>215</v>
      </c>
      <c r="L10" t="s">
        <v>219</v>
      </c>
      <c r="M10">
        <v>2</v>
      </c>
      <c r="N10" s="4">
        <v>20020002</v>
      </c>
      <c r="O10" s="5" t="s">
        <v>220</v>
      </c>
    </row>
    <row r="11" spans="1:15" ht="14.25" x14ac:dyDescent="0.2">
      <c r="A11" s="3" t="s">
        <v>150</v>
      </c>
      <c r="B11">
        <v>1000007</v>
      </c>
      <c r="C11">
        <f t="shared" si="1"/>
        <v>20040001</v>
      </c>
      <c r="D11" t="s">
        <v>222</v>
      </c>
      <c r="E11" t="str">
        <f t="shared" si="0"/>
        <v>野狼怪</v>
      </c>
      <c r="F11">
        <f>VLOOKUP(E11,备注资源组与动作id!$L$7:$M$16,2,FALSE)</f>
        <v>4</v>
      </c>
      <c r="G11" t="s">
        <v>223</v>
      </c>
      <c r="J11">
        <v>990301</v>
      </c>
      <c r="K11" t="s">
        <v>215</v>
      </c>
      <c r="L11" t="s">
        <v>224</v>
      </c>
      <c r="M11">
        <v>3</v>
      </c>
      <c r="N11" s="4">
        <v>20030001</v>
      </c>
      <c r="O11" s="5" t="s">
        <v>224</v>
      </c>
    </row>
    <row r="12" spans="1:15" ht="14.25" x14ac:dyDescent="0.2">
      <c r="A12" s="3" t="s">
        <v>150</v>
      </c>
      <c r="B12">
        <v>1000008</v>
      </c>
      <c r="C12">
        <f t="shared" si="1"/>
        <v>20040001</v>
      </c>
      <c r="D12" t="s">
        <v>225</v>
      </c>
      <c r="E12" t="str">
        <f t="shared" si="0"/>
        <v>野狼怪</v>
      </c>
      <c r="F12">
        <f>VLOOKUP(E12,备注资源组与动作id!$L$7:$M$16,2,FALSE)</f>
        <v>4</v>
      </c>
      <c r="G12" t="s">
        <v>223</v>
      </c>
      <c r="J12">
        <v>990302</v>
      </c>
      <c r="K12" t="s">
        <v>215</v>
      </c>
      <c r="L12" t="s">
        <v>224</v>
      </c>
      <c r="M12">
        <v>3</v>
      </c>
      <c r="N12" s="4">
        <v>20030002</v>
      </c>
      <c r="O12" s="5" t="s">
        <v>224</v>
      </c>
    </row>
    <row r="13" spans="1:15" ht="14.25" x14ac:dyDescent="0.2">
      <c r="A13" s="3" t="s">
        <v>150</v>
      </c>
      <c r="B13">
        <v>1000009</v>
      </c>
      <c r="C13">
        <f t="shared" si="1"/>
        <v>20040001</v>
      </c>
      <c r="D13" t="s">
        <v>226</v>
      </c>
      <c r="E13" t="str">
        <f t="shared" si="0"/>
        <v>野狼怪</v>
      </c>
      <c r="F13">
        <f>VLOOKUP(E13,备注资源组与动作id!$L$7:$M$16,2,FALSE)</f>
        <v>4</v>
      </c>
      <c r="G13" t="s">
        <v>223</v>
      </c>
      <c r="J13">
        <v>990401</v>
      </c>
      <c r="K13" t="s">
        <v>215</v>
      </c>
      <c r="L13" t="s">
        <v>227</v>
      </c>
      <c r="M13">
        <v>4</v>
      </c>
      <c r="N13" s="4">
        <v>20040001</v>
      </c>
      <c r="O13" s="5" t="s">
        <v>228</v>
      </c>
    </row>
    <row r="14" spans="1:15" ht="14.25" x14ac:dyDescent="0.2">
      <c r="A14" s="3" t="s">
        <v>150</v>
      </c>
      <c r="B14">
        <v>1000010</v>
      </c>
      <c r="C14">
        <f t="shared" si="1"/>
        <v>20040001</v>
      </c>
      <c r="D14" t="s">
        <v>229</v>
      </c>
      <c r="E14" t="str">
        <f t="shared" si="0"/>
        <v>野狼怪</v>
      </c>
      <c r="F14">
        <f>VLOOKUP(E14,备注资源组与动作id!$L$7:$M$16,2,FALSE)</f>
        <v>4</v>
      </c>
      <c r="G14" t="s">
        <v>223</v>
      </c>
      <c r="J14">
        <v>990402</v>
      </c>
      <c r="K14" t="s">
        <v>215</v>
      </c>
      <c r="L14" t="s">
        <v>227</v>
      </c>
      <c r="M14">
        <v>4</v>
      </c>
      <c r="N14" s="4">
        <v>20040002</v>
      </c>
      <c r="O14" s="5" t="s">
        <v>228</v>
      </c>
    </row>
    <row r="15" spans="1:15" ht="14.25" x14ac:dyDescent="0.2">
      <c r="A15" s="2" t="s">
        <v>153</v>
      </c>
      <c r="B15">
        <v>1000011</v>
      </c>
      <c r="C15">
        <f t="shared" si="1"/>
        <v>20050001</v>
      </c>
      <c r="D15" t="s">
        <v>230</v>
      </c>
      <c r="E15" t="s">
        <v>231</v>
      </c>
      <c r="F15">
        <f>VLOOKUP(E15,备注资源组与动作id!$L$7:$M$16,2,FALSE)</f>
        <v>5</v>
      </c>
      <c r="G15" t="s">
        <v>232</v>
      </c>
      <c r="J15">
        <v>990501</v>
      </c>
      <c r="K15" t="s">
        <v>215</v>
      </c>
      <c r="L15" t="s">
        <v>231</v>
      </c>
      <c r="M15">
        <v>5</v>
      </c>
      <c r="N15" s="4">
        <v>20050001</v>
      </c>
      <c r="O15" s="5" t="s">
        <v>231</v>
      </c>
    </row>
    <row r="16" spans="1:15" ht="14.25" x14ac:dyDescent="0.2">
      <c r="A16" s="2" t="s">
        <v>153</v>
      </c>
      <c r="B16">
        <v>1000012</v>
      </c>
      <c r="C16">
        <f t="shared" si="1"/>
        <v>20050001</v>
      </c>
      <c r="D16" t="s">
        <v>233</v>
      </c>
      <c r="E16" t="s">
        <v>231</v>
      </c>
      <c r="F16">
        <f>VLOOKUP(E16,备注资源组与动作id!$L$7:$M$16,2,FALSE)</f>
        <v>5</v>
      </c>
      <c r="G16" t="s">
        <v>232</v>
      </c>
      <c r="J16">
        <v>990502</v>
      </c>
      <c r="K16" t="s">
        <v>215</v>
      </c>
      <c r="L16" t="s">
        <v>231</v>
      </c>
      <c r="M16">
        <v>5</v>
      </c>
      <c r="N16" s="4">
        <v>20050002</v>
      </c>
      <c r="O16" s="5" t="s">
        <v>231</v>
      </c>
    </row>
    <row r="17" spans="1:7" ht="14.25" x14ac:dyDescent="0.2">
      <c r="A17" s="2" t="s">
        <v>153</v>
      </c>
      <c r="B17">
        <v>1000013</v>
      </c>
      <c r="C17">
        <f t="shared" si="1"/>
        <v>20050001</v>
      </c>
      <c r="D17" t="s">
        <v>234</v>
      </c>
      <c r="E17" t="s">
        <v>231</v>
      </c>
      <c r="F17">
        <f>VLOOKUP(E17,备注资源组与动作id!$L$7:$M$16,2,FALSE)</f>
        <v>5</v>
      </c>
      <c r="G17" t="s">
        <v>232</v>
      </c>
    </row>
    <row r="18" spans="1:7" ht="14.25" x14ac:dyDescent="0.2">
      <c r="A18" s="2" t="s">
        <v>153</v>
      </c>
      <c r="B18">
        <v>1000014</v>
      </c>
      <c r="C18">
        <f t="shared" si="1"/>
        <v>20050001</v>
      </c>
      <c r="D18" t="s">
        <v>235</v>
      </c>
      <c r="E18" t="s">
        <v>231</v>
      </c>
      <c r="F18">
        <f>VLOOKUP(E18,备注资源组与动作id!$L$7:$M$16,2,FALSE)</f>
        <v>5</v>
      </c>
      <c r="G18" t="s">
        <v>232</v>
      </c>
    </row>
    <row r="19" spans="1:7" ht="14.25" x14ac:dyDescent="0.2">
      <c r="A19" s="2" t="s">
        <v>236</v>
      </c>
      <c r="B19">
        <v>1000101</v>
      </c>
      <c r="C19">
        <f t="shared" si="1"/>
        <v>20010001</v>
      </c>
      <c r="D19" t="s">
        <v>237</v>
      </c>
      <c r="E19" t="str">
        <f>LEFT(D19,3)</f>
        <v>蜥蜴怪</v>
      </c>
      <c r="F19">
        <f>VLOOKUP(E19,备注资源组与动作id!$L$7:$M$16,2,FALSE)</f>
        <v>1</v>
      </c>
      <c r="G19" t="s">
        <v>238</v>
      </c>
    </row>
    <row r="20" spans="1:7" ht="14.25" x14ac:dyDescent="0.2">
      <c r="A20" s="2" t="s">
        <v>236</v>
      </c>
      <c r="B20">
        <v>1000102</v>
      </c>
      <c r="C20">
        <f t="shared" si="1"/>
        <v>20010001</v>
      </c>
      <c r="D20" t="s">
        <v>239</v>
      </c>
      <c r="E20" t="str">
        <f>LEFT(D20,3)</f>
        <v>蜥蜴怪</v>
      </c>
      <c r="F20">
        <f>VLOOKUP(E20,备注资源组与动作id!$L$7:$M$16,2,FALSE)</f>
        <v>1</v>
      </c>
      <c r="G20" t="s">
        <v>238</v>
      </c>
    </row>
    <row r="21" spans="1:7" ht="14.25" x14ac:dyDescent="0.2">
      <c r="A21" s="2" t="s">
        <v>152</v>
      </c>
      <c r="B21">
        <v>1000103</v>
      </c>
      <c r="C21">
        <f t="shared" si="1"/>
        <v>20020001</v>
      </c>
      <c r="D21" t="s">
        <v>240</v>
      </c>
      <c r="E21" t="str">
        <f>LEFT(D21,3)</f>
        <v>青蛙怪</v>
      </c>
      <c r="F21">
        <f>VLOOKUP(E21,备注资源组与动作id!$L$7:$M$16,2,FALSE)</f>
        <v>2</v>
      </c>
      <c r="G21" t="s">
        <v>241</v>
      </c>
    </row>
    <row r="22" spans="1:7" ht="14.25" x14ac:dyDescent="0.2">
      <c r="A22" s="2" t="s">
        <v>152</v>
      </c>
      <c r="B22">
        <v>1000104</v>
      </c>
      <c r="C22">
        <f t="shared" si="1"/>
        <v>20020001</v>
      </c>
      <c r="D22" t="s">
        <v>242</v>
      </c>
      <c r="E22" t="str">
        <f>LEFT(D22,3)</f>
        <v>青蛙怪</v>
      </c>
      <c r="F22">
        <f>VLOOKUP(E22,备注资源组与动作id!$L$7:$M$16,2,FALSE)</f>
        <v>2</v>
      </c>
      <c r="G22" t="s">
        <v>241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243</v>
      </c>
      <c r="D2" t="s">
        <v>244</v>
      </c>
      <c r="E2" t="s">
        <v>245</v>
      </c>
      <c r="F2" t="s">
        <v>243</v>
      </c>
      <c r="G2" t="s">
        <v>244</v>
      </c>
      <c r="H2" t="s">
        <v>245</v>
      </c>
      <c r="I2" t="s">
        <v>243</v>
      </c>
      <c r="J2" t="s">
        <v>244</v>
      </c>
      <c r="K2" t="s">
        <v>245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2025-08-06T06:36:34Z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