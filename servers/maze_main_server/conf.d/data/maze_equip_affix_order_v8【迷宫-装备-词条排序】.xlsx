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新建文件夹\"/>
    </mc:Choice>
  </mc:AlternateContent>
  <xr:revisionPtr revIDLastSave="0" documentId="13_ncr:1_{A8B13695-5B67-478C-BA93-4ADD4EFFC15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ffix_order_v8" sheetId="1" r:id="rId1"/>
    <sheet name="备注" sheetId="2" r:id="rId2"/>
  </sheets>
  <definedNames>
    <definedName name="_xlnm._FilterDatabase" localSheetId="0" hidden="1">maze_equip_affix_order_v8!$A$4:$A$10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" i="2" l="1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60" i="2"/>
  <c r="K6" i="2" l="1"/>
  <c r="K26" i="2"/>
  <c r="K31" i="2"/>
  <c r="K32" i="2"/>
  <c r="K34" i="2"/>
  <c r="K39" i="2"/>
  <c r="J39" i="2"/>
  <c r="J38" i="2" s="1"/>
  <c r="J37" i="2" s="1"/>
  <c r="J36" i="2" s="1"/>
  <c r="J35" i="2" s="1"/>
  <c r="J34" i="2" s="1"/>
  <c r="J33" i="2" s="1"/>
  <c r="J32" i="2" s="1"/>
  <c r="J31" i="2" s="1"/>
  <c r="J30" i="2" s="1"/>
  <c r="J29" i="2" s="1"/>
  <c r="J28" i="2" s="1"/>
  <c r="J27" i="2" s="1"/>
  <c r="J26" i="2" s="1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7" i="2"/>
  <c r="E17" i="2"/>
  <c r="D18" i="2"/>
  <c r="E18" i="2"/>
  <c r="D15" i="2"/>
  <c r="D16" i="2"/>
  <c r="D19" i="2"/>
  <c r="D20" i="2"/>
  <c r="D21" i="2"/>
  <c r="D22" i="2"/>
  <c r="D23" i="2"/>
  <c r="D24" i="2"/>
  <c r="E15" i="2"/>
  <c r="E16" i="2"/>
  <c r="E19" i="2"/>
  <c r="E20" i="2"/>
  <c r="E21" i="2"/>
  <c r="E22" i="2"/>
  <c r="E23" i="2"/>
  <c r="E24" i="2"/>
  <c r="K38" i="2" l="1"/>
  <c r="K30" i="2"/>
  <c r="K37" i="2"/>
  <c r="K29" i="2"/>
  <c r="K36" i="2"/>
  <c r="K28" i="2"/>
  <c r="K35" i="2"/>
  <c r="K27" i="2"/>
  <c r="K33" i="2"/>
  <c r="J25" i="2"/>
  <c r="J24" i="2" l="1"/>
  <c r="K25" i="2"/>
  <c r="J23" i="2" l="1"/>
  <c r="K24" i="2"/>
  <c r="J22" i="2" l="1"/>
  <c r="K23" i="2"/>
  <c r="J21" i="2" l="1"/>
  <c r="K22" i="2"/>
  <c r="J20" i="2" l="1"/>
  <c r="K21" i="2"/>
  <c r="J19" i="2" l="1"/>
  <c r="K20" i="2"/>
  <c r="J18" i="2" l="1"/>
  <c r="K19" i="2"/>
  <c r="J17" i="2" l="1"/>
  <c r="K18" i="2"/>
  <c r="J16" i="2" l="1"/>
  <c r="K17" i="2"/>
  <c r="J15" i="2" l="1"/>
  <c r="K16" i="2"/>
  <c r="J14" i="2" l="1"/>
  <c r="K15" i="2"/>
  <c r="J13" i="2" l="1"/>
  <c r="K14" i="2"/>
  <c r="K13" i="2" l="1"/>
  <c r="J12" i="2"/>
  <c r="K12" i="2" l="1"/>
  <c r="J11" i="2"/>
  <c r="K11" i="2" l="1"/>
  <c r="J10" i="2"/>
  <c r="K10" i="2" l="1"/>
  <c r="J9" i="2"/>
  <c r="K9" i="2" l="1"/>
  <c r="J8" i="2"/>
  <c r="K8" i="2" l="1"/>
</calcChain>
</file>

<file path=xl/sharedStrings.xml><?xml version="1.0" encoding="utf-8"?>
<sst xmlns="http://schemas.openxmlformats.org/spreadsheetml/2006/main" count="199" uniqueCount="85">
  <si>
    <t>paipaiworld_config</t>
  </si>
  <si>
    <t>INT_K</t>
  </si>
  <si>
    <t>MAP&lt;INT:INT&gt;_S</t>
    <phoneticPr fontId="1" type="noConversion"/>
  </si>
  <si>
    <t>装备部位类型</t>
    <phoneticPr fontId="1" type="noConversion"/>
  </si>
  <si>
    <t>pos</t>
    <phoneticPr fontId="1" type="noConversion"/>
  </si>
  <si>
    <t>attr_order</t>
    <phoneticPr fontId="1" type="noConversion"/>
  </si>
  <si>
    <t>属性id:排序</t>
    <phoneticPr fontId="1" type="noConversion"/>
  </si>
  <si>
    <t>排序</t>
    <phoneticPr fontId="1" type="noConversion"/>
  </si>
  <si>
    <t>火焰伤害</t>
  </si>
  <si>
    <t>闪电伤害</t>
  </si>
  <si>
    <t>毒伤害</t>
  </si>
  <si>
    <t>冰冷抗性</t>
  </si>
  <si>
    <t>复活时间减少</t>
  </si>
  <si>
    <t>杀怪回血</t>
  </si>
  <si>
    <t>免疫诅咒</t>
  </si>
  <si>
    <t>解毒</t>
  </si>
  <si>
    <t>1血不死</t>
  </si>
  <si>
    <t>暴击几率</t>
  </si>
  <si>
    <t>攻击速度</t>
  </si>
  <si>
    <t>移动速度</t>
  </si>
  <si>
    <t>冰冷伤害</t>
  </si>
  <si>
    <t>火焰伤害提高</t>
  </si>
  <si>
    <t>冰冷伤害提高</t>
  </si>
  <si>
    <t>闪电伤害提高</t>
  </si>
  <si>
    <t>毒伤害提高</t>
  </si>
  <si>
    <t>额外火焰伤害</t>
  </si>
  <si>
    <t>额外冰冷伤害</t>
  </si>
  <si>
    <t>额外闪电伤害</t>
  </si>
  <si>
    <t>额外毒伤害</t>
  </si>
  <si>
    <t>火焰抗性</t>
  </si>
  <si>
    <t>闪电抗性</t>
  </si>
  <si>
    <t>毒抗性</t>
  </si>
  <si>
    <t>召唤兽持续时间提高</t>
  </si>
  <si>
    <t>召唤冷却时间减少</t>
  </si>
  <si>
    <t>洞察</t>
  </si>
  <si>
    <t>反击伤害</t>
  </si>
  <si>
    <t>反击时间</t>
  </si>
  <si>
    <t>生命恢复效果</t>
  </si>
  <si>
    <t>反伤</t>
  </si>
  <si>
    <t>防御自爆</t>
  </si>
  <si>
    <t>暴击几率</t>
    <phoneticPr fontId="5" type="noConversion"/>
  </si>
  <si>
    <t>全抗</t>
    <phoneticPr fontId="5" type="noConversion"/>
  </si>
  <si>
    <t>血瓶生命回复效果</t>
    <phoneticPr fontId="5" type="noConversion"/>
  </si>
  <si>
    <t>暴击伤害</t>
    <phoneticPr fontId="5" type="noConversion"/>
  </si>
  <si>
    <t>移动速度</t>
    <phoneticPr fontId="5" type="noConversion"/>
  </si>
  <si>
    <t>受到伤害时反伤</t>
    <phoneticPr fontId="5" type="noConversion"/>
  </si>
  <si>
    <t>血瓶数量</t>
    <phoneticPr fontId="5" type="noConversion"/>
  </si>
  <si>
    <t>复活</t>
    <phoneticPr fontId="5" type="noConversion"/>
  </si>
  <si>
    <t>对精英怪伤害提高</t>
    <phoneticPr fontId="5" type="noConversion"/>
  </si>
  <si>
    <t>对普通怪伤害提高</t>
    <phoneticPr fontId="5" type="noConversion"/>
  </si>
  <si>
    <t>受到精英怪伤害减少</t>
    <phoneticPr fontId="5" type="noConversion"/>
  </si>
  <si>
    <t>受到普通怪伤害减少</t>
    <phoneticPr fontId="5" type="noConversion"/>
  </si>
  <si>
    <t>自己死亡时爆炸</t>
    <phoneticPr fontId="5" type="noConversion"/>
  </si>
  <si>
    <t>击中敌人有概率击晕</t>
    <phoneticPr fontId="5" type="noConversion"/>
  </si>
  <si>
    <t>精英掉装概率</t>
    <phoneticPr fontId="5" type="noConversion"/>
  </si>
  <si>
    <t>受到电伤减少</t>
    <phoneticPr fontId="5" type="noConversion"/>
  </si>
  <si>
    <t>受到毒伤减少</t>
    <phoneticPr fontId="5" type="noConversion"/>
  </si>
  <si>
    <t>1血不死</t>
    <phoneticPr fontId="5" type="noConversion"/>
  </si>
  <si>
    <t>击中回血</t>
    <phoneticPr fontId="5" type="noConversion"/>
  </si>
  <si>
    <t>抵抗破甲诅咒</t>
    <phoneticPr fontId="5" type="noConversion"/>
  </si>
  <si>
    <t>抵抗衰弱诅咒</t>
    <phoneticPr fontId="5" type="noConversion"/>
  </si>
  <si>
    <t>闪避</t>
    <phoneticPr fontId="5" type="noConversion"/>
  </si>
  <si>
    <t>技能[冰刺]等级</t>
  </si>
  <si>
    <t>中毒效果降低</t>
    <phoneticPr fontId="5" type="noConversion"/>
  </si>
  <si>
    <t>技能[炎击]等级</t>
  </si>
  <si>
    <t>受到火伤减少</t>
    <phoneticPr fontId="5" type="noConversion"/>
  </si>
  <si>
    <t>技能[寒霜爆]等级</t>
  </si>
  <si>
    <t>技能[电掣]等级</t>
  </si>
  <si>
    <t>技能[铃兰]等级</t>
  </si>
  <si>
    <t>技能[火流星]等级</t>
  </si>
  <si>
    <t>受到远程伤害减少</t>
    <phoneticPr fontId="5" type="noConversion"/>
  </si>
  <si>
    <t>受到冰伤减少</t>
    <phoneticPr fontId="5" type="noConversion"/>
  </si>
  <si>
    <t>技能[冰矛]等级</t>
  </si>
  <si>
    <t>技能[五雷破]等级</t>
  </si>
  <si>
    <t>技能[金蚕蛊]等级</t>
  </si>
  <si>
    <t>技能[炎拳]等级</t>
  </si>
  <si>
    <t>受到近战伤害减少</t>
    <phoneticPr fontId="5" type="noConversion"/>
  </si>
  <si>
    <t>技能[寒冰弹]等级</t>
  </si>
  <si>
    <t>技能[电枪]等级</t>
  </si>
  <si>
    <t>技能[水仙]等级</t>
  </si>
  <si>
    <t>技能[火焰雨]等级</t>
  </si>
  <si>
    <t>技能[天雷引]等级</t>
  </si>
  <si>
    <t>技能[碧玉蛊]等级</t>
  </si>
  <si>
    <t/>
  </si>
  <si>
    <t>10631:316_10632:315_10639:314_10640:313_10633:312_10634:311_10641:310_10642:309_10635:308_10636:307_10643:306_10644:305_10637:304_10638:303_10645:302_10646:301_10550:201_10525:113_10519:112_10520:111_10521:110_10522:109_10559:108_10625:107_10536:106_10537:105_10627:104_10626:103_10538:102_10582:101_10569:17_10568:16_10579:15_10572:14_10573:13_10574:12_10575:11_10577:10_10576:9_10571:8_10570:7_10578:6_10580:5_10551:4_10533:3_10534:2_10535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</si>
</sst>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4" tint="-0.249977111117893"/>
      <name val="等线"/>
      <family val="2"/>
      <scheme val="minor"/>
    </font>
    <font>
      <sz val="11"/>
      <color theme="7" tint="-0.249977111117893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/>
    <xf numFmtId="0" fontId="0" fillId="2" borderId="1" xfId="1" applyFont="1" applyAlignment="1"/>
    <xf numFmtId="0" fontId="2" fillId="2" borderId="1" xfId="1" applyFont="1" applyAlignment="1"/>
    <xf numFmtId="0" fontId="2" fillId="2" borderId="1" xfId="1" applyFont="1">
      <alignment vertical="center"/>
    </xf>
    <xf numFmtId="0" fontId="0" fillId="2" borderId="1" xfId="1" quotePrefix="1" applyFont="1" applyAlignment="1"/>
    <xf numFmtId="0" fontId="2" fillId="0" borderId="0" xfId="0" applyFont="1" applyAlignment="1"/>
    <xf numFmtId="0" fontId="4" fillId="2" borderId="1" xfId="1" applyFont="1">
      <alignment vertical="center"/>
    </xf>
    <xf numFmtId="0" fontId="2" fillId="0" borderId="0" xfId="0" applyFont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6" fillId="6" borderId="0" xfId="0" applyFont="1" applyFill="1" applyAlignment="1"/>
    <xf numFmtId="0" fontId="0" fillId="6" borderId="0" xfId="0" applyFill="1" applyAlignment="1"/>
    <xf numFmtId="0" fontId="7" fillId="6" borderId="0" xfId="0" applyFont="1" applyFill="1" applyAlignment="1"/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常规" xfId="0" builtinId="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2"/>
  <sheetViews>
    <sheetView tabSelected="1" workbookViewId="0">
      <pane ySplit="4" topLeftCell="A5" activePane="bottomLeft" state="frozen"/>
      <selection pane="bottomLeft" activeCell="B17" sqref="B17"/>
    </sheetView>
  </sheetViews>
  <sheetFormatPr defaultColWidth="9" defaultRowHeight="13.5" x14ac:dyDescent="0.15"/>
  <cols>
    <col min="1" max="1" width="20.5" bestFit="1" customWidth="1"/>
    <col min="2" max="2" width="18.375" bestFit="1" customWidth="1"/>
  </cols>
  <sheetData>
    <row r="1" spans="1:2" x14ac:dyDescent="0.15">
      <c r="A1" s="1" t="s">
        <v>0</v>
      </c>
    </row>
    <row r="2" spans="1:2" x14ac:dyDescent="0.15">
      <c r="A2" s="1" t="s">
        <v>1</v>
      </c>
      <c r="B2" s="2" t="s">
        <v>2</v>
      </c>
    </row>
    <row r="3" spans="1:2" x14ac:dyDescent="0.15">
      <c r="A3" s="6" t="s">
        <v>4</v>
      </c>
      <c r="B3" s="4" t="s">
        <v>5</v>
      </c>
    </row>
    <row r="4" spans="1:2" x14ac:dyDescent="0.15">
      <c r="A4" s="6" t="s">
        <v>3</v>
      </c>
      <c r="B4" s="3" t="s">
        <v>6</v>
      </c>
    </row>
    <row r="5" spans="1:2" x14ac:dyDescent="0.15">
      <c r="A5" s="1">
        <v>1</v>
      </c>
      <c r="B5" s="5" t="s">
        <v>84</v>
      </c>
    </row>
    <row r="6" spans="1:2" x14ac:dyDescent="0.15">
      <c r="A6" s="1">
        <v>2</v>
      </c>
      <c r="B6" s="5" t="s">
        <v>84</v>
      </c>
    </row>
    <row r="7" spans="1:2" x14ac:dyDescent="0.15">
      <c r="A7" s="1">
        <v>3</v>
      </c>
      <c r="B7" s="5" t="s">
        <v>84</v>
      </c>
    </row>
    <row r="8" spans="1:2" x14ac:dyDescent="0.15">
      <c r="A8" s="1">
        <v>4</v>
      </c>
      <c r="B8" s="5" t="s">
        <v>84</v>
      </c>
    </row>
    <row r="9" spans="1:2" x14ac:dyDescent="0.15">
      <c r="A9" s="1">
        <v>5</v>
      </c>
      <c r="B9" s="5" t="s">
        <v>84</v>
      </c>
    </row>
    <row r="10" spans="1:2" x14ac:dyDescent="0.15">
      <c r="A10" s="1">
        <v>6</v>
      </c>
      <c r="B10" s="5" t="s">
        <v>84</v>
      </c>
    </row>
    <row r="11" spans="1:2" x14ac:dyDescent="0.15">
      <c r="A11" s="1">
        <v>7</v>
      </c>
      <c r="B11" s="5" t="s">
        <v>84</v>
      </c>
    </row>
    <row r="12" spans="1:2" x14ac:dyDescent="0.15">
      <c r="A12" s="1">
        <v>8</v>
      </c>
      <c r="B12" s="5" t="s">
        <v>84</v>
      </c>
    </row>
  </sheetData>
  <autoFilter ref="A4:A10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FED7-6609-405E-A1A7-381C3CDEBD32}">
  <dimension ref="A6:P106"/>
  <sheetViews>
    <sheetView topLeftCell="A38" zoomScale="115" zoomScaleNormal="115" workbookViewId="0">
      <selection activeCell="K59" sqref="K59"/>
    </sheetView>
  </sheetViews>
  <sheetFormatPr defaultRowHeight="13.5" x14ac:dyDescent="0.15"/>
  <cols>
    <col min="9" max="9" width="19.25" bestFit="1" customWidth="1"/>
  </cols>
  <sheetData>
    <row r="6" spans="4:13" x14ac:dyDescent="0.15">
      <c r="J6" s="8" t="s">
        <v>7</v>
      </c>
      <c r="K6" t="str">
        <f>_xlfn.TEXTJOIN("_",TRUE,K8:K39)</f>
        <v>10902:32_10901:31_11021:30_10101:29_10102:28_10103:27_10104:26_10111:25_10112:24_10113:23_10114:22_10115:21_10116:20_10117:19_10118:18_10119:17_10120:16_10121:15_10122:14_10123:13_10124:12_10125:11_10126:10_10127:9_10128:8_10129:7_10130:6_10131:5_10132:4_10133:3_10134:2_10135:1</v>
      </c>
    </row>
    <row r="8" spans="4:13" ht="14.25" x14ac:dyDescent="0.15">
      <c r="D8" t="e">
        <f>VLOOKUP(F11,#REF!,1,FALSE)</f>
        <v>#REF!</v>
      </c>
      <c r="E8" t="e">
        <f>VLOOKUP(F11,#REF!,2,FALSE)</f>
        <v>#REF!</v>
      </c>
      <c r="F8" s="7">
        <v>10902</v>
      </c>
      <c r="G8" s="7">
        <v>1</v>
      </c>
      <c r="H8" s="7">
        <v>0</v>
      </c>
      <c r="I8" s="7" t="s">
        <v>18</v>
      </c>
      <c r="J8">
        <f t="shared" ref="J8:J24" si="0">J9+1</f>
        <v>32</v>
      </c>
      <c r="K8" t="str">
        <f>F8&amp;":"&amp;J8</f>
        <v>10902:32</v>
      </c>
      <c r="M8">
        <v>10101</v>
      </c>
    </row>
    <row r="9" spans="4:13" ht="14.25" x14ac:dyDescent="0.15">
      <c r="D9" t="e">
        <f>VLOOKUP(F12,#REF!,1,FALSE)</f>
        <v>#REF!</v>
      </c>
      <c r="E9" t="e">
        <f>VLOOKUP(F12,#REF!,2,FALSE)</f>
        <v>#REF!</v>
      </c>
      <c r="F9" s="7">
        <v>10901</v>
      </c>
      <c r="G9" s="7">
        <v>1</v>
      </c>
      <c r="H9" s="7">
        <v>0</v>
      </c>
      <c r="I9" s="7" t="s">
        <v>17</v>
      </c>
      <c r="J9">
        <f t="shared" si="0"/>
        <v>31</v>
      </c>
      <c r="K9" t="str">
        <f t="shared" ref="K9:K39" si="1">F9&amp;":"&amp;J9</f>
        <v>10901:31</v>
      </c>
      <c r="M9">
        <v>10102</v>
      </c>
    </row>
    <row r="10" spans="4:13" ht="14.25" x14ac:dyDescent="0.15">
      <c r="D10" t="e">
        <f>VLOOKUP(F15,#REF!,1,FALSE)</f>
        <v>#REF!</v>
      </c>
      <c r="E10" t="e">
        <f>VLOOKUP(F15,#REF!,2,FALSE)</f>
        <v>#REF!</v>
      </c>
      <c r="F10" s="7">
        <v>11021</v>
      </c>
      <c r="G10" s="7">
        <v>1</v>
      </c>
      <c r="H10" s="7">
        <v>0</v>
      </c>
      <c r="I10" s="7" t="s">
        <v>19</v>
      </c>
      <c r="J10">
        <f t="shared" si="0"/>
        <v>30</v>
      </c>
      <c r="K10" t="str">
        <f t="shared" si="1"/>
        <v>11021:30</v>
      </c>
      <c r="M10">
        <v>10103</v>
      </c>
    </row>
    <row r="11" spans="4:13" ht="14.25" x14ac:dyDescent="0.15">
      <c r="D11" t="e">
        <f>VLOOKUP(F16,#REF!,1,FALSE)</f>
        <v>#REF!</v>
      </c>
      <c r="E11" t="e">
        <f>VLOOKUP(F16,#REF!,2,FALSE)</f>
        <v>#REF!</v>
      </c>
      <c r="F11" s="7">
        <v>10101</v>
      </c>
      <c r="G11" s="7">
        <v>1</v>
      </c>
      <c r="H11" s="7">
        <v>0</v>
      </c>
      <c r="I11" s="7" t="s">
        <v>8</v>
      </c>
      <c r="J11">
        <f t="shared" si="0"/>
        <v>29</v>
      </c>
      <c r="K11" t="str">
        <f t="shared" si="1"/>
        <v>10101:29</v>
      </c>
      <c r="M11">
        <v>10104</v>
      </c>
    </row>
    <row r="12" spans="4:13" ht="14.25" x14ac:dyDescent="0.15">
      <c r="D12" t="e">
        <f>VLOOKUP(F17,#REF!,1,FALSE)</f>
        <v>#REF!</v>
      </c>
      <c r="E12" t="e">
        <f>VLOOKUP(F17,#REF!,2,FALSE)</f>
        <v>#REF!</v>
      </c>
      <c r="F12" s="7">
        <v>10102</v>
      </c>
      <c r="G12" s="7">
        <v>1</v>
      </c>
      <c r="H12" s="7">
        <v>0</v>
      </c>
      <c r="I12" s="7" t="s">
        <v>20</v>
      </c>
      <c r="J12">
        <f t="shared" si="0"/>
        <v>28</v>
      </c>
      <c r="K12" t="str">
        <f t="shared" si="1"/>
        <v>10102:28</v>
      </c>
    </row>
    <row r="13" spans="4:13" ht="14.25" x14ac:dyDescent="0.15">
      <c r="D13" t="e">
        <f>VLOOKUP(F18,#REF!,1,FALSE)</f>
        <v>#REF!</v>
      </c>
      <c r="E13" t="e">
        <f>VLOOKUP(F18,#REF!,2,FALSE)</f>
        <v>#REF!</v>
      </c>
      <c r="F13" s="7">
        <v>10103</v>
      </c>
      <c r="G13" s="7">
        <v>1</v>
      </c>
      <c r="H13" s="7">
        <v>0</v>
      </c>
      <c r="I13" s="7" t="s">
        <v>9</v>
      </c>
      <c r="J13">
        <f t="shared" si="0"/>
        <v>27</v>
      </c>
      <c r="K13" t="str">
        <f t="shared" si="1"/>
        <v>10103:27</v>
      </c>
    </row>
    <row r="14" spans="4:13" ht="14.25" x14ac:dyDescent="0.15">
      <c r="D14" t="e">
        <f>VLOOKUP(F19,#REF!,1,FALSE)</f>
        <v>#REF!</v>
      </c>
      <c r="E14" t="e">
        <f>VLOOKUP(F19,#REF!,2,FALSE)</f>
        <v>#REF!</v>
      </c>
      <c r="F14" s="7">
        <v>10104</v>
      </c>
      <c r="G14" s="7">
        <v>1</v>
      </c>
      <c r="H14" s="7">
        <v>0</v>
      </c>
      <c r="I14" s="7" t="s">
        <v>10</v>
      </c>
      <c r="J14">
        <f t="shared" si="0"/>
        <v>26</v>
      </c>
      <c r="K14" t="str">
        <f t="shared" si="1"/>
        <v>10104:26</v>
      </c>
    </row>
    <row r="15" spans="4:13" ht="14.25" x14ac:dyDescent="0.15">
      <c r="D15" t="e">
        <f>VLOOKUP(F20,#REF!,1,FALSE)</f>
        <v>#REF!</v>
      </c>
      <c r="E15" t="e">
        <f>VLOOKUP(F20,#REF!,2,FALSE)</f>
        <v>#REF!</v>
      </c>
      <c r="F15" s="7">
        <v>10111</v>
      </c>
      <c r="G15" s="7">
        <v>1</v>
      </c>
      <c r="H15" s="7">
        <v>0</v>
      </c>
      <c r="I15" s="7" t="s">
        <v>21</v>
      </c>
      <c r="J15">
        <f t="shared" si="0"/>
        <v>25</v>
      </c>
      <c r="K15" t="str">
        <f t="shared" si="1"/>
        <v>10111:25</v>
      </c>
    </row>
    <row r="16" spans="4:13" ht="14.25" x14ac:dyDescent="0.15">
      <c r="D16" t="e">
        <f>VLOOKUP(F21,#REF!,1,FALSE)</f>
        <v>#REF!</v>
      </c>
      <c r="E16" t="e">
        <f>VLOOKUP(F21,#REF!,2,FALSE)</f>
        <v>#REF!</v>
      </c>
      <c r="F16" s="7">
        <v>10112</v>
      </c>
      <c r="G16" s="7">
        <v>1</v>
      </c>
      <c r="H16" s="7">
        <v>0</v>
      </c>
      <c r="I16" s="7" t="s">
        <v>22</v>
      </c>
      <c r="J16">
        <f t="shared" si="0"/>
        <v>24</v>
      </c>
      <c r="K16" t="str">
        <f t="shared" si="1"/>
        <v>10112:24</v>
      </c>
    </row>
    <row r="17" spans="4:11" ht="14.25" x14ac:dyDescent="0.15">
      <c r="D17" t="e">
        <f>VLOOKUP(F22,#REF!,1,FALSE)</f>
        <v>#REF!</v>
      </c>
      <c r="E17" t="e">
        <f>VLOOKUP(F22,#REF!,2,FALSE)</f>
        <v>#REF!</v>
      </c>
      <c r="F17" s="7">
        <v>10113</v>
      </c>
      <c r="G17" s="7">
        <v>1</v>
      </c>
      <c r="H17" s="7">
        <v>0</v>
      </c>
      <c r="I17" s="7" t="s">
        <v>23</v>
      </c>
      <c r="J17">
        <f t="shared" si="0"/>
        <v>23</v>
      </c>
      <c r="K17" t="str">
        <f t="shared" si="1"/>
        <v>10113:23</v>
      </c>
    </row>
    <row r="18" spans="4:11" ht="14.25" x14ac:dyDescent="0.15">
      <c r="D18" t="e">
        <f>VLOOKUP(F8,#REF!,1,FALSE)</f>
        <v>#REF!</v>
      </c>
      <c r="E18" t="e">
        <f>VLOOKUP(F8,#REF!,2,FALSE)</f>
        <v>#REF!</v>
      </c>
      <c r="F18" s="7">
        <v>10114</v>
      </c>
      <c r="G18" s="7">
        <v>1</v>
      </c>
      <c r="H18" s="7">
        <v>0</v>
      </c>
      <c r="I18" s="7" t="s">
        <v>24</v>
      </c>
      <c r="J18">
        <f t="shared" si="0"/>
        <v>22</v>
      </c>
      <c r="K18" t="str">
        <f t="shared" si="1"/>
        <v>10114:22</v>
      </c>
    </row>
    <row r="19" spans="4:11" ht="14.25" x14ac:dyDescent="0.15">
      <c r="D19" t="e">
        <f>VLOOKUP(F9,#REF!,1,FALSE)</f>
        <v>#REF!</v>
      </c>
      <c r="E19" t="e">
        <f>VLOOKUP(F9,#REF!,2,FALSE)</f>
        <v>#REF!</v>
      </c>
      <c r="F19" s="7">
        <v>10115</v>
      </c>
      <c r="G19" s="7">
        <v>1</v>
      </c>
      <c r="H19" s="7">
        <v>0</v>
      </c>
      <c r="I19" s="7" t="s">
        <v>25</v>
      </c>
      <c r="J19">
        <f t="shared" si="0"/>
        <v>21</v>
      </c>
      <c r="K19" t="str">
        <f t="shared" si="1"/>
        <v>10115:21</v>
      </c>
    </row>
    <row r="20" spans="4:11" ht="14.25" x14ac:dyDescent="0.15">
      <c r="D20" t="e">
        <f>VLOOKUP(F10,#REF!,1,FALSE)</f>
        <v>#REF!</v>
      </c>
      <c r="E20" t="e">
        <f>VLOOKUP(F10,#REF!,2,FALSE)</f>
        <v>#REF!</v>
      </c>
      <c r="F20" s="7">
        <v>10116</v>
      </c>
      <c r="G20" s="7">
        <v>1</v>
      </c>
      <c r="H20" s="7">
        <v>0</v>
      </c>
      <c r="I20" s="7" t="s">
        <v>26</v>
      </c>
      <c r="J20">
        <f t="shared" si="0"/>
        <v>20</v>
      </c>
      <c r="K20" t="str">
        <f t="shared" si="1"/>
        <v>10116:20</v>
      </c>
    </row>
    <row r="21" spans="4:11" ht="14.25" x14ac:dyDescent="0.15">
      <c r="D21" t="e">
        <f>VLOOKUP(F23,#REF!,1,FALSE)</f>
        <v>#REF!</v>
      </c>
      <c r="E21" t="e">
        <f>VLOOKUP(F23,#REF!,2,FALSE)</f>
        <v>#REF!</v>
      </c>
      <c r="F21" s="7">
        <v>10117</v>
      </c>
      <c r="G21" s="7">
        <v>1</v>
      </c>
      <c r="H21" s="7">
        <v>0</v>
      </c>
      <c r="I21" s="7" t="s">
        <v>27</v>
      </c>
      <c r="J21">
        <f t="shared" si="0"/>
        <v>19</v>
      </c>
      <c r="K21" t="str">
        <f t="shared" si="1"/>
        <v>10117:19</v>
      </c>
    </row>
    <row r="22" spans="4:11" ht="14.25" x14ac:dyDescent="0.15">
      <c r="D22" t="e">
        <f>VLOOKUP(F24,#REF!,1,FALSE)</f>
        <v>#REF!</v>
      </c>
      <c r="E22" t="e">
        <f>VLOOKUP(F24,#REF!,2,FALSE)</f>
        <v>#REF!</v>
      </c>
      <c r="F22" s="7">
        <v>10118</v>
      </c>
      <c r="G22" s="7">
        <v>1</v>
      </c>
      <c r="H22" s="7">
        <v>0</v>
      </c>
      <c r="I22" s="7" t="s">
        <v>28</v>
      </c>
      <c r="J22">
        <f t="shared" si="0"/>
        <v>18</v>
      </c>
      <c r="K22" t="str">
        <f t="shared" si="1"/>
        <v>10118:18</v>
      </c>
    </row>
    <row r="23" spans="4:11" ht="14.25" x14ac:dyDescent="0.15">
      <c r="D23" t="e">
        <f>VLOOKUP(F25,#REF!,1,FALSE)</f>
        <v>#REF!</v>
      </c>
      <c r="E23" t="e">
        <f>VLOOKUP(F25,#REF!,2,FALSE)</f>
        <v>#REF!</v>
      </c>
      <c r="F23" s="7">
        <v>10119</v>
      </c>
      <c r="G23" s="7">
        <v>1</v>
      </c>
      <c r="H23" s="7">
        <v>0</v>
      </c>
      <c r="I23" s="7" t="s">
        <v>29</v>
      </c>
      <c r="J23">
        <f t="shared" si="0"/>
        <v>17</v>
      </c>
      <c r="K23" t="str">
        <f t="shared" si="1"/>
        <v>10119:17</v>
      </c>
    </row>
    <row r="24" spans="4:11" ht="14.25" x14ac:dyDescent="0.15">
      <c r="D24" t="e">
        <f>VLOOKUP(F26,#REF!,1,FALSE)</f>
        <v>#REF!</v>
      </c>
      <c r="E24" t="e">
        <f>VLOOKUP(F26,#REF!,2,FALSE)</f>
        <v>#REF!</v>
      </c>
      <c r="F24" s="7">
        <v>10120</v>
      </c>
      <c r="G24" s="7">
        <v>1</v>
      </c>
      <c r="H24" s="7">
        <v>0</v>
      </c>
      <c r="I24" s="7" t="s">
        <v>11</v>
      </c>
      <c r="J24">
        <f t="shared" si="0"/>
        <v>16</v>
      </c>
      <c r="K24" t="str">
        <f t="shared" si="1"/>
        <v>10120:16</v>
      </c>
    </row>
    <row r="25" spans="4:11" ht="14.25" x14ac:dyDescent="0.15">
      <c r="F25" s="7">
        <v>10121</v>
      </c>
      <c r="G25" s="7">
        <v>1</v>
      </c>
      <c r="H25" s="7">
        <v>0</v>
      </c>
      <c r="I25" s="7" t="s">
        <v>30</v>
      </c>
      <c r="J25">
        <f>J26+1</f>
        <v>15</v>
      </c>
      <c r="K25" t="str">
        <f t="shared" si="1"/>
        <v>10121:15</v>
      </c>
    </row>
    <row r="26" spans="4:11" ht="14.25" x14ac:dyDescent="0.15">
      <c r="F26" s="7">
        <v>10122</v>
      </c>
      <c r="G26" s="7">
        <v>1</v>
      </c>
      <c r="H26" s="7">
        <v>0</v>
      </c>
      <c r="I26" s="7" t="s">
        <v>31</v>
      </c>
      <c r="J26">
        <f t="shared" ref="J26:J39" si="2">J27+1</f>
        <v>14</v>
      </c>
      <c r="K26" t="str">
        <f t="shared" si="1"/>
        <v>10122:14</v>
      </c>
    </row>
    <row r="27" spans="4:11" x14ac:dyDescent="0.15">
      <c r="F27">
        <v>10123</v>
      </c>
      <c r="G27">
        <v>1</v>
      </c>
      <c r="H27">
        <v>0</v>
      </c>
      <c r="I27" t="s">
        <v>32</v>
      </c>
      <c r="J27">
        <f t="shared" si="2"/>
        <v>13</v>
      </c>
      <c r="K27" t="str">
        <f t="shared" si="1"/>
        <v>10123:13</v>
      </c>
    </row>
    <row r="28" spans="4:11" x14ac:dyDescent="0.15">
      <c r="F28">
        <v>10124</v>
      </c>
      <c r="G28">
        <v>1</v>
      </c>
      <c r="H28">
        <v>0</v>
      </c>
      <c r="I28" t="s">
        <v>33</v>
      </c>
      <c r="J28">
        <f t="shared" si="2"/>
        <v>12</v>
      </c>
      <c r="K28" t="str">
        <f t="shared" si="1"/>
        <v>10124:12</v>
      </c>
    </row>
    <row r="29" spans="4:11" x14ac:dyDescent="0.15">
      <c r="F29">
        <v>10125</v>
      </c>
      <c r="G29">
        <v>1</v>
      </c>
      <c r="H29">
        <v>0</v>
      </c>
      <c r="I29" t="s">
        <v>34</v>
      </c>
      <c r="J29">
        <f t="shared" si="2"/>
        <v>11</v>
      </c>
      <c r="K29" t="str">
        <f t="shared" si="1"/>
        <v>10125:11</v>
      </c>
    </row>
    <row r="30" spans="4:11" x14ac:dyDescent="0.15">
      <c r="F30">
        <v>10126</v>
      </c>
      <c r="G30">
        <v>1</v>
      </c>
      <c r="H30">
        <v>0</v>
      </c>
      <c r="I30" t="s">
        <v>35</v>
      </c>
      <c r="J30">
        <f t="shared" si="2"/>
        <v>10</v>
      </c>
      <c r="K30" t="str">
        <f t="shared" si="1"/>
        <v>10126:10</v>
      </c>
    </row>
    <row r="31" spans="4:11" x14ac:dyDescent="0.15">
      <c r="F31">
        <v>10127</v>
      </c>
      <c r="G31">
        <v>1</v>
      </c>
      <c r="H31">
        <v>0</v>
      </c>
      <c r="I31" t="s">
        <v>36</v>
      </c>
      <c r="J31">
        <f t="shared" si="2"/>
        <v>9</v>
      </c>
      <c r="K31" t="str">
        <f t="shared" si="1"/>
        <v>10127:9</v>
      </c>
    </row>
    <row r="32" spans="4:11" x14ac:dyDescent="0.15">
      <c r="F32">
        <v>10128</v>
      </c>
      <c r="G32">
        <v>1</v>
      </c>
      <c r="H32">
        <v>0</v>
      </c>
      <c r="I32" t="s">
        <v>37</v>
      </c>
      <c r="J32">
        <f t="shared" si="2"/>
        <v>8</v>
      </c>
      <c r="K32" t="str">
        <f t="shared" si="1"/>
        <v>10128:8</v>
      </c>
    </row>
    <row r="33" spans="1:16" x14ac:dyDescent="0.15">
      <c r="F33">
        <v>10129</v>
      </c>
      <c r="G33">
        <v>1</v>
      </c>
      <c r="H33">
        <v>0</v>
      </c>
      <c r="I33" t="s">
        <v>38</v>
      </c>
      <c r="J33">
        <f t="shared" si="2"/>
        <v>7</v>
      </c>
      <c r="K33" t="str">
        <f t="shared" si="1"/>
        <v>10129:7</v>
      </c>
    </row>
    <row r="34" spans="1:16" x14ac:dyDescent="0.15">
      <c r="F34">
        <v>10130</v>
      </c>
      <c r="G34">
        <v>1</v>
      </c>
      <c r="H34">
        <v>0</v>
      </c>
      <c r="I34" t="s">
        <v>39</v>
      </c>
      <c r="J34">
        <f t="shared" si="2"/>
        <v>6</v>
      </c>
      <c r="K34" t="str">
        <f t="shared" si="1"/>
        <v>10130:6</v>
      </c>
    </row>
    <row r="35" spans="1:16" x14ac:dyDescent="0.15">
      <c r="F35">
        <v>10131</v>
      </c>
      <c r="G35">
        <v>1</v>
      </c>
      <c r="H35">
        <v>0</v>
      </c>
      <c r="I35" t="s">
        <v>12</v>
      </c>
      <c r="J35">
        <f t="shared" si="2"/>
        <v>5</v>
      </c>
      <c r="K35" t="str">
        <f t="shared" si="1"/>
        <v>10131:5</v>
      </c>
    </row>
    <row r="36" spans="1:16" x14ac:dyDescent="0.15">
      <c r="F36">
        <v>10132</v>
      </c>
      <c r="G36">
        <v>1</v>
      </c>
      <c r="H36">
        <v>0</v>
      </c>
      <c r="I36" t="s">
        <v>13</v>
      </c>
      <c r="J36">
        <f t="shared" si="2"/>
        <v>4</v>
      </c>
      <c r="K36" t="str">
        <f t="shared" si="1"/>
        <v>10132:4</v>
      </c>
    </row>
    <row r="37" spans="1:16" x14ac:dyDescent="0.15">
      <c r="F37">
        <v>10133</v>
      </c>
      <c r="G37">
        <v>1</v>
      </c>
      <c r="H37">
        <v>0</v>
      </c>
      <c r="I37" t="s">
        <v>14</v>
      </c>
      <c r="J37">
        <f t="shared" si="2"/>
        <v>3</v>
      </c>
      <c r="K37" t="str">
        <f t="shared" si="1"/>
        <v>10133:3</v>
      </c>
    </row>
    <row r="38" spans="1:16" x14ac:dyDescent="0.15">
      <c r="F38">
        <v>10134</v>
      </c>
      <c r="G38">
        <v>1</v>
      </c>
      <c r="H38">
        <v>0</v>
      </c>
      <c r="I38" t="s">
        <v>15</v>
      </c>
      <c r="J38">
        <f t="shared" si="2"/>
        <v>2</v>
      </c>
      <c r="K38" t="str">
        <f t="shared" si="1"/>
        <v>10134:2</v>
      </c>
    </row>
    <row r="39" spans="1:16" x14ac:dyDescent="0.15">
      <c r="F39">
        <v>10135</v>
      </c>
      <c r="G39">
        <v>1</v>
      </c>
      <c r="H39">
        <v>0</v>
      </c>
      <c r="I39" t="s">
        <v>16</v>
      </c>
      <c r="J39">
        <f t="shared" si="2"/>
        <v>1</v>
      </c>
      <c r="K39" t="str">
        <f t="shared" si="1"/>
        <v>10135:1</v>
      </c>
    </row>
    <row r="42" spans="1:16" x14ac:dyDescent="0.15">
      <c r="A42">
        <v>1</v>
      </c>
      <c r="B42">
        <v>2</v>
      </c>
      <c r="C42">
        <v>3</v>
      </c>
      <c r="D42">
        <v>4</v>
      </c>
      <c r="E42">
        <v>5</v>
      </c>
      <c r="F42">
        <v>6</v>
      </c>
      <c r="G42">
        <v>7</v>
      </c>
      <c r="H42">
        <v>8</v>
      </c>
      <c r="I42">
        <v>1</v>
      </c>
      <c r="J42">
        <v>2</v>
      </c>
      <c r="K42">
        <v>3</v>
      </c>
      <c r="L42">
        <v>4</v>
      </c>
      <c r="M42">
        <v>5</v>
      </c>
      <c r="N42">
        <v>6</v>
      </c>
      <c r="O42">
        <v>7</v>
      </c>
      <c r="P42">
        <v>8</v>
      </c>
    </row>
    <row r="43" spans="1:16" x14ac:dyDescent="0.15">
      <c r="A43" s="9" t="s">
        <v>40</v>
      </c>
      <c r="B43" s="9" t="s">
        <v>41</v>
      </c>
      <c r="C43" s="9" t="s">
        <v>42</v>
      </c>
      <c r="D43" s="9" t="s">
        <v>41</v>
      </c>
      <c r="E43" s="9" t="s">
        <v>43</v>
      </c>
      <c r="F43" s="9" t="s">
        <v>44</v>
      </c>
      <c r="G43" s="9" t="s">
        <v>40</v>
      </c>
      <c r="H43" s="9" t="s">
        <v>40</v>
      </c>
      <c r="I43" s="15">
        <v>10136</v>
      </c>
      <c r="J43" s="15">
        <v>10125</v>
      </c>
      <c r="K43" s="15">
        <v>10182</v>
      </c>
      <c r="L43" s="15">
        <v>10125</v>
      </c>
      <c r="M43" s="15">
        <v>10137</v>
      </c>
      <c r="N43" s="15">
        <v>10138</v>
      </c>
      <c r="O43" s="15">
        <v>10136</v>
      </c>
      <c r="P43" s="15">
        <v>10136</v>
      </c>
    </row>
    <row r="44" spans="1:16" x14ac:dyDescent="0.15">
      <c r="A44" s="9" t="s">
        <v>43</v>
      </c>
      <c r="B44" s="9" t="s">
        <v>29</v>
      </c>
      <c r="C44" s="9" t="s">
        <v>41</v>
      </c>
      <c r="D44" s="9" t="s">
        <v>29</v>
      </c>
      <c r="E44" s="10" t="s">
        <v>45</v>
      </c>
      <c r="F44" s="9" t="s">
        <v>43</v>
      </c>
      <c r="G44" s="9" t="s">
        <v>46</v>
      </c>
      <c r="H44" s="9" t="s">
        <v>47</v>
      </c>
      <c r="I44" s="15">
        <v>10137</v>
      </c>
      <c r="J44" s="15">
        <v>10119</v>
      </c>
      <c r="K44" s="15">
        <v>10125</v>
      </c>
      <c r="L44" s="15">
        <v>10119</v>
      </c>
      <c r="M44" s="17">
        <v>10178</v>
      </c>
      <c r="N44" s="15">
        <v>10137</v>
      </c>
      <c r="O44" s="15">
        <v>10226</v>
      </c>
      <c r="P44" s="15">
        <v>10227</v>
      </c>
    </row>
    <row r="45" spans="1:16" x14ac:dyDescent="0.15">
      <c r="A45" s="10" t="s">
        <v>48</v>
      </c>
      <c r="B45" s="9" t="s">
        <v>11</v>
      </c>
      <c r="C45" s="9" t="s">
        <v>29</v>
      </c>
      <c r="D45" s="9" t="s">
        <v>11</v>
      </c>
      <c r="E45" s="10" t="s">
        <v>49</v>
      </c>
      <c r="F45" s="10" t="s">
        <v>50</v>
      </c>
      <c r="G45" s="10" t="s">
        <v>51</v>
      </c>
      <c r="H45" s="10" t="s">
        <v>52</v>
      </c>
      <c r="I45" s="17">
        <v>10168</v>
      </c>
      <c r="J45" s="15">
        <v>10120</v>
      </c>
      <c r="K45" s="15">
        <v>10119</v>
      </c>
      <c r="L45" s="15">
        <v>10120</v>
      </c>
      <c r="M45" s="17">
        <v>10169</v>
      </c>
      <c r="N45" s="17">
        <v>10170</v>
      </c>
      <c r="O45" s="17">
        <v>10171</v>
      </c>
      <c r="P45" s="17">
        <v>10180</v>
      </c>
    </row>
    <row r="46" spans="1:16" x14ac:dyDescent="0.15">
      <c r="A46" s="10" t="s">
        <v>53</v>
      </c>
      <c r="B46" s="9" t="s">
        <v>30</v>
      </c>
      <c r="C46" s="9" t="s">
        <v>11</v>
      </c>
      <c r="D46" s="9" t="s">
        <v>30</v>
      </c>
      <c r="E46" s="11" t="s">
        <v>54</v>
      </c>
      <c r="F46" s="10" t="s">
        <v>55</v>
      </c>
      <c r="G46" s="10" t="s">
        <v>56</v>
      </c>
      <c r="H46" s="10" t="s">
        <v>45</v>
      </c>
      <c r="I46" s="17">
        <v>10179</v>
      </c>
      <c r="J46" s="15">
        <v>10121</v>
      </c>
      <c r="K46" s="15">
        <v>10120</v>
      </c>
      <c r="L46" s="15">
        <v>10121</v>
      </c>
      <c r="M46" s="18">
        <v>10150</v>
      </c>
      <c r="N46" s="17">
        <v>10174</v>
      </c>
      <c r="O46" s="17">
        <v>10175</v>
      </c>
      <c r="P46" s="17">
        <v>10178</v>
      </c>
    </row>
    <row r="47" spans="1:16" ht="14.25" x14ac:dyDescent="0.2">
      <c r="A47" s="11" t="s">
        <v>54</v>
      </c>
      <c r="B47" s="9" t="s">
        <v>31</v>
      </c>
      <c r="C47" s="9" t="s">
        <v>30</v>
      </c>
      <c r="D47" s="9" t="s">
        <v>31</v>
      </c>
      <c r="E47" s="12" t="s">
        <v>57</v>
      </c>
      <c r="F47" s="11" t="s">
        <v>54</v>
      </c>
      <c r="G47" s="11" t="s">
        <v>54</v>
      </c>
      <c r="H47" s="11" t="s">
        <v>54</v>
      </c>
      <c r="I47" s="18">
        <v>10150</v>
      </c>
      <c r="J47" s="15">
        <v>10122</v>
      </c>
      <c r="K47" s="15">
        <v>10121</v>
      </c>
      <c r="L47" s="15">
        <v>10122</v>
      </c>
      <c r="M47" s="17">
        <v>10135</v>
      </c>
      <c r="N47" s="18">
        <v>10150</v>
      </c>
      <c r="O47" s="18">
        <v>10150</v>
      </c>
      <c r="P47" s="18">
        <v>10150</v>
      </c>
    </row>
    <row r="48" spans="1:16" ht="14.25" x14ac:dyDescent="0.2">
      <c r="A48" s="12" t="s">
        <v>57</v>
      </c>
      <c r="B48" s="9" t="s">
        <v>58</v>
      </c>
      <c r="C48" s="9" t="s">
        <v>31</v>
      </c>
      <c r="D48" s="9" t="s">
        <v>58</v>
      </c>
      <c r="E48" s="13" t="s">
        <v>59</v>
      </c>
      <c r="F48" s="13" t="s">
        <v>59</v>
      </c>
      <c r="G48" s="12" t="s">
        <v>57</v>
      </c>
      <c r="H48" s="13" t="s">
        <v>59</v>
      </c>
      <c r="I48" s="17">
        <v>10135</v>
      </c>
      <c r="J48" s="15">
        <v>10159</v>
      </c>
      <c r="K48" s="15">
        <v>10122</v>
      </c>
      <c r="L48" s="15">
        <v>10159</v>
      </c>
      <c r="M48" s="17">
        <v>10151</v>
      </c>
      <c r="N48" s="17">
        <v>10151</v>
      </c>
      <c r="O48" s="17">
        <v>10135</v>
      </c>
      <c r="P48" s="17">
        <v>10151</v>
      </c>
    </row>
    <row r="49" spans="1:16" ht="14.25" x14ac:dyDescent="0.2">
      <c r="A49" s="13" t="s">
        <v>60</v>
      </c>
      <c r="B49" s="9" t="s">
        <v>61</v>
      </c>
      <c r="C49" s="9" t="s">
        <v>58</v>
      </c>
      <c r="D49" s="9" t="s">
        <v>61</v>
      </c>
      <c r="E49" s="1" t="s">
        <v>62</v>
      </c>
      <c r="F49" s="14" t="s">
        <v>63</v>
      </c>
      <c r="G49" s="14" t="s">
        <v>63</v>
      </c>
      <c r="H49" s="13" t="s">
        <v>60</v>
      </c>
      <c r="I49" s="17">
        <v>10133</v>
      </c>
      <c r="J49" s="15">
        <v>10225</v>
      </c>
      <c r="K49" s="15">
        <v>10159</v>
      </c>
      <c r="L49" s="15">
        <v>10225</v>
      </c>
      <c r="M49" s="16">
        <v>10233</v>
      </c>
      <c r="N49" s="17">
        <v>10134</v>
      </c>
      <c r="O49" s="17">
        <v>10134</v>
      </c>
      <c r="P49" s="17">
        <v>10133</v>
      </c>
    </row>
    <row r="50" spans="1:16" x14ac:dyDescent="0.15">
      <c r="A50" s="1" t="s">
        <v>64</v>
      </c>
      <c r="B50" s="10" t="s">
        <v>65</v>
      </c>
      <c r="C50" s="9" t="s">
        <v>61</v>
      </c>
      <c r="D50" s="10" t="s">
        <v>51</v>
      </c>
      <c r="E50" s="1" t="s">
        <v>66</v>
      </c>
      <c r="F50" s="1" t="s">
        <v>67</v>
      </c>
      <c r="G50" s="1" t="s">
        <v>68</v>
      </c>
      <c r="H50" s="1"/>
      <c r="I50" s="16">
        <v>10231</v>
      </c>
      <c r="J50" s="17">
        <v>10172</v>
      </c>
      <c r="K50" s="15">
        <v>10225</v>
      </c>
      <c r="L50" s="17">
        <v>10171</v>
      </c>
      <c r="M50" s="16">
        <v>10234</v>
      </c>
      <c r="N50" s="16">
        <v>10235</v>
      </c>
      <c r="O50" s="16">
        <v>10237</v>
      </c>
      <c r="P50" s="15" t="s">
        <v>83</v>
      </c>
    </row>
    <row r="51" spans="1:16" x14ac:dyDescent="0.15">
      <c r="A51" s="1" t="s">
        <v>69</v>
      </c>
      <c r="B51" s="10" t="s">
        <v>70</v>
      </c>
      <c r="C51" s="10" t="s">
        <v>50</v>
      </c>
      <c r="D51" s="10" t="s">
        <v>71</v>
      </c>
      <c r="E51" s="1" t="s">
        <v>72</v>
      </c>
      <c r="F51" s="1" t="s">
        <v>73</v>
      </c>
      <c r="G51" s="1" t="s">
        <v>74</v>
      </c>
      <c r="H51" s="1"/>
      <c r="I51" s="16">
        <v>10232</v>
      </c>
      <c r="J51" s="17">
        <v>10177</v>
      </c>
      <c r="K51" s="17">
        <v>10170</v>
      </c>
      <c r="L51" s="17">
        <v>10173</v>
      </c>
      <c r="M51" s="16">
        <v>10241</v>
      </c>
      <c r="N51" s="16">
        <v>10236</v>
      </c>
      <c r="O51" s="16">
        <v>10238</v>
      </c>
      <c r="P51" s="15" t="s">
        <v>83</v>
      </c>
    </row>
    <row r="52" spans="1:16" x14ac:dyDescent="0.15">
      <c r="A52" s="1" t="s">
        <v>75</v>
      </c>
      <c r="B52" s="11" t="s">
        <v>54</v>
      </c>
      <c r="C52" s="10" t="s">
        <v>76</v>
      </c>
      <c r="D52" s="11" t="s">
        <v>54</v>
      </c>
      <c r="E52" s="1" t="s">
        <v>77</v>
      </c>
      <c r="F52" s="1" t="s">
        <v>78</v>
      </c>
      <c r="G52" s="1" t="s">
        <v>79</v>
      </c>
      <c r="H52" s="1"/>
      <c r="I52" s="16">
        <v>10239</v>
      </c>
      <c r="J52" s="18">
        <v>10150</v>
      </c>
      <c r="K52" s="17">
        <v>10176</v>
      </c>
      <c r="L52" s="18">
        <v>10150</v>
      </c>
      <c r="M52" s="16">
        <v>10242</v>
      </c>
      <c r="N52" s="16">
        <v>10243</v>
      </c>
      <c r="O52" s="16">
        <v>10245</v>
      </c>
      <c r="P52" s="15" t="s">
        <v>83</v>
      </c>
    </row>
    <row r="53" spans="1:16" x14ac:dyDescent="0.15">
      <c r="A53" s="1" t="s">
        <v>80</v>
      </c>
      <c r="B53" s="13" t="s">
        <v>60</v>
      </c>
      <c r="C53" s="11" t="s">
        <v>54</v>
      </c>
      <c r="D53" s="13" t="s">
        <v>59</v>
      </c>
      <c r="E53" s="1"/>
      <c r="F53" s="1" t="s">
        <v>81</v>
      </c>
      <c r="G53" s="1" t="s">
        <v>82</v>
      </c>
      <c r="H53" s="1"/>
      <c r="I53" s="16">
        <v>10240</v>
      </c>
      <c r="J53" s="17">
        <v>10133</v>
      </c>
      <c r="K53" s="18">
        <v>10150</v>
      </c>
      <c r="L53" s="17">
        <v>10151</v>
      </c>
      <c r="M53" s="15" t="s">
        <v>83</v>
      </c>
      <c r="N53" s="16">
        <v>10244</v>
      </c>
      <c r="O53" s="16">
        <v>10246</v>
      </c>
      <c r="P53" s="15" t="s">
        <v>83</v>
      </c>
    </row>
    <row r="54" spans="1:16" ht="14.25" x14ac:dyDescent="0.2">
      <c r="A54" s="1"/>
      <c r="B54" s="14" t="s">
        <v>63</v>
      </c>
      <c r="C54" s="12" t="s">
        <v>57</v>
      </c>
      <c r="D54" s="13" t="s">
        <v>60</v>
      </c>
      <c r="E54" s="1"/>
      <c r="F54" s="1"/>
      <c r="G54" s="1"/>
      <c r="H54" s="1"/>
      <c r="I54" s="15" t="s">
        <v>83</v>
      </c>
      <c r="J54" s="17">
        <v>10134</v>
      </c>
      <c r="K54" s="17">
        <v>10135</v>
      </c>
      <c r="L54" s="17">
        <v>10133</v>
      </c>
      <c r="M54" s="15" t="s">
        <v>83</v>
      </c>
      <c r="N54" s="15" t="s">
        <v>83</v>
      </c>
      <c r="O54" s="15" t="s">
        <v>83</v>
      </c>
      <c r="P54" s="15" t="s">
        <v>83</v>
      </c>
    </row>
    <row r="55" spans="1:16" ht="14.25" x14ac:dyDescent="0.2">
      <c r="A55" s="1"/>
      <c r="B55" s="1"/>
      <c r="C55" s="14" t="s">
        <v>63</v>
      </c>
      <c r="D55" s="1"/>
      <c r="E55" s="1"/>
      <c r="F55" s="1"/>
      <c r="G55" s="1"/>
      <c r="H55" s="1"/>
      <c r="I55" s="15" t="s">
        <v>83</v>
      </c>
      <c r="J55" s="15" t="s">
        <v>83</v>
      </c>
      <c r="K55" s="17">
        <v>10134</v>
      </c>
      <c r="L55" s="15" t="s">
        <v>83</v>
      </c>
      <c r="M55" s="15" t="s">
        <v>83</v>
      </c>
      <c r="N55" s="15" t="s">
        <v>83</v>
      </c>
      <c r="O55" s="15" t="s">
        <v>83</v>
      </c>
      <c r="P55" s="15" t="s">
        <v>83</v>
      </c>
    </row>
    <row r="59" spans="1:16" x14ac:dyDescent="0.15">
      <c r="K59" t="str">
        <f>_xlfn.TEXTJOIN("_",TRUE,K60:K106)</f>
        <v>10631:316_10632:315_10639:314_10640:313_10633:312_10634:311_10641:310_10642:309_10635:308_10636:307_10643:306_10644:305_10637:304_10638:303_10645:302_10646:301_10550:201_10525:113_10519:112_10520:111_10521:110_10522:109_10559:108_10625:107_10536:106_10537:105_10627:104_10626:103_10538:102_10582:101_10569:17_10568:16_10579:15_10572:14_10573:13_10574:12_10575:11_10577:10_10576:9_10571:8_10570:7_10578:6_10580:5_10551:4_10533:3_10534:2_10535:1</v>
      </c>
    </row>
    <row r="60" spans="1:16" x14ac:dyDescent="0.15">
      <c r="G60">
        <f>H60+400</f>
        <v>10631</v>
      </c>
      <c r="H60" s="16">
        <v>10231</v>
      </c>
      <c r="I60" s="1" t="s">
        <v>64</v>
      </c>
      <c r="J60">
        <v>316</v>
      </c>
      <c r="K60" t="str">
        <f>G60&amp;":"&amp;J60</f>
        <v>10631:316</v>
      </c>
    </row>
    <row r="61" spans="1:16" x14ac:dyDescent="0.15">
      <c r="G61">
        <f t="shared" ref="G61:G106" si="3">H61+400</f>
        <v>10632</v>
      </c>
      <c r="H61" s="16">
        <v>10232</v>
      </c>
      <c r="I61" s="1" t="s">
        <v>69</v>
      </c>
      <c r="J61">
        <v>315</v>
      </c>
      <c r="K61" t="str">
        <f t="shared" ref="K61:K106" si="4">G61&amp;":"&amp;J61</f>
        <v>10632:315</v>
      </c>
    </row>
    <row r="62" spans="1:16" x14ac:dyDescent="0.15">
      <c r="G62">
        <f t="shared" si="3"/>
        <v>10639</v>
      </c>
      <c r="H62" s="16">
        <v>10239</v>
      </c>
      <c r="I62" s="1" t="s">
        <v>75</v>
      </c>
      <c r="J62">
        <v>314</v>
      </c>
      <c r="K62" t="str">
        <f t="shared" si="4"/>
        <v>10639:314</v>
      </c>
    </row>
    <row r="63" spans="1:16" x14ac:dyDescent="0.15">
      <c r="G63">
        <f t="shared" si="3"/>
        <v>10640</v>
      </c>
      <c r="H63" s="16">
        <v>10240</v>
      </c>
      <c r="I63" s="1" t="s">
        <v>80</v>
      </c>
      <c r="J63">
        <v>313</v>
      </c>
      <c r="K63" t="str">
        <f t="shared" si="4"/>
        <v>10640:313</v>
      </c>
    </row>
    <row r="64" spans="1:16" x14ac:dyDescent="0.15">
      <c r="G64">
        <f t="shared" si="3"/>
        <v>10633</v>
      </c>
      <c r="H64" s="16">
        <v>10233</v>
      </c>
      <c r="I64" s="1" t="s">
        <v>62</v>
      </c>
      <c r="J64">
        <v>312</v>
      </c>
      <c r="K64" t="str">
        <f t="shared" si="4"/>
        <v>10633:312</v>
      </c>
    </row>
    <row r="65" spans="7:11" x14ac:dyDescent="0.15">
      <c r="G65">
        <f t="shared" si="3"/>
        <v>10634</v>
      </c>
      <c r="H65" s="16">
        <v>10234</v>
      </c>
      <c r="I65" s="1" t="s">
        <v>66</v>
      </c>
      <c r="J65">
        <v>311</v>
      </c>
      <c r="K65" t="str">
        <f t="shared" si="4"/>
        <v>10634:311</v>
      </c>
    </row>
    <row r="66" spans="7:11" x14ac:dyDescent="0.15">
      <c r="G66">
        <f t="shared" si="3"/>
        <v>10641</v>
      </c>
      <c r="H66" s="16">
        <v>10241</v>
      </c>
      <c r="I66" s="1" t="s">
        <v>72</v>
      </c>
      <c r="J66">
        <v>310</v>
      </c>
      <c r="K66" t="str">
        <f t="shared" si="4"/>
        <v>10641:310</v>
      </c>
    </row>
    <row r="67" spans="7:11" x14ac:dyDescent="0.15">
      <c r="G67">
        <f t="shared" si="3"/>
        <v>10642</v>
      </c>
      <c r="H67" s="16">
        <v>10242</v>
      </c>
      <c r="I67" s="1" t="s">
        <v>77</v>
      </c>
      <c r="J67">
        <v>309</v>
      </c>
      <c r="K67" t="str">
        <f t="shared" si="4"/>
        <v>10642:309</v>
      </c>
    </row>
    <row r="68" spans="7:11" x14ac:dyDescent="0.15">
      <c r="G68">
        <f t="shared" si="3"/>
        <v>10635</v>
      </c>
      <c r="H68" s="16">
        <v>10235</v>
      </c>
      <c r="I68" s="1" t="s">
        <v>67</v>
      </c>
      <c r="J68">
        <v>308</v>
      </c>
      <c r="K68" t="str">
        <f t="shared" si="4"/>
        <v>10635:308</v>
      </c>
    </row>
    <row r="69" spans="7:11" x14ac:dyDescent="0.15">
      <c r="G69">
        <f t="shared" si="3"/>
        <v>10636</v>
      </c>
      <c r="H69" s="16">
        <v>10236</v>
      </c>
      <c r="I69" s="1" t="s">
        <v>73</v>
      </c>
      <c r="J69">
        <v>307</v>
      </c>
      <c r="K69" t="str">
        <f t="shared" si="4"/>
        <v>10636:307</v>
      </c>
    </row>
    <row r="70" spans="7:11" x14ac:dyDescent="0.15">
      <c r="G70">
        <f t="shared" si="3"/>
        <v>10643</v>
      </c>
      <c r="H70" s="16">
        <v>10243</v>
      </c>
      <c r="I70" s="1" t="s">
        <v>78</v>
      </c>
      <c r="J70">
        <v>306</v>
      </c>
      <c r="K70" t="str">
        <f t="shared" si="4"/>
        <v>10643:306</v>
      </c>
    </row>
    <row r="71" spans="7:11" x14ac:dyDescent="0.15">
      <c r="G71">
        <f t="shared" si="3"/>
        <v>10644</v>
      </c>
      <c r="H71" s="16">
        <v>10244</v>
      </c>
      <c r="I71" s="1" t="s">
        <v>81</v>
      </c>
      <c r="J71">
        <v>305</v>
      </c>
      <c r="K71" t="str">
        <f t="shared" si="4"/>
        <v>10644:305</v>
      </c>
    </row>
    <row r="72" spans="7:11" x14ac:dyDescent="0.15">
      <c r="G72">
        <f t="shared" si="3"/>
        <v>10637</v>
      </c>
      <c r="H72" s="16">
        <v>10237</v>
      </c>
      <c r="I72" s="1" t="s">
        <v>68</v>
      </c>
      <c r="J72">
        <v>304</v>
      </c>
      <c r="K72" t="str">
        <f t="shared" si="4"/>
        <v>10637:304</v>
      </c>
    </row>
    <row r="73" spans="7:11" x14ac:dyDescent="0.15">
      <c r="G73">
        <f t="shared" si="3"/>
        <v>10638</v>
      </c>
      <c r="H73" s="16">
        <v>10238</v>
      </c>
      <c r="I73" s="1" t="s">
        <v>74</v>
      </c>
      <c r="J73">
        <v>303</v>
      </c>
      <c r="K73" t="str">
        <f t="shared" si="4"/>
        <v>10638:303</v>
      </c>
    </row>
    <row r="74" spans="7:11" x14ac:dyDescent="0.15">
      <c r="G74">
        <f t="shared" si="3"/>
        <v>10645</v>
      </c>
      <c r="H74" s="16">
        <v>10245</v>
      </c>
      <c r="I74" s="1" t="s">
        <v>79</v>
      </c>
      <c r="J74">
        <v>302</v>
      </c>
      <c r="K74" t="str">
        <f t="shared" si="4"/>
        <v>10645:302</v>
      </c>
    </row>
    <row r="75" spans="7:11" x14ac:dyDescent="0.15">
      <c r="G75">
        <f t="shared" si="3"/>
        <v>10646</v>
      </c>
      <c r="H75" s="16">
        <v>10246</v>
      </c>
      <c r="I75" s="1" t="s">
        <v>82</v>
      </c>
      <c r="J75">
        <v>301</v>
      </c>
      <c r="K75" t="str">
        <f t="shared" si="4"/>
        <v>10646:301</v>
      </c>
    </row>
    <row r="76" spans="7:11" x14ac:dyDescent="0.15">
      <c r="G76">
        <f t="shared" si="3"/>
        <v>10550</v>
      </c>
      <c r="H76" s="18">
        <v>10150</v>
      </c>
      <c r="I76" s="18" t="s">
        <v>54</v>
      </c>
      <c r="J76">
        <v>201</v>
      </c>
      <c r="K76" t="str">
        <f t="shared" si="4"/>
        <v>10550:201</v>
      </c>
    </row>
    <row r="77" spans="7:11" x14ac:dyDescent="0.15">
      <c r="G77">
        <f t="shared" si="3"/>
        <v>10525</v>
      </c>
      <c r="H77" s="15">
        <v>10125</v>
      </c>
      <c r="I77" s="15" t="s">
        <v>41</v>
      </c>
      <c r="J77">
        <v>113</v>
      </c>
      <c r="K77" t="str">
        <f t="shared" si="4"/>
        <v>10525:113</v>
      </c>
    </row>
    <row r="78" spans="7:11" x14ac:dyDescent="0.15">
      <c r="G78">
        <f t="shared" si="3"/>
        <v>10519</v>
      </c>
      <c r="H78" s="15">
        <v>10119</v>
      </c>
      <c r="I78" s="15" t="s">
        <v>29</v>
      </c>
      <c r="J78">
        <v>112</v>
      </c>
      <c r="K78" t="str">
        <f t="shared" si="4"/>
        <v>10519:112</v>
      </c>
    </row>
    <row r="79" spans="7:11" x14ac:dyDescent="0.15">
      <c r="G79">
        <f t="shared" si="3"/>
        <v>10520</v>
      </c>
      <c r="H79" s="15">
        <v>10120</v>
      </c>
      <c r="I79" s="15" t="s">
        <v>11</v>
      </c>
      <c r="J79">
        <v>111</v>
      </c>
      <c r="K79" t="str">
        <f t="shared" si="4"/>
        <v>10520:111</v>
      </c>
    </row>
    <row r="80" spans="7:11" x14ac:dyDescent="0.15">
      <c r="G80">
        <f t="shared" si="3"/>
        <v>10521</v>
      </c>
      <c r="H80" s="15">
        <v>10121</v>
      </c>
      <c r="I80" s="15" t="s">
        <v>30</v>
      </c>
      <c r="J80">
        <v>110</v>
      </c>
      <c r="K80" t="str">
        <f t="shared" si="4"/>
        <v>10521:110</v>
      </c>
    </row>
    <row r="81" spans="7:11" x14ac:dyDescent="0.15">
      <c r="G81">
        <f t="shared" si="3"/>
        <v>10522</v>
      </c>
      <c r="H81" s="15">
        <v>10122</v>
      </c>
      <c r="I81" s="15" t="s">
        <v>31</v>
      </c>
      <c r="J81">
        <v>109</v>
      </c>
      <c r="K81" t="str">
        <f t="shared" si="4"/>
        <v>10522:109</v>
      </c>
    </row>
    <row r="82" spans="7:11" x14ac:dyDescent="0.15">
      <c r="G82">
        <f t="shared" si="3"/>
        <v>10559</v>
      </c>
      <c r="H82" s="15">
        <v>10159</v>
      </c>
      <c r="I82" s="15" t="s">
        <v>58</v>
      </c>
      <c r="J82">
        <v>108</v>
      </c>
      <c r="K82" t="str">
        <f t="shared" si="4"/>
        <v>10559:108</v>
      </c>
    </row>
    <row r="83" spans="7:11" x14ac:dyDescent="0.15">
      <c r="G83">
        <f t="shared" si="3"/>
        <v>10625</v>
      </c>
      <c r="H83" s="15">
        <v>10225</v>
      </c>
      <c r="I83" s="15" t="s">
        <v>61</v>
      </c>
      <c r="J83">
        <v>107</v>
      </c>
      <c r="K83" t="str">
        <f t="shared" si="4"/>
        <v>10625:107</v>
      </c>
    </row>
    <row r="84" spans="7:11" x14ac:dyDescent="0.15">
      <c r="G84">
        <f t="shared" si="3"/>
        <v>10536</v>
      </c>
      <c r="H84" s="15">
        <v>10136</v>
      </c>
      <c r="I84" s="15" t="s">
        <v>40</v>
      </c>
      <c r="J84">
        <v>106</v>
      </c>
      <c r="K84" t="str">
        <f t="shared" si="4"/>
        <v>10536:106</v>
      </c>
    </row>
    <row r="85" spans="7:11" x14ac:dyDescent="0.15">
      <c r="G85">
        <f t="shared" si="3"/>
        <v>10537</v>
      </c>
      <c r="H85" s="15">
        <v>10137</v>
      </c>
      <c r="I85" s="15" t="s">
        <v>43</v>
      </c>
      <c r="J85">
        <v>105</v>
      </c>
      <c r="K85" t="str">
        <f t="shared" si="4"/>
        <v>10537:105</v>
      </c>
    </row>
    <row r="86" spans="7:11" x14ac:dyDescent="0.15">
      <c r="G86">
        <f t="shared" si="3"/>
        <v>10627</v>
      </c>
      <c r="H86" s="15">
        <v>10227</v>
      </c>
      <c r="I86" s="15" t="s">
        <v>47</v>
      </c>
      <c r="J86">
        <v>104</v>
      </c>
      <c r="K86" t="str">
        <f t="shared" si="4"/>
        <v>10627:104</v>
      </c>
    </row>
    <row r="87" spans="7:11" x14ac:dyDescent="0.15">
      <c r="G87">
        <f t="shared" si="3"/>
        <v>10626</v>
      </c>
      <c r="H87" s="15">
        <v>10226</v>
      </c>
      <c r="I87" s="15" t="s">
        <v>46</v>
      </c>
      <c r="J87">
        <v>103</v>
      </c>
      <c r="K87" t="str">
        <f t="shared" si="4"/>
        <v>10626:103</v>
      </c>
    </row>
    <row r="88" spans="7:11" x14ac:dyDescent="0.15">
      <c r="G88">
        <f t="shared" si="3"/>
        <v>10538</v>
      </c>
      <c r="H88" s="15">
        <v>10138</v>
      </c>
      <c r="I88" s="15" t="s">
        <v>44</v>
      </c>
      <c r="J88">
        <v>102</v>
      </c>
      <c r="K88" t="str">
        <f t="shared" si="4"/>
        <v>10538:102</v>
      </c>
    </row>
    <row r="89" spans="7:11" x14ac:dyDescent="0.15">
      <c r="G89">
        <f t="shared" si="3"/>
        <v>10582</v>
      </c>
      <c r="H89" s="15">
        <v>10182</v>
      </c>
      <c r="I89" s="15" t="s">
        <v>42</v>
      </c>
      <c r="J89">
        <v>101</v>
      </c>
      <c r="K89" t="str">
        <f t="shared" si="4"/>
        <v>10582:101</v>
      </c>
    </row>
    <row r="90" spans="7:11" x14ac:dyDescent="0.15">
      <c r="G90">
        <f t="shared" si="3"/>
        <v>10569</v>
      </c>
      <c r="H90" s="10">
        <v>10169</v>
      </c>
      <c r="I90" s="10" t="s">
        <v>49</v>
      </c>
      <c r="J90">
        <v>17</v>
      </c>
      <c r="K90" t="str">
        <f t="shared" si="4"/>
        <v>10569:17</v>
      </c>
    </row>
    <row r="91" spans="7:11" x14ac:dyDescent="0.15">
      <c r="G91">
        <f t="shared" si="3"/>
        <v>10568</v>
      </c>
      <c r="H91" s="10">
        <v>10168</v>
      </c>
      <c r="I91" s="10" t="s">
        <v>48</v>
      </c>
      <c r="J91">
        <v>16</v>
      </c>
      <c r="K91" t="str">
        <f t="shared" si="4"/>
        <v>10568:16</v>
      </c>
    </row>
    <row r="92" spans="7:11" x14ac:dyDescent="0.15">
      <c r="G92">
        <f t="shared" si="3"/>
        <v>10579</v>
      </c>
      <c r="H92" s="10">
        <v>10179</v>
      </c>
      <c r="I92" s="10" t="s">
        <v>53</v>
      </c>
      <c r="J92">
        <v>15</v>
      </c>
      <c r="K92" t="str">
        <f t="shared" si="4"/>
        <v>10579:15</v>
      </c>
    </row>
    <row r="93" spans="7:11" x14ac:dyDescent="0.15">
      <c r="G93">
        <f t="shared" si="3"/>
        <v>10572</v>
      </c>
      <c r="H93" s="10">
        <v>10172</v>
      </c>
      <c r="I93" s="10" t="s">
        <v>65</v>
      </c>
      <c r="J93">
        <v>14</v>
      </c>
      <c r="K93" t="str">
        <f t="shared" si="4"/>
        <v>10572:14</v>
      </c>
    </row>
    <row r="94" spans="7:11" x14ac:dyDescent="0.15">
      <c r="G94">
        <f t="shared" si="3"/>
        <v>10573</v>
      </c>
      <c r="H94" s="10">
        <v>10173</v>
      </c>
      <c r="I94" s="10" t="s">
        <v>71</v>
      </c>
      <c r="J94">
        <v>13</v>
      </c>
      <c r="K94" t="str">
        <f t="shared" si="4"/>
        <v>10573:13</v>
      </c>
    </row>
    <row r="95" spans="7:11" x14ac:dyDescent="0.15">
      <c r="G95">
        <f t="shared" si="3"/>
        <v>10574</v>
      </c>
      <c r="H95" s="10">
        <v>10174</v>
      </c>
      <c r="I95" s="10" t="s">
        <v>55</v>
      </c>
      <c r="J95">
        <v>12</v>
      </c>
      <c r="K95" t="str">
        <f t="shared" si="4"/>
        <v>10574:12</v>
      </c>
    </row>
    <row r="96" spans="7:11" x14ac:dyDescent="0.15">
      <c r="G96">
        <f t="shared" si="3"/>
        <v>10575</v>
      </c>
      <c r="H96" s="10">
        <v>10175</v>
      </c>
      <c r="I96" s="10" t="s">
        <v>56</v>
      </c>
      <c r="J96">
        <v>11</v>
      </c>
      <c r="K96" t="str">
        <f t="shared" si="4"/>
        <v>10575:11</v>
      </c>
    </row>
    <row r="97" spans="7:11" x14ac:dyDescent="0.15">
      <c r="G97">
        <f t="shared" si="3"/>
        <v>10577</v>
      </c>
      <c r="H97" s="10">
        <v>10177</v>
      </c>
      <c r="I97" s="10" t="s">
        <v>70</v>
      </c>
      <c r="J97">
        <v>10</v>
      </c>
      <c r="K97" t="str">
        <f t="shared" si="4"/>
        <v>10577:10</v>
      </c>
    </row>
    <row r="98" spans="7:11" x14ac:dyDescent="0.15">
      <c r="G98">
        <f t="shared" si="3"/>
        <v>10576</v>
      </c>
      <c r="H98" s="10">
        <v>10176</v>
      </c>
      <c r="I98" s="10" t="s">
        <v>76</v>
      </c>
      <c r="J98">
        <v>9</v>
      </c>
      <c r="K98" t="str">
        <f t="shared" si="4"/>
        <v>10576:9</v>
      </c>
    </row>
    <row r="99" spans="7:11" x14ac:dyDescent="0.15">
      <c r="G99">
        <f t="shared" si="3"/>
        <v>10571</v>
      </c>
      <c r="H99" s="10">
        <v>10171</v>
      </c>
      <c r="I99" s="10" t="s">
        <v>51</v>
      </c>
      <c r="J99">
        <v>8</v>
      </c>
      <c r="K99" t="str">
        <f t="shared" si="4"/>
        <v>10571:8</v>
      </c>
    </row>
    <row r="100" spans="7:11" x14ac:dyDescent="0.15">
      <c r="G100">
        <f t="shared" si="3"/>
        <v>10570</v>
      </c>
      <c r="H100" s="10">
        <v>10170</v>
      </c>
      <c r="I100" s="10" t="s">
        <v>50</v>
      </c>
      <c r="J100">
        <v>7</v>
      </c>
      <c r="K100" t="str">
        <f t="shared" si="4"/>
        <v>10570:7</v>
      </c>
    </row>
    <row r="101" spans="7:11" x14ac:dyDescent="0.15">
      <c r="G101">
        <f t="shared" si="3"/>
        <v>10578</v>
      </c>
      <c r="H101" s="10">
        <v>10178</v>
      </c>
      <c r="I101" s="10" t="s">
        <v>45</v>
      </c>
      <c r="J101">
        <v>6</v>
      </c>
      <c r="K101" t="str">
        <f t="shared" si="4"/>
        <v>10578:6</v>
      </c>
    </row>
    <row r="102" spans="7:11" x14ac:dyDescent="0.15">
      <c r="G102">
        <f t="shared" si="3"/>
        <v>10580</v>
      </c>
      <c r="H102" s="10">
        <v>10180</v>
      </c>
      <c r="I102" s="10" t="s">
        <v>52</v>
      </c>
      <c r="J102">
        <v>5</v>
      </c>
      <c r="K102" t="str">
        <f t="shared" si="4"/>
        <v>10580:5</v>
      </c>
    </row>
    <row r="103" spans="7:11" x14ac:dyDescent="0.15">
      <c r="G103">
        <f t="shared" si="3"/>
        <v>10551</v>
      </c>
      <c r="H103" s="13">
        <v>10151</v>
      </c>
      <c r="I103" s="13" t="s">
        <v>59</v>
      </c>
      <c r="J103">
        <v>4</v>
      </c>
      <c r="K103" t="str">
        <f t="shared" si="4"/>
        <v>10551:4</v>
      </c>
    </row>
    <row r="104" spans="7:11" x14ac:dyDescent="0.15">
      <c r="G104">
        <f t="shared" si="3"/>
        <v>10533</v>
      </c>
      <c r="H104" s="13">
        <v>10133</v>
      </c>
      <c r="I104" s="13" t="s">
        <v>60</v>
      </c>
      <c r="J104">
        <v>3</v>
      </c>
      <c r="K104" t="str">
        <f t="shared" si="4"/>
        <v>10533:3</v>
      </c>
    </row>
    <row r="105" spans="7:11" x14ac:dyDescent="0.15">
      <c r="G105">
        <f t="shared" si="3"/>
        <v>10534</v>
      </c>
      <c r="H105" s="13">
        <v>10134</v>
      </c>
      <c r="I105" s="13" t="s">
        <v>63</v>
      </c>
      <c r="J105">
        <v>2</v>
      </c>
      <c r="K105" t="str">
        <f t="shared" si="4"/>
        <v>10534:2</v>
      </c>
    </row>
    <row r="106" spans="7:11" x14ac:dyDescent="0.15">
      <c r="G106">
        <f t="shared" si="3"/>
        <v>10535</v>
      </c>
      <c r="H106" s="13">
        <v>10135</v>
      </c>
      <c r="I106" s="13" t="s">
        <v>16</v>
      </c>
      <c r="J106">
        <v>1</v>
      </c>
      <c r="K106" t="str">
        <f t="shared" si="4"/>
        <v>10535:1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maze_equip_affix_order_v8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2024-03-18T06:12:00Z</dcterms:created>
  <dcterms:modified xsi:type="dcterms:W3CDTF">2025-03-12T08:13:36Z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2052-12.1.0.16929</vt:lpwstr>
  </property>
</Properties>
</file>