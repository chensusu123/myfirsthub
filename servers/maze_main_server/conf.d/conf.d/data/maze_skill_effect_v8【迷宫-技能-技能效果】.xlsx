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D325F8D9-5DB8-4230-B057-035682FD1491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skilleffect_v8" sheetId="1" r:id="rId1"/>
    <sheet name="备注" sheetId="2" r:id="rId2"/>
  </sheets>
  <definedNames>
    <definedName name="_xlnm._FilterDatabase" localSheetId="0" hidden="1">maze_skilleffect_v8!$A$4:$AC$72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2" l="1"/>
  <c r="E43" i="2"/>
  <c r="E42" i="2"/>
  <c r="E41" i="2"/>
  <c r="E36" i="2"/>
  <c r="E35" i="2"/>
  <c r="E34" i="2"/>
  <c r="E33" i="2"/>
  <c r="E28" i="2"/>
  <c r="E27" i="2"/>
  <c r="E26" i="2"/>
  <c r="E25" i="2"/>
  <c r="E29" i="2" l="1"/>
  <c r="E37" i="2"/>
  <c r="E30" i="2"/>
  <c r="E38" i="2"/>
  <c r="E31" i="2"/>
  <c r="E39" i="2"/>
  <c r="E32" i="2"/>
  <c r="E24" i="2"/>
  <c r="F25" i="2" l="1" a="1"/>
  <c r="F25" i="2" s="1"/>
  <c r="F2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</author>
    <author>cltx</author>
  </authors>
  <commentList>
    <comment ref="C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数字越大，优先级越高</t>
        </r>
      </text>
    </comment>
    <comment ref="K4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0固定值
1万分比
2百万分比</t>
        </r>
      </text>
    </comment>
    <comment ref="U4" authorId="0" shapeId="0" xr:uid="{27FFFF8D-8C2D-480B-8A5D-25A20471A381}">
      <text>
        <r>
          <rPr>
            <sz val="9"/>
            <color indexed="81"/>
            <rFont val="宋体"/>
            <family val="3"/>
            <charset val="134"/>
          </rPr>
          <t xml:space="preserve">&gt;0，持续时间
=0，触发后消失
-1，永久生效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<sst xmlns="http://schemas.openxmlformats.org/spreadsheetml/2006/main" count="795" uniqueCount="375">
  <si>
    <t>paipaiworld_config</t>
  </si>
  <si>
    <t>INT_K</t>
  </si>
  <si>
    <t>STRING</t>
  </si>
  <si>
    <t>effect__id</t>
  </si>
  <si>
    <t>effect_group</t>
  </si>
  <si>
    <t>in_group_weight</t>
  </si>
  <si>
    <t>attr</t>
  </si>
  <si>
    <t>desc1</t>
  </si>
  <si>
    <t>desc2</t>
  </si>
  <si>
    <t>desc3</t>
  </si>
  <si>
    <t>desc4</t>
  </si>
  <si>
    <t>attr_value_variable_id</t>
  </si>
  <si>
    <t>attr_value_type</t>
  </si>
  <si>
    <t>attr_value</t>
  </si>
  <si>
    <t>attr_value_2_variable_id</t>
  </si>
  <si>
    <t>attr_value_2_type</t>
  </si>
  <si>
    <t>attr_value_2</t>
  </si>
  <si>
    <t>attr_value_3_variable_id</t>
  </si>
  <si>
    <t>attr_value_3_type</t>
  </si>
  <si>
    <t>attr_value_3</t>
  </si>
  <si>
    <t>attr_value_4</t>
  </si>
  <si>
    <t>last_time_variable_id</t>
  </si>
  <si>
    <t>last_time</t>
  </si>
  <si>
    <t>base_hitrate_variable_id</t>
  </si>
  <si>
    <t>base_hitrate</t>
  </si>
  <si>
    <t>cool_down</t>
  </si>
  <si>
    <t>effect_id</t>
  </si>
  <si>
    <t>effect组id</t>
  </si>
  <si>
    <t>同组优先级</t>
  </si>
  <si>
    <t>buff生效方式</t>
  </si>
  <si>
    <t>参数1关联的变量id</t>
  </si>
  <si>
    <t>参数1数值类型</t>
  </si>
  <si>
    <t>参数1</t>
  </si>
  <si>
    <t>参数2关联的变量id</t>
  </si>
  <si>
    <t>参数2数值类型</t>
  </si>
  <si>
    <t>参数2</t>
  </si>
  <si>
    <t>参数3关联的变量id</t>
  </si>
  <si>
    <t>参数3数值类型</t>
  </si>
  <si>
    <t>参数3</t>
  </si>
  <si>
    <t>参数4</t>
  </si>
  <si>
    <t>基础命中率变量</t>
  </si>
  <si>
    <t>基础命中率（万分比）</t>
  </si>
  <si>
    <t>中buff的目标</t>
  </si>
  <si>
    <t>0:0</t>
  </si>
  <si>
    <t>药剂效果</t>
  </si>
  <si>
    <t>吃药回血</t>
  </si>
  <si>
    <t>吸取固定值血量</t>
  </si>
  <si>
    <t>击中回血效果</t>
  </si>
  <si>
    <t>buff处理逻辑</t>
  </si>
  <si>
    <t>不同组所有buff可叠加同时生效</t>
  </si>
  <si>
    <t>同组buff是否互斥</t>
  </si>
  <si>
    <t>同组buff不互斥时：结算buff时先时候查看同组重复cd</t>
  </si>
  <si>
    <t>2.1.1</t>
  </si>
  <si>
    <t>buff有cd，且同组重复cd&gt;0：直接把后来的buff丢掉</t>
  </si>
  <si>
    <t>2.1.2</t>
  </si>
  <si>
    <t>buff有cd，且同组重复cd=0：单个buff直接增加，多个buff增加优先级高的那个</t>
  </si>
  <si>
    <t>2.1.3</t>
  </si>
  <si>
    <t>buff没有cd：多个buff直接添加</t>
  </si>
  <si>
    <t>同组buff互斥时，结算buff时先查看同组重复cd</t>
  </si>
  <si>
    <t>2.2.1</t>
  </si>
  <si>
    <t>2.2.2</t>
  </si>
  <si>
    <t>buff有cd，且同组重复cd=0：单个buff直接增加，多个buff增加优先级高的那个，效果、持续时间、cd时间按优先级最高的时间</t>
  </si>
  <si>
    <t>2.2.3</t>
  </si>
  <si>
    <t>buff没有cd：同上，同2.2.2</t>
  </si>
  <si>
    <t>逻辑属性id</t>
    <phoneticPr fontId="12" type="noConversion"/>
  </si>
  <si>
    <t>INT_S_C</t>
  </si>
  <si>
    <t>MAP&lt;INT:INT&gt;_S_C</t>
  </si>
  <si>
    <t>LIST&lt;INT&gt;_S_C</t>
  </si>
  <si>
    <t>吃药回血，【参数1（最大血量百万分比）】+【参数3固定值血量】</t>
    <phoneticPr fontId="12" type="noConversion"/>
  </si>
  <si>
    <t>冰冻状态</t>
  </si>
  <si>
    <t>0:0</t>
    <phoneticPr fontId="12" type="noConversion"/>
  </si>
  <si>
    <t>自动触发冰霜新星</t>
    <phoneticPr fontId="12" type="noConversion"/>
  </si>
  <si>
    <t>额外冰霜新星</t>
    <phoneticPr fontId="12" type="noConversion"/>
  </si>
  <si>
    <t>被动效果</t>
  </si>
  <si>
    <t>双重冰冻触发冰爆</t>
    <phoneticPr fontId="12" type="noConversion"/>
  </si>
  <si>
    <t>重复中buff组的cd时间（毫毫秒）</t>
  </si>
  <si>
    <t>持续时长（毫秒）关联的变量id</t>
  </si>
  <si>
    <t>持续时长（毫秒）</t>
  </si>
  <si>
    <t>3550205:1</t>
  </si>
  <si>
    <t>3550206:1</t>
  </si>
  <si>
    <t>3550501:2</t>
  </si>
  <si>
    <t>3550502:1</t>
  </si>
  <si>
    <t>3550503:1</t>
  </si>
  <si>
    <t>3550702:1</t>
  </si>
  <si>
    <t>3550703:1</t>
  </si>
  <si>
    <t>3550901:1</t>
  </si>
  <si>
    <t>3551101:1</t>
  </si>
  <si>
    <t>3551102:1</t>
  </si>
  <si>
    <t>3551103:2</t>
  </si>
  <si>
    <t>3551301:1</t>
  </si>
  <si>
    <t>3041101:1</t>
    <phoneticPr fontId="12" type="noConversion"/>
  </si>
  <si>
    <t>攻击速度提高</t>
  </si>
  <si>
    <t>攻击提高</t>
  </si>
  <si>
    <t>防御提高</t>
  </si>
  <si>
    <t>生命提高</t>
  </si>
  <si>
    <t>击中回血效果提高</t>
  </si>
  <si>
    <t>暴击几率提高</t>
  </si>
  <si>
    <t>暴击伤害提高</t>
  </si>
  <si>
    <t>伤害提高</t>
  </si>
  <si>
    <t>受到伤害提高</t>
  </si>
  <si>
    <t>持续伤害提高</t>
  </si>
  <si>
    <t>受到持续伤害提高</t>
  </si>
  <si>
    <t>attr_value_7_variable_id</t>
  </si>
  <si>
    <t>attr_value_7_type</t>
  </si>
  <si>
    <t>attr_value_7</t>
  </si>
  <si>
    <t>参数7关联的变量id</t>
  </si>
  <si>
    <t>参数7数值类型</t>
  </si>
  <si>
    <t>参数7</t>
  </si>
  <si>
    <t>移动速度提高</t>
    <phoneticPr fontId="12" type="noConversion"/>
  </si>
  <si>
    <t>3540201:1</t>
  </si>
  <si>
    <t>3540401:1</t>
  </si>
  <si>
    <t>3540402:1</t>
  </si>
  <si>
    <t>3540601:1</t>
  </si>
  <si>
    <t>3540602:1</t>
  </si>
  <si>
    <t>3540801:1</t>
  </si>
  <si>
    <t>3540802:1</t>
  </si>
  <si>
    <t>3541001:1</t>
  </si>
  <si>
    <t>3541002:1</t>
  </si>
  <si>
    <t>3541201:1</t>
  </si>
  <si>
    <t>3541401:1</t>
  </si>
  <si>
    <t>3541601:1</t>
  </si>
  <si>
    <t>3541602:1</t>
  </si>
  <si>
    <t>3541801:1</t>
  </si>
  <si>
    <t>3541802:1</t>
  </si>
  <si>
    <t>3542001:1</t>
  </si>
  <si>
    <t>3542002:1</t>
  </si>
  <si>
    <t>3542201:1</t>
  </si>
  <si>
    <t>3542202:1</t>
  </si>
  <si>
    <t>3542401:1</t>
  </si>
  <si>
    <t>3540205:1</t>
  </si>
  <si>
    <t>3540207:1</t>
  </si>
  <si>
    <t>3540405:1</t>
  </si>
  <si>
    <t>3540407:1</t>
  </si>
  <si>
    <t>3540605:1</t>
  </si>
  <si>
    <t>3540607:1</t>
  </si>
  <si>
    <t>3540805:1</t>
  </si>
  <si>
    <t>3540807:1</t>
  </si>
  <si>
    <t>3541005:1</t>
  </si>
  <si>
    <t>3541007:1</t>
  </si>
  <si>
    <t>3541205:1</t>
  </si>
  <si>
    <t>3541207:1</t>
  </si>
  <si>
    <t>3541405:1</t>
  </si>
  <si>
    <t>3541407:1</t>
  </si>
  <si>
    <t>3541605:1</t>
  </si>
  <si>
    <t>3541607:1</t>
  </si>
  <si>
    <t>3541805:1</t>
  </si>
  <si>
    <t>3541807:1</t>
  </si>
  <si>
    <t>3542005:1</t>
  </si>
  <si>
    <t>3542007:1</t>
  </si>
  <si>
    <t>3542205:1</t>
  </si>
  <si>
    <t>3542207:1</t>
  </si>
  <si>
    <t>3542405:1</t>
  </si>
  <si>
    <t>3542407:1</t>
  </si>
  <si>
    <t>3551302:1</t>
    <phoneticPr fontId="12" type="noConversion"/>
  </si>
  <si>
    <t>3551501:1</t>
    <phoneticPr fontId="12" type="noConversion"/>
  </si>
  <si>
    <t>多重冰霜新星</t>
  </si>
  <si>
    <t>冰霜新星造成冰冻几率提高</t>
  </si>
  <si>
    <t>冰冻时受到冰元素伤害</t>
  </si>
  <si>
    <t>释放冰霜新星时，对敌人造成的冰冻几率增加【参数1万分比】</t>
  </si>
  <si>
    <t>双重冰冻造成额外伤害</t>
  </si>
  <si>
    <t>冰冻命中造成额外伤害</t>
  </si>
  <si>
    <t>击中冰冻目标造成额外伤害</t>
  </si>
  <si>
    <t>冰霜新星额外冰冻几率</t>
  </si>
  <si>
    <t>攻击次数触发冰霜新星</t>
  </si>
  <si>
    <t>攻击使目标冰冻</t>
  </si>
  <si>
    <t>3550902:1</t>
    <phoneticPr fontId="12" type="noConversion"/>
  </si>
  <si>
    <t>攻击速度提高【参数1万分比】，持续时间【参数5持续时间】，最大可叠加【参数7】层</t>
  </si>
  <si>
    <t>攻击提高【参数1万分比】+【参数2固定值】，持续时间【参数5持续时间】，最大可叠加【参数7】层</t>
  </si>
  <si>
    <t>防御提高【参数1万分比】+【参数2固定值】，持续时间【参数5持续时间】，最大可叠加【参数7】层</t>
  </si>
  <si>
    <t>生命提高【参数1万分比】+【参数2固定值】，持续时间【参数5持续时间】，最大可叠加【参数7】层</t>
  </si>
  <si>
    <t>击中回血效果提高【参数1万分比】+【参数2固定值】，持续时间【参数5持续时间】，最大可叠加【参数7】层</t>
  </si>
  <si>
    <t>暴击几率提高【参数1万分比】，持续时间【参数5持续时间】，最大可叠加【参数7】层</t>
  </si>
  <si>
    <t>暴击伤害提高【参数1万分比】，持续时间【参数5持续时间】，最大可叠加【参数7】层</t>
  </si>
  <si>
    <t>伤害提高【参数1万分比】+【参数2固定值】，持续时间【参数5持续时间】，最大可叠加【参数7】层</t>
  </si>
  <si>
    <t>受到伤害提高【参数1万分比】+【参数2固定值】，持续时间【参数5持续时间】，最大可叠加【参数7】层</t>
  </si>
  <si>
    <t>持续伤害提高【参数1万分比】+【参数2固定值】，持续时间【参数5持续时间】，最大可叠加【参数7】层</t>
  </si>
  <si>
    <t>受到持续伤害提高【参数1万分比】+【参数2固定值】，持续时间【参数5持续时间】，最大可叠加【参数7】层</t>
  </si>
  <si>
    <t>移动速度提高【参数1万分比】，持续时间【参数5持续时间】，最大可叠加【参数7】层</t>
  </si>
  <si>
    <t>获取护盾提高【参数1万分比】，持续时间【参数5持续时间】，最大可叠加【参数7】层</t>
  </si>
  <si>
    <t>全属性伤害提高</t>
  </si>
  <si>
    <t>受到全属性伤害提高</t>
  </si>
  <si>
    <t>全属性持续伤害提高</t>
  </si>
  <si>
    <t>受到全属性持续伤害提高</t>
  </si>
  <si>
    <t>移动速度提高</t>
  </si>
  <si>
    <t>获取护盾提高</t>
  </si>
  <si>
    <t>技能效果-通用</t>
  </si>
  <si>
    <t>技能效果-冰</t>
  </si>
  <si>
    <t>获取护盾提高</t>
    <phoneticPr fontId="12" type="noConversion"/>
  </si>
  <si>
    <t>中毒死亡释放瘟疫</t>
  </si>
  <si>
    <t>瘟疫状态</t>
  </si>
  <si>
    <t>技能效果-火</t>
    <phoneticPr fontId="12" type="noConversion"/>
  </si>
  <si>
    <t>技能效果-电</t>
    <phoneticPr fontId="12" type="noConversion"/>
  </si>
  <si>
    <t>技能效果-毒</t>
    <phoneticPr fontId="12" type="noConversion"/>
  </si>
  <si>
    <t>燃烧状态</t>
    <phoneticPr fontId="12" type="noConversion"/>
  </si>
  <si>
    <t>自动释放陨石</t>
    <phoneticPr fontId="12" type="noConversion"/>
  </si>
  <si>
    <t>燃烧状态受到伤害提高</t>
    <phoneticPr fontId="12" type="noConversion"/>
  </si>
  <si>
    <t>陨石造成燃烧命中率增加</t>
    <phoneticPr fontId="12" type="noConversion"/>
  </si>
  <si>
    <t>燃烧时死亡触发死亡爆炸</t>
    <phoneticPr fontId="12" type="noConversion"/>
  </si>
  <si>
    <t>触电状态</t>
    <phoneticPr fontId="12" type="noConversion"/>
  </si>
  <si>
    <t>闪电链弹射效果</t>
    <phoneticPr fontId="12" type="noConversion"/>
  </si>
  <si>
    <t>攻击触发释放闪电链</t>
    <phoneticPr fontId="12" type="noConversion"/>
  </si>
  <si>
    <t>触电时受到伤害提高</t>
    <phoneticPr fontId="12" type="noConversion"/>
  </si>
  <si>
    <t>触发触电伤害时释放电磁爆炸</t>
    <phoneticPr fontId="12" type="noConversion"/>
  </si>
  <si>
    <t>中毒状态</t>
    <phoneticPr fontId="12" type="noConversion"/>
  </si>
  <si>
    <t>攻击触发传染</t>
    <phoneticPr fontId="12" type="noConversion"/>
  </si>
  <si>
    <t>3560201:1</t>
  </si>
  <si>
    <t>3560202:1</t>
  </si>
  <si>
    <t>3560205:1</t>
  </si>
  <si>
    <t>3560206:1</t>
  </si>
  <si>
    <t>3560501:2</t>
  </si>
  <si>
    <t>3560502:1</t>
  </si>
  <si>
    <t>3560503:1</t>
  </si>
  <si>
    <t>3560701:1</t>
  </si>
  <si>
    <t>3560901:1</t>
  </si>
  <si>
    <t>3570201:1</t>
  </si>
  <si>
    <t>3570202:1</t>
  </si>
  <si>
    <t>3570501:1</t>
  </si>
  <si>
    <t>3570502:1</t>
  </si>
  <si>
    <t>3570701:2</t>
  </si>
  <si>
    <t>3570702:1</t>
  </si>
  <si>
    <t>3570703:1</t>
  </si>
  <si>
    <t>3570901:1</t>
  </si>
  <si>
    <t>3571101:1</t>
  </si>
  <si>
    <t>3571102:1</t>
  </si>
  <si>
    <t>3571103:1</t>
  </si>
  <si>
    <t>3580201:1</t>
  </si>
  <si>
    <t>3580202:1</t>
  </si>
  <si>
    <t>3580207:1</t>
  </si>
  <si>
    <t>3580501:2</t>
  </si>
  <si>
    <t>3580502:1</t>
  </si>
  <si>
    <t>3580503:1</t>
  </si>
  <si>
    <t>3580701:1</t>
  </si>
  <si>
    <t>3580902:1</t>
  </si>
  <si>
    <t>3580903:1</t>
  </si>
  <si>
    <t>3561102:1</t>
    <phoneticPr fontId="12" type="noConversion"/>
  </si>
  <si>
    <t>3561103:1</t>
    <phoneticPr fontId="12" type="noConversion"/>
  </si>
  <si>
    <t>每【参数1】次攻击，有【参数2万分比】的几率触发【参数3】次【参数4技能id】</t>
  </si>
  <si>
    <t>燃烧时，受到全种类攻击承受伤害提高【参数1万分比】</t>
  </si>
  <si>
    <t>陨石造成伤害时，燃烧效果的命中率提升【参数1万分比】</t>
  </si>
  <si>
    <t>燃烧时，死亡，有【参数2万分比】的几率触发【参数3】次【参数4技能id】</t>
  </si>
  <si>
    <t>每次受到攻击会额外受到等同于[电元素最终伤害]【参数1万分比】</t>
  </si>
  <si>
    <t>闪电链可弹射【参数1】次，同1个目标最多可被选择【参数2】次，每次弹射造成的伤害降低第1次命中造成伤害的【参数3万分比】</t>
  </si>
  <si>
    <t>触电时，触发触电伤害，有【参数2万分比】的几率触发【参数3】次【参数4技能id】</t>
  </si>
  <si>
    <t>【瘟疫：附近任意目标施加瘟疫状态。】</t>
  </si>
  <si>
    <t>3571302:1</t>
  </si>
  <si>
    <t>3571303:1</t>
  </si>
  <si>
    <t>技能效果-生存</t>
    <phoneticPr fontId="12" type="noConversion"/>
  </si>
  <si>
    <t>损失血量触发获得护盾</t>
    <phoneticPr fontId="12" type="noConversion"/>
  </si>
  <si>
    <t>获得护盾</t>
    <phoneticPr fontId="12" type="noConversion"/>
  </si>
  <si>
    <t>有护盾时触发技能受到全属性伤害降低</t>
    <phoneticPr fontId="12" type="noConversion"/>
  </si>
  <si>
    <t>击杀触发额外回血</t>
    <phoneticPr fontId="12" type="noConversion"/>
  </si>
  <si>
    <t>额外回复击回X倍的血量</t>
    <phoneticPr fontId="12" type="noConversion"/>
  </si>
  <si>
    <t>生命值大于等于百万分比时触发技能触发全属性伤害提升</t>
    <phoneticPr fontId="12" type="noConversion"/>
  </si>
  <si>
    <t>生命值低于百万分比时触发技能触发受到全属性伤害降低</t>
    <phoneticPr fontId="12" type="noConversion"/>
  </si>
  <si>
    <t>死亡时触发技能复活</t>
    <phoneticPr fontId="12" type="noConversion"/>
  </si>
  <si>
    <t>技能效果-范围</t>
    <phoneticPr fontId="12" type="noConversion"/>
  </si>
  <si>
    <t>技能效果-伤害</t>
    <phoneticPr fontId="12" type="noConversion"/>
  </si>
  <si>
    <t>暴击伤害提高</t>
    <phoneticPr fontId="12" type="noConversion"/>
  </si>
  <si>
    <t>攻击触发释放技能多重打击</t>
    <phoneticPr fontId="12" type="noConversion"/>
  </si>
  <si>
    <t>多重打击效果，额外造成X次X%的伤害</t>
    <phoneticPr fontId="12" type="noConversion"/>
  </si>
  <si>
    <t>攻击触发释放旋风斩</t>
    <phoneticPr fontId="12" type="noConversion"/>
  </si>
  <si>
    <t>旋风斩触发释放半月斩</t>
    <phoneticPr fontId="12" type="noConversion"/>
  </si>
  <si>
    <t>3600201:2</t>
  </si>
  <si>
    <t>3600202:1</t>
  </si>
  <si>
    <t>3600203:1</t>
  </si>
  <si>
    <t>3600401:1</t>
  </si>
  <si>
    <t>3600402:1</t>
  </si>
  <si>
    <t>3600702:1</t>
  </si>
  <si>
    <t>3600703:1</t>
  </si>
  <si>
    <t>3601002:1</t>
  </si>
  <si>
    <t>3601003:1</t>
  </si>
  <si>
    <t>3601301:1</t>
  </si>
  <si>
    <t>3601302:1</t>
  </si>
  <si>
    <t>3601303:1</t>
  </si>
  <si>
    <t>3610301:1</t>
  </si>
  <si>
    <t>3610302:1</t>
  </si>
  <si>
    <t>3610303:1</t>
  </si>
  <si>
    <t>3610501:1</t>
  </si>
  <si>
    <t>3610702:1</t>
  </si>
  <si>
    <t>3610703:1</t>
  </si>
  <si>
    <t>3590201:1</t>
  </si>
  <si>
    <t>3590202:1</t>
  </si>
  <si>
    <t>3590203:1</t>
  </si>
  <si>
    <t>3590401:1</t>
  </si>
  <si>
    <t>3590602:1</t>
  </si>
  <si>
    <t>3590603:1</t>
  </si>
  <si>
    <t>3590802:1</t>
  </si>
  <si>
    <t>3590803:1</t>
  </si>
  <si>
    <t>3591001:1</t>
  </si>
  <si>
    <t>3591201:1</t>
  </si>
  <si>
    <t>3591202:1</t>
  </si>
  <si>
    <t>3591203:1</t>
  </si>
  <si>
    <t>3591401:1</t>
  </si>
  <si>
    <t>3591402:1</t>
  </si>
  <si>
    <t>3591403:1</t>
  </si>
  <si>
    <t>3591602:1</t>
  </si>
  <si>
    <t>3591603:1</t>
  </si>
  <si>
    <t>3591902:1</t>
  </si>
  <si>
    <t>3600701:2</t>
    <phoneticPr fontId="12" type="noConversion"/>
  </si>
  <si>
    <t>攻击次数触发技能重击</t>
    <phoneticPr fontId="12" type="noConversion"/>
  </si>
  <si>
    <t>重击技能暴击率提高</t>
    <phoneticPr fontId="12" type="noConversion"/>
  </si>
  <si>
    <t>技能攻击累计额外次数</t>
    <phoneticPr fontId="12" type="noConversion"/>
  </si>
  <si>
    <t>斩杀暴击触发斩杀血线变化</t>
    <phoneticPr fontId="12" type="noConversion"/>
  </si>
  <si>
    <t>击杀触发暴击率提高</t>
    <phoneticPr fontId="12" type="noConversion"/>
  </si>
  <si>
    <t>暴击触发技能暴击伤害提高、致命暴击、额外次数</t>
    <phoneticPr fontId="12" type="noConversion"/>
  </si>
  <si>
    <t>3590802:1</t>
    <phoneticPr fontId="12" type="noConversion"/>
  </si>
  <si>
    <t>3610901:1</t>
    <phoneticPr fontId="12" type="noConversion"/>
  </si>
  <si>
    <t>3611301:1</t>
    <phoneticPr fontId="12" type="noConversion"/>
  </si>
  <si>
    <t>3611303:2</t>
    <phoneticPr fontId="12" type="noConversion"/>
  </si>
  <si>
    <t>3611701:1</t>
    <phoneticPr fontId="12" type="noConversion"/>
  </si>
  <si>
    <t>3611502:1</t>
    <phoneticPr fontId="12" type="noConversion"/>
  </si>
  <si>
    <t>3611503:1</t>
    <phoneticPr fontId="12" type="noConversion"/>
  </si>
  <si>
    <t>3590803:1</t>
    <phoneticPr fontId="12" type="noConversion"/>
  </si>
  <si>
    <t>技能名称</t>
    <phoneticPr fontId="12" type="noConversion"/>
  </si>
  <si>
    <t>技能效果</t>
    <phoneticPr fontId="12" type="noConversion"/>
  </si>
  <si>
    <t>参数描述</t>
    <phoneticPr fontId="12" type="noConversion"/>
  </si>
  <si>
    <t>有护盾时受到伤害降低</t>
    <phoneticPr fontId="12" type="noConversion"/>
  </si>
  <si>
    <t>低血时受到伤害降低</t>
    <phoneticPr fontId="12" type="noConversion"/>
  </si>
  <si>
    <t>光环技能效果-敌人伤害降低</t>
    <phoneticPr fontId="12" type="noConversion"/>
  </si>
  <si>
    <t>光环技能效果-敌人受到伤害提高</t>
    <phoneticPr fontId="12" type="noConversion"/>
  </si>
  <si>
    <t>光环技能效果-光环效果影响范围变化</t>
    <phoneticPr fontId="12" type="noConversion"/>
  </si>
  <si>
    <t>目标血量低于百万分比触发斩杀</t>
    <phoneticPr fontId="12" type="noConversion"/>
  </si>
  <si>
    <t>斩杀血线提高效果</t>
    <phoneticPr fontId="12" type="noConversion"/>
  </si>
  <si>
    <t>3581201:1</t>
    <phoneticPr fontId="12" type="noConversion"/>
  </si>
  <si>
    <t>3581202:1</t>
    <phoneticPr fontId="12" type="noConversion"/>
  </si>
  <si>
    <t>3581207:1</t>
    <phoneticPr fontId="12" type="noConversion"/>
  </si>
  <si>
    <t>3570902:1</t>
    <phoneticPr fontId="12" type="noConversion"/>
  </si>
  <si>
    <t>MAP&lt;INT:INT&gt;_S</t>
    <phoneticPr fontId="12" type="noConversion"/>
  </si>
  <si>
    <t>INT_S</t>
    <phoneticPr fontId="12" type="noConversion"/>
  </si>
  <si>
    <t>attr_value_8_variable_id</t>
  </si>
  <si>
    <t>attr_value_8_type</t>
  </si>
  <si>
    <t>attr_value_8</t>
  </si>
  <si>
    <t>参数8关联的变量id</t>
  </si>
  <si>
    <t>参数8数值类型</t>
  </si>
  <si>
    <t>参数8</t>
  </si>
  <si>
    <t>每【参数8】毫秒，造成{[火元素直接伤害]【参数1万分比】}，【参数2】的[额外火元素持续伤害]，效果持续【参数5】毫秒，最大可叠加【参数7】层</t>
  </si>
  <si>
    <t>每【参数8】毫秒，触发等同于[毒元素直接伤害]*【参数1万分比毒持续buff系数】+【参数2】的[额外毒持续伤害]，效果持续【持续5】毫秒，最大可叠加【参数7】层</t>
  </si>
  <si>
    <t>每【参数8】毫秒，触发等同于[毒元素直接伤害]*【参数1万分比毒持续buff系数】+【参数2】的[额外毒持续伤害]，状态持续【持续5】毫秒，最大可叠加【参数7】层</t>
  </si>
  <si>
    <t>3041108:2</t>
    <phoneticPr fontId="12" type="noConversion"/>
  </si>
  <si>
    <t>拥有这个技能效果时，命中敌人时，攻击者回复固定值【参数1固定值】的血量，触发冷却时间【参数8】毫秒</t>
    <phoneticPr fontId="12" type="noConversion"/>
  </si>
  <si>
    <t>3560208:2</t>
    <phoneticPr fontId="12" type="noConversion"/>
  </si>
  <si>
    <t>3580208:2</t>
    <phoneticPr fontId="12" type="noConversion"/>
  </si>
  <si>
    <t>3581208:2</t>
    <phoneticPr fontId="12" type="noConversion"/>
  </si>
  <si>
    <t>3591002:1</t>
    <phoneticPr fontId="12" type="noConversion"/>
  </si>
  <si>
    <t>3591003:1</t>
    <phoneticPr fontId="12" type="noConversion"/>
  </si>
  <si>
    <t>燃烧时，被攻击受到额外伤害</t>
    <phoneticPr fontId="12" type="noConversion"/>
  </si>
  <si>
    <t>燃烧时被攻击受到额外伤害</t>
    <phoneticPr fontId="12" type="noConversion"/>
  </si>
  <si>
    <t>触电时，[受到所有类型伤害提高]【参数1万分比】+【参数2】受到[受到所有类型额外伤害固定值]</t>
  </si>
  <si>
    <t>触电时受到伤害提高</t>
  </si>
  <si>
    <t>3570503:2</t>
    <phoneticPr fontId="12" type="noConversion"/>
  </si>
  <si>
    <t>使目标触电时，造成1次触电伤害</t>
  </si>
  <si>
    <t>使目标触电时，造成1次触电伤害</t>
    <phoneticPr fontId="12" type="noConversion"/>
  </si>
  <si>
    <t>冰冻状态，持续时间【参数5】，冰冻状态命中率【参数6命中率】</t>
  </si>
  <si>
    <t>每攻击【参数1】次，有【参数2】几率触发【参数3】次指定技能【参数4】</t>
  </si>
  <si>
    <t>每【参数8】毫秒，在释放冰霜新星时有【参数2】几率，触发【参数3】次数，技能id【参数4】</t>
  </si>
  <si>
    <t>对冰冻有配置标再次触发冰冻效果时，造成{[最终冰元素伤害]【参数1万分比】+【参数2固定值】}的[最终冰元素伤害</t>
  </si>
  <si>
    <t>使目标冰冻时，触发目标{生命最大值【参数1百万分比】}的[冰元素基础伤害]+{【参数2固定值】}的[额外冰元素伤害固定值]</t>
  </si>
  <si>
    <t>攻击冰冻目标时，造成{[冰元素最终伤害]【参数1万分比】+【参数2固定值】}的[额外最终冰元素伤害]，该效果每【参数8】毫秒触发1次。</t>
  </si>
  <si>
    <t>攻击冰冻目标时造成额外伤害</t>
  </si>
  <si>
    <t>中毒目标再次中毒受到额外中毒伤害</t>
  </si>
  <si>
    <t>中毒目标再次中毒时，造成每次中毒结算伤害*【参数1】次数*【参数2万分比】的[最终毒元素伤害]</t>
    <phoneticPr fontId="12" type="noConversion"/>
  </si>
  <si>
    <t>3580702:1</t>
    <phoneticPr fontId="12" type="noConversion"/>
  </si>
  <si>
    <t>复活回复血量、触发次数、触发间隔</t>
    <phoneticPr fontId="12" type="noConversion"/>
  </si>
  <si>
    <t>3591908:2</t>
    <phoneticPr fontId="12" type="noConversion"/>
  </si>
  <si>
    <t>3561401:1</t>
    <phoneticPr fontId="12" type="noConversion"/>
  </si>
  <si>
    <t>3561402:1</t>
    <phoneticPr fontId="12" type="noConversion"/>
  </si>
  <si>
    <t>3561408:2</t>
    <phoneticPr fontId="12" type="noConversion"/>
  </si>
  <si>
    <t>燃烧时，被攻击会额外受到1次[最终火元素伤害]【参数1万分比】+【参数2固定值】的[额外最终火元素伤害]，该效果每【参数8】毫秒触发1次。</t>
    <phoneticPr fontId="12" type="noConversion"/>
  </si>
  <si>
    <t>3570205:1</t>
    <phoneticPr fontId="12" type="noConversion"/>
  </si>
  <si>
    <t>3580205:1</t>
    <phoneticPr fontId="12" type="noConversion"/>
  </si>
  <si>
    <t>3581205:1</t>
    <phoneticPr fontId="12" type="noConversion"/>
  </si>
  <si>
    <t>3590405:1</t>
    <phoneticPr fontId="12" type="noConversion"/>
  </si>
  <si>
    <t>致命暴击状态攻速提高</t>
    <phoneticPr fontId="12" type="noConversion"/>
  </si>
  <si>
    <t>3592101:1</t>
    <phoneticPr fontId="12" type="noConversion"/>
  </si>
  <si>
    <t>击杀回血效果提高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</si>
</sst>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rgb="FF3F3F76"/>
      <name val="宋体"/>
      <family val="3"/>
      <charset val="134"/>
    </font>
    <font>
      <sz val="9"/>
      <name val="宋体"/>
      <family val="3"/>
      <charset val="134"/>
    </font>
    <font>
      <sz val="9"/>
      <color rgb="FF9C5700"/>
      <name val="宋体"/>
      <family val="3"/>
      <charset val="134"/>
    </font>
    <font>
      <b/>
      <sz val="9"/>
      <color theme="1"/>
      <name val="宋体"/>
      <family val="3"/>
      <charset val="134"/>
    </font>
    <font>
      <b/>
      <sz val="9"/>
      <color rgb="FF3F3F76"/>
      <name val="宋体"/>
      <family val="3"/>
      <charset val="134"/>
    </font>
    <font>
      <b/>
      <sz val="9"/>
      <name val="宋体"/>
      <family val="3"/>
      <charset val="134"/>
    </font>
    <font>
      <b/>
      <sz val="9"/>
      <color rgb="FF9C5700"/>
      <name val="宋体"/>
      <family val="3"/>
      <charset val="134"/>
    </font>
    <font>
      <sz val="11"/>
      <color rgb="FF3F3F76"/>
      <name val="宋体"/>
      <family val="3"/>
      <charset val="134"/>
    </font>
    <font>
      <sz val="11"/>
      <color rgb="FF9C57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9C0006"/>
      <name val="宋体"/>
      <family val="2"/>
      <charset val="134"/>
    </font>
    <font>
      <sz val="9"/>
      <color theme="0" tint="-4.9989318521683403E-2"/>
      <name val="宋体"/>
      <family val="3"/>
      <charset val="134"/>
    </font>
    <font>
      <sz val="9"/>
      <color rgb="FF9C0006"/>
      <name val="宋体"/>
      <family val="2"/>
      <charset val="134"/>
    </font>
    <font>
      <sz val="9"/>
      <color indexed="8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7375408185064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FF66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7CE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5">
    <xf numFmtId="0" fontId="0" fillId="0" borderId="0"/>
    <xf numFmtId="0" fontId="10" fillId="3" borderId="1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7" borderId="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4" borderId="1" xfId="1" applyFont="1" applyFill="1" applyAlignment="1"/>
    <xf numFmtId="0" fontId="5" fillId="5" borderId="0" xfId="2" applyFont="1" applyAlignment="1"/>
    <xf numFmtId="0" fontId="6" fillId="0" borderId="0" xfId="0" applyFont="1" applyAlignment="1">
      <alignment vertical="center"/>
    </xf>
    <xf numFmtId="0" fontId="7" fillId="4" borderId="1" xfId="1" applyFont="1" applyFill="1" applyAlignment="1"/>
    <xf numFmtId="0" fontId="7" fillId="4" borderId="1" xfId="1" applyNumberFormat="1" applyFont="1" applyFill="1" applyAlignment="1"/>
    <xf numFmtId="0" fontId="3" fillId="4" borderId="1" xfId="1" quotePrefix="1" applyFont="1" applyFill="1" applyAlignment="1"/>
    <xf numFmtId="0" fontId="7" fillId="4" borderId="1" xfId="1" quotePrefix="1" applyFont="1" applyFill="1" applyAlignment="1"/>
    <xf numFmtId="0" fontId="5" fillId="5" borderId="0" xfId="2" quotePrefix="1" applyFont="1" applyAlignment="1"/>
    <xf numFmtId="0" fontId="6" fillId="2" borderId="0" xfId="0" applyFont="1" applyFill="1" applyAlignment="1">
      <alignment vertical="center"/>
    </xf>
    <xf numFmtId="0" fontId="5" fillId="5" borderId="0" xfId="2" applyNumberFormat="1" applyFont="1" applyAlignment="1"/>
    <xf numFmtId="0" fontId="2" fillId="0" borderId="0" xfId="0" applyFont="1"/>
    <xf numFmtId="0" fontId="2" fillId="2" borderId="0" xfId="0" applyFont="1" applyFill="1"/>
    <xf numFmtId="0" fontId="9" fillId="6" borderId="0" xfId="2" applyFont="1" applyFill="1" applyAlignment="1"/>
    <xf numFmtId="0" fontId="2" fillId="8" borderId="0" xfId="0" applyFont="1" applyFill="1"/>
    <xf numFmtId="0" fontId="2" fillId="7" borderId="2" xfId="3" applyFont="1" applyAlignment="1"/>
    <xf numFmtId="0" fontId="2" fillId="9" borderId="2" xfId="3" applyFont="1" applyFill="1" applyAlignment="1"/>
    <xf numFmtId="0" fontId="3" fillId="3" borderId="0" xfId="1" applyFont="1" applyBorder="1" applyAlignment="1"/>
    <xf numFmtId="0" fontId="16" fillId="10" borderId="0" xfId="4" applyFont="1" applyAlignment="1"/>
    <xf numFmtId="0" fontId="2" fillId="9" borderId="4" xfId="3" applyFont="1" applyFill="1" applyBorder="1" applyAlignment="1"/>
    <xf numFmtId="0" fontId="15" fillId="11" borderId="3" xfId="0" applyFont="1" applyFill="1" applyBorder="1"/>
    <xf numFmtId="0" fontId="15" fillId="11" borderId="1" xfId="0" applyFont="1" applyFill="1" applyBorder="1"/>
  </cellXfs>
  <cellStyles count="5">
    <cellStyle name="差" xfId="4" builtinId="27"/>
    <cellStyle name="常规" xfId="0" builtinId="0"/>
    <cellStyle name="适中" xfId="2" builtinId="28"/>
    <cellStyle name="输入" xfId="1" builtinId="20"/>
    <cellStyle name="注释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"/>
  <sheetViews>
    <sheetView tabSelected="1" workbookViewId="0">
      <pane ySplit="4" topLeftCell="A12" activePane="bottomLeft" state="frozen"/>
      <selection pane="bottomLeft" activeCell="M25" sqref="M25"/>
    </sheetView>
  </sheetViews>
  <sheetFormatPr defaultColWidth="9" defaultRowHeight="14.25" x14ac:dyDescent="0.2"/>
  <cols>
    <col min="1" max="1" width="15.5" customWidth="1"/>
    <col min="2" max="2" width="11" customWidth="1"/>
    <col min="3" max="3" width="13" bestFit="1" customWidth="1"/>
    <col min="4" max="4" width="25.875" bestFit="1" customWidth="1"/>
    <col min="5" max="5" width="11" bestFit="1" customWidth="1"/>
    <col min="6" max="6" width="29.75" customWidth="1"/>
    <col min="7" max="7" width="12.5" bestFit="1" customWidth="1"/>
    <col min="8" max="8" width="10.5" bestFit="1" customWidth="1"/>
    <col min="9" max="9" width="13.875" customWidth="1"/>
    <col min="10" max="11" width="15.125" customWidth="1"/>
    <col min="12" max="12" width="9" customWidth="1"/>
    <col min="13" max="14" width="15.125" customWidth="1"/>
    <col min="15" max="19" width="8.75" customWidth="1"/>
    <col min="20" max="20" width="24.25" bestFit="1" customWidth="1"/>
    <col min="21" max="21" width="14.25" bestFit="1" customWidth="1"/>
    <col min="22" max="22" width="20.5" bestFit="1" customWidth="1"/>
    <col min="23" max="23" width="19.25" bestFit="1" customWidth="1"/>
    <col min="24" max="24" width="20.5" bestFit="1" customWidth="1"/>
    <col min="25" max="25" width="14.75" bestFit="1" customWidth="1"/>
    <col min="26" max="26" width="10.5" bestFit="1" customWidth="1"/>
    <col min="27" max="27" width="23.875" bestFit="1" customWidth="1"/>
    <col min="28" max="28" width="17.125" bestFit="1" customWidth="1"/>
    <col min="29" max="29" width="12.25" bestFit="1" customWidth="1"/>
  </cols>
  <sheetData>
    <row r="1" spans="1:29" x14ac:dyDescent="0.2">
      <c r="A1" s="3" t="s">
        <v>0</v>
      </c>
      <c r="B1" s="3"/>
      <c r="C1" s="3"/>
      <c r="D1" s="3"/>
      <c r="E1" s="3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>
        <v>1000</v>
      </c>
      <c r="V1" s="3"/>
      <c r="W1" s="3"/>
      <c r="X1" s="3"/>
      <c r="Y1" s="3"/>
      <c r="Z1" s="3"/>
      <c r="AA1" s="3"/>
      <c r="AB1" s="3"/>
      <c r="AC1" s="3"/>
    </row>
    <row r="2" spans="1:29" x14ac:dyDescent="0.2">
      <c r="A2" s="3" t="s">
        <v>1</v>
      </c>
      <c r="B2" s="3" t="s">
        <v>65</v>
      </c>
      <c r="C2" s="3" t="s">
        <v>65</v>
      </c>
      <c r="D2" s="3" t="s">
        <v>65</v>
      </c>
      <c r="E2" s="3" t="s">
        <v>65</v>
      </c>
      <c r="F2" s="4" t="s">
        <v>2</v>
      </c>
      <c r="G2" s="4" t="s">
        <v>2</v>
      </c>
      <c r="H2" s="4" t="s">
        <v>2</v>
      </c>
      <c r="I2" s="4" t="s">
        <v>2</v>
      </c>
      <c r="J2" s="3" t="s">
        <v>66</v>
      </c>
      <c r="K2" s="3" t="s">
        <v>65</v>
      </c>
      <c r="L2" s="3" t="s">
        <v>65</v>
      </c>
      <c r="M2" s="7" t="s">
        <v>66</v>
      </c>
      <c r="N2" s="7" t="s">
        <v>65</v>
      </c>
      <c r="O2" s="7" t="s">
        <v>65</v>
      </c>
      <c r="P2" s="3" t="s">
        <v>66</v>
      </c>
      <c r="Q2" s="3" t="s">
        <v>65</v>
      </c>
      <c r="R2" s="3" t="s">
        <v>65</v>
      </c>
      <c r="S2" s="7" t="s">
        <v>67</v>
      </c>
      <c r="T2" s="3" t="s">
        <v>66</v>
      </c>
      <c r="U2" s="3" t="s">
        <v>65</v>
      </c>
      <c r="V2" s="3" t="s">
        <v>66</v>
      </c>
      <c r="W2" s="3" t="s">
        <v>65</v>
      </c>
      <c r="X2" s="3" t="s">
        <v>66</v>
      </c>
      <c r="Y2" s="3" t="s">
        <v>65</v>
      </c>
      <c r="Z2" s="3" t="s">
        <v>65</v>
      </c>
      <c r="AA2" s="7" t="s">
        <v>327</v>
      </c>
      <c r="AB2" s="7" t="s">
        <v>328</v>
      </c>
      <c r="AC2" s="7" t="s">
        <v>328</v>
      </c>
    </row>
    <row r="3" spans="1:29" x14ac:dyDescent="0.2">
      <c r="A3" s="3" t="s">
        <v>3</v>
      </c>
      <c r="B3" s="3" t="s">
        <v>4</v>
      </c>
      <c r="C3" s="3" t="s">
        <v>5</v>
      </c>
      <c r="D3" s="3" t="s">
        <v>25</v>
      </c>
      <c r="E3" s="3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3" t="s">
        <v>11</v>
      </c>
      <c r="K3" s="3" t="s">
        <v>12</v>
      </c>
      <c r="L3" s="3" t="s">
        <v>13</v>
      </c>
      <c r="M3" s="7" t="s">
        <v>14</v>
      </c>
      <c r="N3" s="7" t="s">
        <v>15</v>
      </c>
      <c r="O3" s="7" t="s">
        <v>16</v>
      </c>
      <c r="P3" s="3" t="s">
        <v>17</v>
      </c>
      <c r="Q3" s="3" t="s">
        <v>18</v>
      </c>
      <c r="R3" s="3" t="s">
        <v>19</v>
      </c>
      <c r="S3" s="7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102</v>
      </c>
      <c r="Y3" s="3" t="s">
        <v>103</v>
      </c>
      <c r="Z3" s="3" t="s">
        <v>104</v>
      </c>
      <c r="AA3" s="7" t="s">
        <v>329</v>
      </c>
      <c r="AB3" s="7" t="s">
        <v>330</v>
      </c>
      <c r="AC3" s="7" t="s">
        <v>331</v>
      </c>
    </row>
    <row r="4" spans="1:29" x14ac:dyDescent="0.2">
      <c r="A4" s="3" t="s">
        <v>26</v>
      </c>
      <c r="B4" s="3" t="s">
        <v>27</v>
      </c>
      <c r="C4" s="3" t="s">
        <v>28</v>
      </c>
      <c r="D4" s="3" t="s">
        <v>75</v>
      </c>
      <c r="E4" s="3" t="s">
        <v>64</v>
      </c>
      <c r="F4" s="4" t="s">
        <v>314</v>
      </c>
      <c r="G4" s="4" t="s">
        <v>29</v>
      </c>
      <c r="H4" s="4" t="s">
        <v>313</v>
      </c>
      <c r="I4" s="4" t="s">
        <v>315</v>
      </c>
      <c r="J4" s="3" t="s">
        <v>30</v>
      </c>
      <c r="K4" s="3" t="s">
        <v>31</v>
      </c>
      <c r="L4" s="3" t="s">
        <v>32</v>
      </c>
      <c r="M4" s="7" t="s">
        <v>33</v>
      </c>
      <c r="N4" s="7" t="s">
        <v>34</v>
      </c>
      <c r="O4" s="7" t="s">
        <v>35</v>
      </c>
      <c r="P4" s="3" t="s">
        <v>36</v>
      </c>
      <c r="Q4" s="3" t="s">
        <v>37</v>
      </c>
      <c r="R4" s="3" t="s">
        <v>38</v>
      </c>
      <c r="S4" s="7" t="s">
        <v>39</v>
      </c>
      <c r="T4" s="3" t="s">
        <v>76</v>
      </c>
      <c r="U4" s="3" t="s">
        <v>77</v>
      </c>
      <c r="V4" s="3" t="s">
        <v>40</v>
      </c>
      <c r="W4" s="3" t="s">
        <v>41</v>
      </c>
      <c r="X4" s="3" t="s">
        <v>105</v>
      </c>
      <c r="Y4" s="3" t="s">
        <v>106</v>
      </c>
      <c r="Z4" s="3" t="s">
        <v>107</v>
      </c>
      <c r="AA4" s="7" t="s">
        <v>332</v>
      </c>
      <c r="AB4" s="7" t="s">
        <v>333</v>
      </c>
      <c r="AC4" s="7" t="s">
        <v>334</v>
      </c>
    </row>
    <row r="5" spans="1:29" x14ac:dyDescent="0.2">
      <c r="A5" s="5">
        <v>1000001</v>
      </c>
      <c r="B5" s="5">
        <v>100</v>
      </c>
      <c r="C5" s="5">
        <v>2</v>
      </c>
      <c r="D5" s="5">
        <v>0</v>
      </c>
      <c r="E5" s="5">
        <v>11440</v>
      </c>
      <c r="F5" s="4" t="s">
        <v>45</v>
      </c>
      <c r="G5" s="4" t="s">
        <v>42</v>
      </c>
      <c r="H5" s="4" t="s">
        <v>44</v>
      </c>
      <c r="I5" s="4" t="s">
        <v>68</v>
      </c>
      <c r="J5" s="10" t="s">
        <v>43</v>
      </c>
      <c r="K5" s="5">
        <v>2</v>
      </c>
      <c r="L5" s="5">
        <v>600000</v>
      </c>
      <c r="M5" s="11" t="s">
        <v>43</v>
      </c>
      <c r="N5" s="8">
        <v>1</v>
      </c>
      <c r="O5" s="8">
        <v>0</v>
      </c>
      <c r="P5" s="10" t="s">
        <v>43</v>
      </c>
      <c r="Q5" s="5">
        <v>1</v>
      </c>
      <c r="R5" s="5">
        <v>0</v>
      </c>
      <c r="S5" s="9">
        <v>0</v>
      </c>
      <c r="T5" s="10" t="s">
        <v>43</v>
      </c>
      <c r="U5" s="5">
        <v>0</v>
      </c>
      <c r="V5" s="10" t="s">
        <v>43</v>
      </c>
      <c r="W5" s="5">
        <v>10000</v>
      </c>
      <c r="X5" s="5" t="s">
        <v>43</v>
      </c>
      <c r="Y5" s="5">
        <v>1</v>
      </c>
      <c r="Z5" s="5">
        <v>0</v>
      </c>
      <c r="AA5" s="11" t="s">
        <v>43</v>
      </c>
      <c r="AB5" s="8">
        <v>1</v>
      </c>
      <c r="AC5" s="8">
        <v>0</v>
      </c>
    </row>
    <row r="6" spans="1:29" x14ac:dyDescent="0.2">
      <c r="A6" s="6">
        <v>2000001</v>
      </c>
      <c r="B6" s="6">
        <v>200</v>
      </c>
      <c r="C6" s="6">
        <v>1</v>
      </c>
      <c r="D6" s="6">
        <v>100</v>
      </c>
      <c r="E6" s="6">
        <v>11710</v>
      </c>
      <c r="F6" s="4" t="s">
        <v>46</v>
      </c>
      <c r="G6" s="4" t="s">
        <v>73</v>
      </c>
      <c r="H6" s="4" t="s">
        <v>47</v>
      </c>
      <c r="I6" s="4" t="s">
        <v>339</v>
      </c>
      <c r="J6" s="6" t="s">
        <v>90</v>
      </c>
      <c r="K6" s="6">
        <v>1</v>
      </c>
      <c r="L6" s="6">
        <v>0</v>
      </c>
      <c r="M6" s="6" t="s">
        <v>43</v>
      </c>
      <c r="N6" s="6">
        <v>0</v>
      </c>
      <c r="O6" s="6">
        <v>0</v>
      </c>
      <c r="P6" s="12" t="s">
        <v>43</v>
      </c>
      <c r="Q6" s="6">
        <v>0</v>
      </c>
      <c r="R6" s="6">
        <v>0</v>
      </c>
      <c r="S6" s="14">
        <v>0</v>
      </c>
      <c r="T6" s="12" t="s">
        <v>43</v>
      </c>
      <c r="U6" s="6">
        <v>0</v>
      </c>
      <c r="V6" s="12" t="s">
        <v>43</v>
      </c>
      <c r="W6" s="6">
        <v>10000</v>
      </c>
      <c r="X6" s="12" t="s">
        <v>43</v>
      </c>
      <c r="Y6" s="6">
        <v>1</v>
      </c>
      <c r="Z6" s="6">
        <v>0</v>
      </c>
      <c r="AA6" s="6" t="s">
        <v>338</v>
      </c>
      <c r="AB6" s="6">
        <v>1</v>
      </c>
      <c r="AC6" s="6">
        <v>1000</v>
      </c>
    </row>
    <row r="7" spans="1:29" x14ac:dyDescent="0.2">
      <c r="A7" s="15">
        <v>54010001</v>
      </c>
      <c r="B7" s="15">
        <v>5401</v>
      </c>
      <c r="C7" s="15">
        <v>1</v>
      </c>
      <c r="D7" s="15">
        <v>0</v>
      </c>
      <c r="E7" s="15">
        <v>3540200</v>
      </c>
      <c r="F7" s="16" t="s">
        <v>91</v>
      </c>
      <c r="G7" s="16" t="s">
        <v>185</v>
      </c>
      <c r="H7" s="16" t="s">
        <v>91</v>
      </c>
      <c r="I7" s="16" t="s">
        <v>166</v>
      </c>
      <c r="J7" s="15" t="s">
        <v>109</v>
      </c>
      <c r="K7" s="15">
        <v>2</v>
      </c>
      <c r="L7" s="15">
        <v>500</v>
      </c>
      <c r="M7" s="15" t="s">
        <v>43</v>
      </c>
      <c r="N7" s="15">
        <v>0</v>
      </c>
      <c r="O7" s="15">
        <v>0</v>
      </c>
      <c r="P7" s="15" t="s">
        <v>43</v>
      </c>
      <c r="Q7" s="15">
        <v>0</v>
      </c>
      <c r="R7" s="15">
        <v>0</v>
      </c>
      <c r="S7" s="15">
        <v>0</v>
      </c>
      <c r="T7" s="15" t="s">
        <v>129</v>
      </c>
      <c r="U7" s="15">
        <v>4000</v>
      </c>
      <c r="V7" s="15" t="s">
        <v>43</v>
      </c>
      <c r="W7" s="15">
        <v>10000</v>
      </c>
      <c r="X7" s="15" t="s">
        <v>130</v>
      </c>
      <c r="Y7" s="15">
        <v>1</v>
      </c>
      <c r="Z7" s="15">
        <v>3</v>
      </c>
      <c r="AA7" s="15" t="s">
        <v>43</v>
      </c>
      <c r="AB7" s="15">
        <v>1</v>
      </c>
      <c r="AC7" s="15">
        <v>0</v>
      </c>
    </row>
    <row r="8" spans="1:29" x14ac:dyDescent="0.2">
      <c r="A8" s="15">
        <v>54020001</v>
      </c>
      <c r="B8" s="15">
        <v>5402</v>
      </c>
      <c r="C8" s="15">
        <v>1</v>
      </c>
      <c r="D8" s="15">
        <v>0</v>
      </c>
      <c r="E8" s="15">
        <v>3540400</v>
      </c>
      <c r="F8" s="16" t="s">
        <v>92</v>
      </c>
      <c r="G8" s="16" t="s">
        <v>185</v>
      </c>
      <c r="H8" s="16" t="s">
        <v>92</v>
      </c>
      <c r="I8" s="16" t="s">
        <v>167</v>
      </c>
      <c r="J8" s="15" t="s">
        <v>110</v>
      </c>
      <c r="K8" s="15">
        <v>2</v>
      </c>
      <c r="L8" s="15">
        <v>500</v>
      </c>
      <c r="M8" s="15" t="s">
        <v>111</v>
      </c>
      <c r="N8" s="15">
        <v>1</v>
      </c>
      <c r="O8" s="15">
        <v>5</v>
      </c>
      <c r="P8" s="15" t="s">
        <v>43</v>
      </c>
      <c r="Q8" s="15">
        <v>0</v>
      </c>
      <c r="R8" s="15">
        <v>0</v>
      </c>
      <c r="S8" s="15">
        <v>0</v>
      </c>
      <c r="T8" s="15" t="s">
        <v>131</v>
      </c>
      <c r="U8" s="15">
        <v>4000</v>
      </c>
      <c r="V8" s="15" t="s">
        <v>43</v>
      </c>
      <c r="W8" s="15">
        <v>10000</v>
      </c>
      <c r="X8" s="15" t="s">
        <v>132</v>
      </c>
      <c r="Y8" s="15">
        <v>1</v>
      </c>
      <c r="Z8" s="15">
        <v>3</v>
      </c>
      <c r="AA8" s="15" t="s">
        <v>43</v>
      </c>
      <c r="AB8" s="15">
        <v>1</v>
      </c>
      <c r="AC8" s="15">
        <v>0</v>
      </c>
    </row>
    <row r="9" spans="1:29" x14ac:dyDescent="0.2">
      <c r="A9" s="15">
        <v>54030001</v>
      </c>
      <c r="B9" s="15">
        <v>5403</v>
      </c>
      <c r="C9" s="15">
        <v>1</v>
      </c>
      <c r="D9" s="15">
        <v>0</v>
      </c>
      <c r="E9" s="15">
        <v>3540600</v>
      </c>
      <c r="F9" s="16" t="s">
        <v>93</v>
      </c>
      <c r="G9" s="16" t="s">
        <v>185</v>
      </c>
      <c r="H9" s="16" t="s">
        <v>93</v>
      </c>
      <c r="I9" s="16" t="s">
        <v>168</v>
      </c>
      <c r="J9" s="15" t="s">
        <v>112</v>
      </c>
      <c r="K9" s="15">
        <v>2</v>
      </c>
      <c r="L9" s="15">
        <v>500</v>
      </c>
      <c r="M9" s="15" t="s">
        <v>113</v>
      </c>
      <c r="N9" s="15">
        <v>1</v>
      </c>
      <c r="O9" s="15">
        <v>5</v>
      </c>
      <c r="P9" s="15" t="s">
        <v>43</v>
      </c>
      <c r="Q9" s="15">
        <v>0</v>
      </c>
      <c r="R9" s="15">
        <v>0</v>
      </c>
      <c r="S9" s="15">
        <v>0</v>
      </c>
      <c r="T9" s="15" t="s">
        <v>133</v>
      </c>
      <c r="U9" s="15">
        <v>4000</v>
      </c>
      <c r="V9" s="15" t="s">
        <v>43</v>
      </c>
      <c r="W9" s="15">
        <v>10000</v>
      </c>
      <c r="X9" s="15" t="s">
        <v>134</v>
      </c>
      <c r="Y9" s="15">
        <v>1</v>
      </c>
      <c r="Z9" s="15">
        <v>3</v>
      </c>
      <c r="AA9" s="15" t="s">
        <v>43</v>
      </c>
      <c r="AB9" s="15">
        <v>1</v>
      </c>
      <c r="AC9" s="15">
        <v>0</v>
      </c>
    </row>
    <row r="10" spans="1:29" x14ac:dyDescent="0.2">
      <c r="A10" s="15">
        <v>54040001</v>
      </c>
      <c r="B10" s="15">
        <v>5404</v>
      </c>
      <c r="C10" s="15">
        <v>1</v>
      </c>
      <c r="D10" s="15">
        <v>0</v>
      </c>
      <c r="E10" s="15">
        <v>3540800</v>
      </c>
      <c r="F10" s="16" t="s">
        <v>94</v>
      </c>
      <c r="G10" s="16" t="s">
        <v>185</v>
      </c>
      <c r="H10" s="16" t="s">
        <v>94</v>
      </c>
      <c r="I10" s="16" t="s">
        <v>169</v>
      </c>
      <c r="J10" s="15" t="s">
        <v>114</v>
      </c>
      <c r="K10" s="15">
        <v>3</v>
      </c>
      <c r="L10" s="15">
        <v>50000</v>
      </c>
      <c r="M10" s="15" t="s">
        <v>115</v>
      </c>
      <c r="N10" s="15">
        <v>1</v>
      </c>
      <c r="O10" s="15">
        <v>5</v>
      </c>
      <c r="P10" s="15" t="s">
        <v>43</v>
      </c>
      <c r="Q10" s="15">
        <v>0</v>
      </c>
      <c r="R10" s="15">
        <v>0</v>
      </c>
      <c r="S10" s="15">
        <v>0</v>
      </c>
      <c r="T10" s="15" t="s">
        <v>135</v>
      </c>
      <c r="U10" s="15">
        <v>4000</v>
      </c>
      <c r="V10" s="15" t="s">
        <v>43</v>
      </c>
      <c r="W10" s="15">
        <v>10000</v>
      </c>
      <c r="X10" s="15" t="s">
        <v>136</v>
      </c>
      <c r="Y10" s="15">
        <v>1</v>
      </c>
      <c r="Z10" s="15">
        <v>3</v>
      </c>
      <c r="AA10" s="15" t="s">
        <v>43</v>
      </c>
      <c r="AB10" s="15">
        <v>1</v>
      </c>
      <c r="AC10" s="15">
        <v>0</v>
      </c>
    </row>
    <row r="11" spans="1:29" x14ac:dyDescent="0.2">
      <c r="A11" s="15">
        <v>54050001</v>
      </c>
      <c r="B11" s="15">
        <v>5405</v>
      </c>
      <c r="C11" s="15">
        <v>1</v>
      </c>
      <c r="D11" s="15">
        <v>0</v>
      </c>
      <c r="E11" s="15">
        <v>3541000</v>
      </c>
      <c r="F11" s="16" t="s">
        <v>95</v>
      </c>
      <c r="G11" s="16" t="s">
        <v>185</v>
      </c>
      <c r="H11" s="16" t="s">
        <v>95</v>
      </c>
      <c r="I11" s="16" t="s">
        <v>170</v>
      </c>
      <c r="J11" s="15" t="s">
        <v>116</v>
      </c>
      <c r="K11" s="15">
        <v>2</v>
      </c>
      <c r="L11" s="15">
        <v>500</v>
      </c>
      <c r="M11" s="15" t="s">
        <v>117</v>
      </c>
      <c r="N11" s="15">
        <v>1</v>
      </c>
      <c r="O11" s="15">
        <v>5</v>
      </c>
      <c r="P11" s="15" t="s">
        <v>43</v>
      </c>
      <c r="Q11" s="15">
        <v>0</v>
      </c>
      <c r="R11" s="15">
        <v>0</v>
      </c>
      <c r="S11" s="15">
        <v>0</v>
      </c>
      <c r="T11" s="15" t="s">
        <v>137</v>
      </c>
      <c r="U11" s="15">
        <v>4000</v>
      </c>
      <c r="V11" s="15" t="s">
        <v>43</v>
      </c>
      <c r="W11" s="15">
        <v>10000</v>
      </c>
      <c r="X11" s="15" t="s">
        <v>138</v>
      </c>
      <c r="Y11" s="15">
        <v>1</v>
      </c>
      <c r="Z11" s="15">
        <v>3</v>
      </c>
      <c r="AA11" s="15" t="s">
        <v>43</v>
      </c>
      <c r="AB11" s="15">
        <v>1</v>
      </c>
      <c r="AC11" s="15">
        <v>0</v>
      </c>
    </row>
    <row r="12" spans="1:29" x14ac:dyDescent="0.2">
      <c r="A12" s="15">
        <v>54060001</v>
      </c>
      <c r="B12" s="15">
        <v>5406</v>
      </c>
      <c r="C12" s="15">
        <v>1</v>
      </c>
      <c r="D12" s="15">
        <v>0</v>
      </c>
      <c r="E12" s="15">
        <v>3541200</v>
      </c>
      <c r="F12" s="16" t="s">
        <v>96</v>
      </c>
      <c r="G12" s="16" t="s">
        <v>185</v>
      </c>
      <c r="H12" s="16" t="s">
        <v>96</v>
      </c>
      <c r="I12" s="16" t="s">
        <v>171</v>
      </c>
      <c r="J12" s="15" t="s">
        <v>118</v>
      </c>
      <c r="K12" s="15">
        <v>2</v>
      </c>
      <c r="L12" s="15">
        <v>500</v>
      </c>
      <c r="M12" s="15" t="s">
        <v>43</v>
      </c>
      <c r="N12" s="15">
        <v>0</v>
      </c>
      <c r="O12" s="15">
        <v>0</v>
      </c>
      <c r="P12" s="15" t="s">
        <v>43</v>
      </c>
      <c r="Q12" s="15">
        <v>0</v>
      </c>
      <c r="R12" s="15">
        <v>0</v>
      </c>
      <c r="S12" s="15">
        <v>0</v>
      </c>
      <c r="T12" s="15" t="s">
        <v>139</v>
      </c>
      <c r="U12" s="15">
        <v>4000</v>
      </c>
      <c r="V12" s="15" t="s">
        <v>43</v>
      </c>
      <c r="W12" s="15">
        <v>10000</v>
      </c>
      <c r="X12" s="15" t="s">
        <v>140</v>
      </c>
      <c r="Y12" s="15">
        <v>1</v>
      </c>
      <c r="Z12" s="15">
        <v>3</v>
      </c>
      <c r="AA12" s="15" t="s">
        <v>43</v>
      </c>
      <c r="AB12" s="15">
        <v>1</v>
      </c>
      <c r="AC12" s="15">
        <v>0</v>
      </c>
    </row>
    <row r="13" spans="1:29" x14ac:dyDescent="0.2">
      <c r="A13" s="15">
        <v>54070001</v>
      </c>
      <c r="B13" s="15">
        <v>5407</v>
      </c>
      <c r="C13" s="15">
        <v>1</v>
      </c>
      <c r="D13" s="15">
        <v>0</v>
      </c>
      <c r="E13" s="15">
        <v>3541400</v>
      </c>
      <c r="F13" s="16" t="s">
        <v>97</v>
      </c>
      <c r="G13" s="16" t="s">
        <v>185</v>
      </c>
      <c r="H13" s="16" t="s">
        <v>97</v>
      </c>
      <c r="I13" s="16" t="s">
        <v>172</v>
      </c>
      <c r="J13" s="15" t="s">
        <v>119</v>
      </c>
      <c r="K13" s="15">
        <v>2</v>
      </c>
      <c r="L13" s="15">
        <v>500</v>
      </c>
      <c r="M13" s="15" t="s">
        <v>43</v>
      </c>
      <c r="N13" s="15">
        <v>0</v>
      </c>
      <c r="O13" s="15">
        <v>0</v>
      </c>
      <c r="P13" s="15" t="s">
        <v>43</v>
      </c>
      <c r="Q13" s="15">
        <v>0</v>
      </c>
      <c r="R13" s="15">
        <v>0</v>
      </c>
      <c r="S13" s="15">
        <v>0</v>
      </c>
      <c r="T13" s="15" t="s">
        <v>141</v>
      </c>
      <c r="U13" s="15">
        <v>4000</v>
      </c>
      <c r="V13" s="15" t="s">
        <v>43</v>
      </c>
      <c r="W13" s="15">
        <v>10000</v>
      </c>
      <c r="X13" s="15" t="s">
        <v>142</v>
      </c>
      <c r="Y13" s="15">
        <v>1</v>
      </c>
      <c r="Z13" s="15">
        <v>3</v>
      </c>
      <c r="AA13" s="15" t="s">
        <v>43</v>
      </c>
      <c r="AB13" s="15">
        <v>1</v>
      </c>
      <c r="AC13" s="15">
        <v>0</v>
      </c>
    </row>
    <row r="14" spans="1:29" x14ac:dyDescent="0.2">
      <c r="A14" s="15">
        <v>54080001</v>
      </c>
      <c r="B14" s="15">
        <v>5408</v>
      </c>
      <c r="C14" s="15">
        <v>1</v>
      </c>
      <c r="D14" s="15">
        <v>0</v>
      </c>
      <c r="E14" s="15">
        <v>3541600</v>
      </c>
      <c r="F14" s="16" t="s">
        <v>98</v>
      </c>
      <c r="G14" s="16" t="s">
        <v>185</v>
      </c>
      <c r="H14" s="16" t="s">
        <v>179</v>
      </c>
      <c r="I14" s="16" t="s">
        <v>173</v>
      </c>
      <c r="J14" s="15" t="s">
        <v>120</v>
      </c>
      <c r="K14" s="15">
        <v>2</v>
      </c>
      <c r="L14" s="15">
        <v>500</v>
      </c>
      <c r="M14" s="15" t="s">
        <v>121</v>
      </c>
      <c r="N14" s="15">
        <v>1</v>
      </c>
      <c r="O14" s="15">
        <v>5</v>
      </c>
      <c r="P14" s="15" t="s">
        <v>43</v>
      </c>
      <c r="Q14" s="15">
        <v>0</v>
      </c>
      <c r="R14" s="15">
        <v>0</v>
      </c>
      <c r="S14" s="15">
        <v>0</v>
      </c>
      <c r="T14" s="15" t="s">
        <v>143</v>
      </c>
      <c r="U14" s="15">
        <v>4000</v>
      </c>
      <c r="V14" s="15" t="s">
        <v>43</v>
      </c>
      <c r="W14" s="15">
        <v>10000</v>
      </c>
      <c r="X14" s="15" t="s">
        <v>144</v>
      </c>
      <c r="Y14" s="15">
        <v>1</v>
      </c>
      <c r="Z14" s="15">
        <v>3</v>
      </c>
      <c r="AA14" s="15" t="s">
        <v>43</v>
      </c>
      <c r="AB14" s="15">
        <v>1</v>
      </c>
      <c r="AC14" s="15">
        <v>0</v>
      </c>
    </row>
    <row r="15" spans="1:29" x14ac:dyDescent="0.2">
      <c r="A15" s="15">
        <v>54090001</v>
      </c>
      <c r="B15" s="15">
        <v>5409</v>
      </c>
      <c r="C15" s="15">
        <v>1</v>
      </c>
      <c r="D15" s="15">
        <v>0</v>
      </c>
      <c r="E15" s="15">
        <v>3541800</v>
      </c>
      <c r="F15" s="16" t="s">
        <v>99</v>
      </c>
      <c r="G15" s="16" t="s">
        <v>185</v>
      </c>
      <c r="H15" s="16" t="s">
        <v>180</v>
      </c>
      <c r="I15" s="16" t="s">
        <v>174</v>
      </c>
      <c r="J15" s="15" t="s">
        <v>122</v>
      </c>
      <c r="K15" s="15">
        <v>2</v>
      </c>
      <c r="L15" s="15">
        <v>500</v>
      </c>
      <c r="M15" s="15" t="s">
        <v>123</v>
      </c>
      <c r="N15" s="15">
        <v>1</v>
      </c>
      <c r="O15" s="15">
        <v>5</v>
      </c>
      <c r="P15" s="15" t="s">
        <v>43</v>
      </c>
      <c r="Q15" s="15">
        <v>0</v>
      </c>
      <c r="R15" s="15">
        <v>0</v>
      </c>
      <c r="S15" s="15">
        <v>0</v>
      </c>
      <c r="T15" s="15" t="s">
        <v>145</v>
      </c>
      <c r="U15" s="15">
        <v>4000</v>
      </c>
      <c r="V15" s="15" t="s">
        <v>43</v>
      </c>
      <c r="W15" s="15">
        <v>10000</v>
      </c>
      <c r="X15" s="15" t="s">
        <v>146</v>
      </c>
      <c r="Y15" s="15">
        <v>1</v>
      </c>
      <c r="Z15" s="15">
        <v>3</v>
      </c>
      <c r="AA15" s="15" t="s">
        <v>43</v>
      </c>
      <c r="AB15" s="15">
        <v>1</v>
      </c>
      <c r="AC15" s="15">
        <v>0</v>
      </c>
    </row>
    <row r="16" spans="1:29" x14ac:dyDescent="0.2">
      <c r="A16" s="15">
        <v>54100001</v>
      </c>
      <c r="B16" s="15">
        <v>5410</v>
      </c>
      <c r="C16" s="15">
        <v>1</v>
      </c>
      <c r="D16" s="15">
        <v>0</v>
      </c>
      <c r="E16" s="15">
        <v>3542000</v>
      </c>
      <c r="F16" s="16" t="s">
        <v>100</v>
      </c>
      <c r="G16" s="16" t="s">
        <v>185</v>
      </c>
      <c r="H16" s="16" t="s">
        <v>181</v>
      </c>
      <c r="I16" s="16" t="s">
        <v>175</v>
      </c>
      <c r="J16" s="15" t="s">
        <v>124</v>
      </c>
      <c r="K16" s="15">
        <v>2</v>
      </c>
      <c r="L16" s="15">
        <v>500</v>
      </c>
      <c r="M16" s="15" t="s">
        <v>125</v>
      </c>
      <c r="N16" s="15">
        <v>1</v>
      </c>
      <c r="O16" s="15">
        <v>5</v>
      </c>
      <c r="P16" s="15" t="s">
        <v>43</v>
      </c>
      <c r="Q16" s="15">
        <v>0</v>
      </c>
      <c r="R16" s="15">
        <v>0</v>
      </c>
      <c r="S16" s="15">
        <v>0</v>
      </c>
      <c r="T16" s="15" t="s">
        <v>147</v>
      </c>
      <c r="U16" s="15">
        <v>4000</v>
      </c>
      <c r="V16" s="15" t="s">
        <v>43</v>
      </c>
      <c r="W16" s="15">
        <v>10000</v>
      </c>
      <c r="X16" s="15" t="s">
        <v>148</v>
      </c>
      <c r="Y16" s="15">
        <v>1</v>
      </c>
      <c r="Z16" s="15">
        <v>3</v>
      </c>
      <c r="AA16" s="15" t="s">
        <v>43</v>
      </c>
      <c r="AB16" s="15">
        <v>1</v>
      </c>
      <c r="AC16" s="15">
        <v>0</v>
      </c>
    </row>
    <row r="17" spans="1:29" x14ac:dyDescent="0.2">
      <c r="A17" s="15">
        <v>54110001</v>
      </c>
      <c r="B17" s="15">
        <v>5411</v>
      </c>
      <c r="C17" s="15">
        <v>1</v>
      </c>
      <c r="D17" s="15">
        <v>0</v>
      </c>
      <c r="E17" s="15">
        <v>3542200</v>
      </c>
      <c r="F17" s="16" t="s">
        <v>101</v>
      </c>
      <c r="G17" s="16" t="s">
        <v>185</v>
      </c>
      <c r="H17" s="16" t="s">
        <v>182</v>
      </c>
      <c r="I17" s="16" t="s">
        <v>176</v>
      </c>
      <c r="J17" s="15" t="s">
        <v>126</v>
      </c>
      <c r="K17" s="15">
        <v>2</v>
      </c>
      <c r="L17" s="15">
        <v>500</v>
      </c>
      <c r="M17" s="15" t="s">
        <v>127</v>
      </c>
      <c r="N17" s="15">
        <v>1</v>
      </c>
      <c r="O17" s="15">
        <v>5</v>
      </c>
      <c r="P17" s="15" t="s">
        <v>43</v>
      </c>
      <c r="Q17" s="15">
        <v>0</v>
      </c>
      <c r="R17" s="15">
        <v>0</v>
      </c>
      <c r="S17" s="15">
        <v>0</v>
      </c>
      <c r="T17" s="15" t="s">
        <v>149</v>
      </c>
      <c r="U17" s="15">
        <v>4000</v>
      </c>
      <c r="V17" s="15" t="s">
        <v>43</v>
      </c>
      <c r="W17" s="15">
        <v>10000</v>
      </c>
      <c r="X17" s="15" t="s">
        <v>150</v>
      </c>
      <c r="Y17" s="15">
        <v>1</v>
      </c>
      <c r="Z17" s="15">
        <v>3</v>
      </c>
      <c r="AA17" s="15" t="s">
        <v>43</v>
      </c>
      <c r="AB17" s="15">
        <v>1</v>
      </c>
      <c r="AC17" s="15">
        <v>0</v>
      </c>
    </row>
    <row r="18" spans="1:29" x14ac:dyDescent="0.2">
      <c r="A18" s="15">
        <v>54120001</v>
      </c>
      <c r="B18" s="15">
        <v>5412</v>
      </c>
      <c r="C18" s="15">
        <v>1</v>
      </c>
      <c r="D18" s="15">
        <v>0</v>
      </c>
      <c r="E18" s="15">
        <v>3542400</v>
      </c>
      <c r="F18" s="16" t="s">
        <v>108</v>
      </c>
      <c r="G18" s="16" t="s">
        <v>185</v>
      </c>
      <c r="H18" s="16" t="s">
        <v>183</v>
      </c>
      <c r="I18" s="16" t="s">
        <v>177</v>
      </c>
      <c r="J18" s="15" t="s">
        <v>128</v>
      </c>
      <c r="K18" s="15">
        <v>2</v>
      </c>
      <c r="L18" s="15">
        <v>500</v>
      </c>
      <c r="M18" s="15" t="s">
        <v>43</v>
      </c>
      <c r="N18" s="15">
        <v>0</v>
      </c>
      <c r="O18" s="15">
        <v>0</v>
      </c>
      <c r="P18" s="15" t="s">
        <v>43</v>
      </c>
      <c r="Q18" s="15">
        <v>0</v>
      </c>
      <c r="R18" s="15">
        <v>0</v>
      </c>
      <c r="S18" s="15">
        <v>0</v>
      </c>
      <c r="T18" s="15" t="s">
        <v>151</v>
      </c>
      <c r="U18" s="15">
        <v>4000</v>
      </c>
      <c r="V18" s="15" t="s">
        <v>43</v>
      </c>
      <c r="W18" s="15">
        <v>10000</v>
      </c>
      <c r="X18" s="15" t="s">
        <v>152</v>
      </c>
      <c r="Y18" s="15">
        <v>1</v>
      </c>
      <c r="Z18" s="15">
        <v>3</v>
      </c>
      <c r="AA18" s="15" t="s">
        <v>43</v>
      </c>
      <c r="AB18" s="15">
        <v>1</v>
      </c>
      <c r="AC18" s="15">
        <v>0</v>
      </c>
    </row>
    <row r="19" spans="1:29" x14ac:dyDescent="0.2">
      <c r="A19" s="15">
        <v>54130001</v>
      </c>
      <c r="B19" s="15">
        <v>5413</v>
      </c>
      <c r="C19" s="15">
        <v>1</v>
      </c>
      <c r="D19" s="15">
        <v>0</v>
      </c>
      <c r="E19" s="15">
        <v>3542600</v>
      </c>
      <c r="F19" s="16" t="s">
        <v>187</v>
      </c>
      <c r="G19" s="16" t="s">
        <v>185</v>
      </c>
      <c r="H19" s="16" t="s">
        <v>184</v>
      </c>
      <c r="I19" s="16" t="s">
        <v>178</v>
      </c>
      <c r="J19" s="15" t="s">
        <v>128</v>
      </c>
      <c r="K19" s="15">
        <v>2</v>
      </c>
      <c r="L19" s="15">
        <v>500</v>
      </c>
      <c r="M19" s="15" t="s">
        <v>43</v>
      </c>
      <c r="N19" s="15">
        <v>0</v>
      </c>
      <c r="O19" s="15">
        <v>0</v>
      </c>
      <c r="P19" s="15" t="s">
        <v>43</v>
      </c>
      <c r="Q19" s="15">
        <v>0</v>
      </c>
      <c r="R19" s="15">
        <v>0</v>
      </c>
      <c r="S19" s="15">
        <v>0</v>
      </c>
      <c r="T19" s="15" t="s">
        <v>151</v>
      </c>
      <c r="U19" s="15">
        <v>4000</v>
      </c>
      <c r="V19" s="15" t="s">
        <v>43</v>
      </c>
      <c r="W19" s="15">
        <v>10000</v>
      </c>
      <c r="X19" s="15" t="s">
        <v>152</v>
      </c>
      <c r="Y19" s="15">
        <v>1</v>
      </c>
      <c r="Z19" s="15">
        <v>3</v>
      </c>
      <c r="AA19" s="15" t="s">
        <v>43</v>
      </c>
      <c r="AB19" s="15">
        <v>1</v>
      </c>
      <c r="AC19" s="15">
        <v>0</v>
      </c>
    </row>
    <row r="20" spans="1:29" x14ac:dyDescent="0.2">
      <c r="A20" s="17">
        <v>55010001</v>
      </c>
      <c r="B20" s="17">
        <v>5501</v>
      </c>
      <c r="C20" s="17">
        <v>1</v>
      </c>
      <c r="D20" s="17">
        <v>0</v>
      </c>
      <c r="E20" s="17">
        <v>3550200</v>
      </c>
      <c r="F20" s="13" t="s">
        <v>69</v>
      </c>
      <c r="G20" s="13" t="s">
        <v>186</v>
      </c>
      <c r="H20" s="13" t="s">
        <v>164</v>
      </c>
      <c r="I20" s="13" t="s">
        <v>352</v>
      </c>
      <c r="J20" s="17" t="s">
        <v>43</v>
      </c>
      <c r="K20" s="17">
        <v>0</v>
      </c>
      <c r="L20" s="17">
        <v>0</v>
      </c>
      <c r="M20" s="17" t="s">
        <v>43</v>
      </c>
      <c r="N20" s="17">
        <v>0</v>
      </c>
      <c r="O20" s="17">
        <v>0</v>
      </c>
      <c r="P20" s="17" t="s">
        <v>43</v>
      </c>
      <c r="Q20" s="17">
        <v>0</v>
      </c>
      <c r="R20" s="17">
        <v>0</v>
      </c>
      <c r="S20" s="17">
        <v>0</v>
      </c>
      <c r="T20" s="17" t="s">
        <v>78</v>
      </c>
      <c r="U20" s="17">
        <v>2000</v>
      </c>
      <c r="V20" s="17" t="s">
        <v>79</v>
      </c>
      <c r="W20" s="17">
        <v>1500</v>
      </c>
      <c r="X20" s="17" t="s">
        <v>43</v>
      </c>
      <c r="Y20" s="17">
        <v>1</v>
      </c>
      <c r="Z20" s="17">
        <v>1</v>
      </c>
      <c r="AA20" s="17" t="s">
        <v>43</v>
      </c>
      <c r="AB20" s="17">
        <v>1</v>
      </c>
      <c r="AC20" s="17">
        <v>0</v>
      </c>
    </row>
    <row r="21" spans="1:29" x14ac:dyDescent="0.2">
      <c r="A21" s="17">
        <v>55020001</v>
      </c>
      <c r="B21" s="17">
        <v>5502</v>
      </c>
      <c r="C21" s="17">
        <v>1</v>
      </c>
      <c r="D21" s="17">
        <v>0</v>
      </c>
      <c r="E21" s="17">
        <v>3550500</v>
      </c>
      <c r="F21" s="13" t="s">
        <v>71</v>
      </c>
      <c r="G21" s="13" t="s">
        <v>186</v>
      </c>
      <c r="H21" s="13" t="s">
        <v>163</v>
      </c>
      <c r="I21" s="13" t="s">
        <v>353</v>
      </c>
      <c r="J21" s="17" t="s">
        <v>80</v>
      </c>
      <c r="K21" s="17">
        <v>1</v>
      </c>
      <c r="L21" s="17">
        <v>8</v>
      </c>
      <c r="M21" s="17" t="s">
        <v>81</v>
      </c>
      <c r="N21" s="17">
        <v>2</v>
      </c>
      <c r="O21" s="17">
        <v>10000</v>
      </c>
      <c r="P21" s="17" t="s">
        <v>82</v>
      </c>
      <c r="Q21" s="17">
        <v>1</v>
      </c>
      <c r="R21" s="17">
        <v>1</v>
      </c>
      <c r="S21" s="17">
        <v>5000001</v>
      </c>
      <c r="T21" s="17" t="s">
        <v>70</v>
      </c>
      <c r="U21" s="17">
        <v>4000</v>
      </c>
      <c r="V21" s="17" t="s">
        <v>70</v>
      </c>
      <c r="W21" s="17">
        <v>10000</v>
      </c>
      <c r="X21" s="17" t="s">
        <v>43</v>
      </c>
      <c r="Y21" s="17">
        <v>1</v>
      </c>
      <c r="Z21" s="17">
        <v>1</v>
      </c>
      <c r="AA21" s="17" t="s">
        <v>43</v>
      </c>
      <c r="AB21" s="17">
        <v>1</v>
      </c>
      <c r="AC21" s="17">
        <v>0</v>
      </c>
    </row>
    <row r="22" spans="1:29" x14ac:dyDescent="0.2">
      <c r="A22" s="17">
        <v>55030001</v>
      </c>
      <c r="B22" s="17">
        <v>5503</v>
      </c>
      <c r="C22" s="17">
        <v>1</v>
      </c>
      <c r="D22" s="17">
        <v>0</v>
      </c>
      <c r="E22" s="17">
        <v>3550700</v>
      </c>
      <c r="F22" s="13" t="s">
        <v>72</v>
      </c>
      <c r="G22" s="13" t="s">
        <v>186</v>
      </c>
      <c r="H22" s="13" t="s">
        <v>155</v>
      </c>
      <c r="I22" s="13" t="s">
        <v>354</v>
      </c>
      <c r="J22" s="17" t="s">
        <v>43</v>
      </c>
      <c r="K22" s="17">
        <v>0</v>
      </c>
      <c r="L22" s="17">
        <v>1000</v>
      </c>
      <c r="M22" s="17" t="s">
        <v>83</v>
      </c>
      <c r="N22" s="17">
        <v>2</v>
      </c>
      <c r="O22" s="17">
        <v>10000</v>
      </c>
      <c r="P22" s="17" t="s">
        <v>84</v>
      </c>
      <c r="Q22" s="17">
        <v>1</v>
      </c>
      <c r="R22" s="17">
        <v>1</v>
      </c>
      <c r="S22" s="17">
        <v>5000001</v>
      </c>
      <c r="T22" s="17" t="s">
        <v>43</v>
      </c>
      <c r="U22" s="17">
        <v>4000</v>
      </c>
      <c r="V22" s="17" t="s">
        <v>43</v>
      </c>
      <c r="W22" s="17">
        <v>10000</v>
      </c>
      <c r="X22" s="17" t="s">
        <v>43</v>
      </c>
      <c r="Y22" s="17">
        <v>1</v>
      </c>
      <c r="Z22" s="17">
        <v>1</v>
      </c>
      <c r="AA22" s="17" t="s">
        <v>43</v>
      </c>
      <c r="AB22" s="17">
        <v>1</v>
      </c>
      <c r="AC22" s="17">
        <v>0</v>
      </c>
    </row>
    <row r="23" spans="1:29" x14ac:dyDescent="0.2">
      <c r="A23" s="17">
        <v>55040001</v>
      </c>
      <c r="B23" s="17">
        <v>5504</v>
      </c>
      <c r="C23" s="17">
        <v>1</v>
      </c>
      <c r="D23" s="17">
        <v>0</v>
      </c>
      <c r="E23" s="17">
        <v>3550900</v>
      </c>
      <c r="F23" s="13" t="s">
        <v>74</v>
      </c>
      <c r="G23" s="13" t="s">
        <v>186</v>
      </c>
      <c r="H23" s="13" t="s">
        <v>159</v>
      </c>
      <c r="I23" s="13" t="s">
        <v>355</v>
      </c>
      <c r="J23" s="17" t="s">
        <v>85</v>
      </c>
      <c r="K23" s="17">
        <v>2</v>
      </c>
      <c r="L23" s="17">
        <v>3000</v>
      </c>
      <c r="M23" s="17" t="s">
        <v>165</v>
      </c>
      <c r="N23" s="17">
        <v>0</v>
      </c>
      <c r="O23" s="17">
        <v>30</v>
      </c>
      <c r="P23" s="17" t="s">
        <v>43</v>
      </c>
      <c r="Q23" s="17">
        <v>0</v>
      </c>
      <c r="R23" s="17">
        <v>0</v>
      </c>
      <c r="S23" s="17">
        <v>0</v>
      </c>
      <c r="T23" s="17" t="s">
        <v>43</v>
      </c>
      <c r="U23" s="17">
        <v>-1</v>
      </c>
      <c r="V23" s="17" t="s">
        <v>43</v>
      </c>
      <c r="W23" s="17">
        <v>10000</v>
      </c>
      <c r="X23" s="17" t="s">
        <v>43</v>
      </c>
      <c r="Y23" s="17">
        <v>1</v>
      </c>
      <c r="Z23" s="17">
        <v>1</v>
      </c>
      <c r="AA23" s="17" t="s">
        <v>43</v>
      </c>
      <c r="AB23" s="17">
        <v>1</v>
      </c>
      <c r="AC23" s="17">
        <v>0</v>
      </c>
    </row>
    <row r="24" spans="1:29" x14ac:dyDescent="0.2">
      <c r="A24" s="17">
        <v>55050001</v>
      </c>
      <c r="B24" s="17">
        <v>5505</v>
      </c>
      <c r="C24" s="17">
        <v>1</v>
      </c>
      <c r="D24" s="17">
        <v>0</v>
      </c>
      <c r="E24" s="17">
        <v>3551100</v>
      </c>
      <c r="F24" s="13" t="s">
        <v>157</v>
      </c>
      <c r="G24" s="13" t="s">
        <v>186</v>
      </c>
      <c r="H24" s="13" t="s">
        <v>160</v>
      </c>
      <c r="I24" s="13" t="s">
        <v>356</v>
      </c>
      <c r="J24" s="17" t="s">
        <v>86</v>
      </c>
      <c r="K24" s="17">
        <v>3</v>
      </c>
      <c r="L24" s="17">
        <v>200000</v>
      </c>
      <c r="M24" s="17" t="s">
        <v>87</v>
      </c>
      <c r="N24" s="17">
        <v>1</v>
      </c>
      <c r="O24" s="17">
        <v>20</v>
      </c>
      <c r="P24" s="17" t="s">
        <v>88</v>
      </c>
      <c r="Q24" s="17">
        <v>1</v>
      </c>
      <c r="R24" s="17">
        <v>2000</v>
      </c>
      <c r="S24" s="17">
        <v>0</v>
      </c>
      <c r="T24" s="17" t="s">
        <v>43</v>
      </c>
      <c r="U24" s="17">
        <v>-1</v>
      </c>
      <c r="V24" s="17" t="s">
        <v>43</v>
      </c>
      <c r="W24" s="17">
        <v>10000</v>
      </c>
      <c r="X24" s="17" t="s">
        <v>43</v>
      </c>
      <c r="Y24" s="17">
        <v>1</v>
      </c>
      <c r="Z24" s="17">
        <v>1</v>
      </c>
      <c r="AA24" s="17" t="s">
        <v>43</v>
      </c>
      <c r="AB24" s="17">
        <v>1</v>
      </c>
      <c r="AC24" s="17">
        <v>0</v>
      </c>
    </row>
    <row r="25" spans="1:29" x14ac:dyDescent="0.2">
      <c r="A25" s="17">
        <v>55060001</v>
      </c>
      <c r="B25" s="17">
        <v>5506</v>
      </c>
      <c r="C25" s="17">
        <v>1</v>
      </c>
      <c r="D25" s="17">
        <v>0</v>
      </c>
      <c r="E25" s="17">
        <v>3551300</v>
      </c>
      <c r="F25" s="13" t="s">
        <v>358</v>
      </c>
      <c r="G25" s="13" t="s">
        <v>186</v>
      </c>
      <c r="H25" s="13" t="s">
        <v>161</v>
      </c>
      <c r="I25" s="13" t="s">
        <v>357</v>
      </c>
      <c r="J25" s="17" t="s">
        <v>89</v>
      </c>
      <c r="K25" s="17">
        <v>2</v>
      </c>
      <c r="L25" s="17">
        <v>5000</v>
      </c>
      <c r="M25" s="17" t="s">
        <v>153</v>
      </c>
      <c r="N25" s="17">
        <v>1</v>
      </c>
      <c r="O25" s="17">
        <v>50</v>
      </c>
      <c r="P25" s="17" t="s">
        <v>43</v>
      </c>
      <c r="Q25" s="17">
        <v>0</v>
      </c>
      <c r="R25" s="17">
        <v>0</v>
      </c>
      <c r="S25" s="17">
        <v>0</v>
      </c>
      <c r="T25" s="17" t="s">
        <v>43</v>
      </c>
      <c r="U25" s="17">
        <v>-1</v>
      </c>
      <c r="V25" s="17" t="s">
        <v>43</v>
      </c>
      <c r="W25" s="17">
        <v>10000</v>
      </c>
      <c r="X25" s="17" t="s">
        <v>43</v>
      </c>
      <c r="Y25" s="17">
        <v>1</v>
      </c>
      <c r="Z25" s="17">
        <v>1</v>
      </c>
      <c r="AA25" s="17" t="s">
        <v>43</v>
      </c>
      <c r="AB25" s="17">
        <v>1</v>
      </c>
      <c r="AC25" s="17">
        <v>0</v>
      </c>
    </row>
    <row r="26" spans="1:29" x14ac:dyDescent="0.2">
      <c r="A26" s="17">
        <v>55070001</v>
      </c>
      <c r="B26" s="17">
        <v>5507</v>
      </c>
      <c r="C26" s="17">
        <v>1</v>
      </c>
      <c r="D26" s="17">
        <v>0</v>
      </c>
      <c r="E26" s="17">
        <v>3551500</v>
      </c>
      <c r="F26" s="13" t="s">
        <v>156</v>
      </c>
      <c r="G26" s="13" t="s">
        <v>186</v>
      </c>
      <c r="H26" s="13" t="s">
        <v>162</v>
      </c>
      <c r="I26" s="13" t="s">
        <v>158</v>
      </c>
      <c r="J26" s="17" t="s">
        <v>154</v>
      </c>
      <c r="K26" s="17">
        <v>2</v>
      </c>
      <c r="L26" s="17">
        <v>2000</v>
      </c>
      <c r="M26" s="17" t="s">
        <v>70</v>
      </c>
      <c r="N26" s="17">
        <v>0</v>
      </c>
      <c r="O26" s="17">
        <v>0</v>
      </c>
      <c r="P26" s="17" t="s">
        <v>70</v>
      </c>
      <c r="Q26" s="17">
        <v>0</v>
      </c>
      <c r="R26" s="17">
        <v>0</v>
      </c>
      <c r="S26" s="17">
        <v>0</v>
      </c>
      <c r="T26" s="17" t="s">
        <v>70</v>
      </c>
      <c r="U26" s="17">
        <v>-1</v>
      </c>
      <c r="V26" s="17" t="s">
        <v>70</v>
      </c>
      <c r="W26" s="17">
        <v>10000</v>
      </c>
      <c r="X26" s="17" t="s">
        <v>70</v>
      </c>
      <c r="Y26" s="17">
        <v>1</v>
      </c>
      <c r="Z26" s="17">
        <v>1</v>
      </c>
      <c r="AA26" s="17" t="s">
        <v>43</v>
      </c>
      <c r="AB26" s="17">
        <v>1</v>
      </c>
      <c r="AC26" s="17">
        <v>0</v>
      </c>
    </row>
    <row r="27" spans="1:29" x14ac:dyDescent="0.2">
      <c r="A27" s="18">
        <v>56010001</v>
      </c>
      <c r="B27" s="18">
        <v>5601</v>
      </c>
      <c r="C27" s="18">
        <v>1</v>
      </c>
      <c r="D27" s="18">
        <v>0</v>
      </c>
      <c r="E27" s="18">
        <v>3560200</v>
      </c>
      <c r="F27" s="13" t="s">
        <v>193</v>
      </c>
      <c r="G27" s="13" t="s">
        <v>190</v>
      </c>
      <c r="H27" s="13" t="s">
        <v>193</v>
      </c>
      <c r="I27" s="13" t="s">
        <v>335</v>
      </c>
      <c r="J27" s="18" t="s">
        <v>205</v>
      </c>
      <c r="K27" s="18">
        <v>2</v>
      </c>
      <c r="L27" s="18">
        <v>5000</v>
      </c>
      <c r="M27" s="18" t="s">
        <v>206</v>
      </c>
      <c r="N27" s="18">
        <v>1</v>
      </c>
      <c r="O27" s="18">
        <v>50</v>
      </c>
      <c r="P27" s="18" t="s">
        <v>43</v>
      </c>
      <c r="Q27" s="18">
        <v>0</v>
      </c>
      <c r="R27" s="18">
        <v>0</v>
      </c>
      <c r="S27" s="18">
        <v>0</v>
      </c>
      <c r="T27" s="18" t="s">
        <v>207</v>
      </c>
      <c r="U27" s="18">
        <v>4000</v>
      </c>
      <c r="V27" s="18" t="s">
        <v>208</v>
      </c>
      <c r="W27" s="18">
        <v>1500</v>
      </c>
      <c r="X27" s="18" t="s">
        <v>43</v>
      </c>
      <c r="Y27" s="18">
        <v>1</v>
      </c>
      <c r="Z27" s="18">
        <v>1</v>
      </c>
      <c r="AA27" s="18" t="s">
        <v>340</v>
      </c>
      <c r="AB27" s="18">
        <v>1</v>
      </c>
      <c r="AC27" s="18">
        <v>1000</v>
      </c>
    </row>
    <row r="28" spans="1:29" x14ac:dyDescent="0.2">
      <c r="A28" s="18">
        <v>56020001</v>
      </c>
      <c r="B28" s="18">
        <v>5602</v>
      </c>
      <c r="C28" s="18">
        <v>1</v>
      </c>
      <c r="D28" s="18">
        <v>0</v>
      </c>
      <c r="E28" s="18">
        <v>3560500</v>
      </c>
      <c r="F28" s="13" t="s">
        <v>194</v>
      </c>
      <c r="G28" s="13" t="s">
        <v>190</v>
      </c>
      <c r="H28" s="13" t="s">
        <v>194</v>
      </c>
      <c r="I28" s="13" t="s">
        <v>236</v>
      </c>
      <c r="J28" s="18" t="s">
        <v>209</v>
      </c>
      <c r="K28" s="18">
        <v>1</v>
      </c>
      <c r="L28" s="18">
        <v>8</v>
      </c>
      <c r="M28" s="18" t="s">
        <v>210</v>
      </c>
      <c r="N28" s="18">
        <v>1</v>
      </c>
      <c r="O28" s="18">
        <v>10000</v>
      </c>
      <c r="P28" s="18" t="s">
        <v>211</v>
      </c>
      <c r="Q28" s="18">
        <v>1</v>
      </c>
      <c r="R28" s="18">
        <v>1</v>
      </c>
      <c r="S28" s="18">
        <v>0</v>
      </c>
      <c r="T28" s="18" t="s">
        <v>43</v>
      </c>
      <c r="U28" s="18">
        <v>0</v>
      </c>
      <c r="V28" s="18" t="s">
        <v>43</v>
      </c>
      <c r="W28" s="18">
        <v>10000</v>
      </c>
      <c r="X28" s="18" t="s">
        <v>43</v>
      </c>
      <c r="Y28" s="18">
        <v>1</v>
      </c>
      <c r="Z28" s="18">
        <v>1</v>
      </c>
      <c r="AA28" s="18" t="s">
        <v>43</v>
      </c>
      <c r="AB28" s="18">
        <v>1</v>
      </c>
      <c r="AC28" s="18">
        <v>0</v>
      </c>
    </row>
    <row r="29" spans="1:29" x14ac:dyDescent="0.2">
      <c r="A29" s="18">
        <v>56030001</v>
      </c>
      <c r="B29" s="18">
        <v>5603</v>
      </c>
      <c r="C29" s="18">
        <v>1</v>
      </c>
      <c r="D29" s="18">
        <v>0</v>
      </c>
      <c r="E29" s="18">
        <v>3560700</v>
      </c>
      <c r="F29" s="13" t="s">
        <v>195</v>
      </c>
      <c r="G29" s="13" t="s">
        <v>190</v>
      </c>
      <c r="H29" s="13" t="s">
        <v>195</v>
      </c>
      <c r="I29" s="13" t="s">
        <v>237</v>
      </c>
      <c r="J29" s="18" t="s">
        <v>212</v>
      </c>
      <c r="K29" s="18">
        <v>2</v>
      </c>
      <c r="L29" s="18">
        <v>3000</v>
      </c>
      <c r="M29" s="18" t="s">
        <v>43</v>
      </c>
      <c r="N29" s="18">
        <v>0</v>
      </c>
      <c r="O29" s="18">
        <v>0</v>
      </c>
      <c r="P29" s="18" t="s">
        <v>43</v>
      </c>
      <c r="Q29" s="18">
        <v>0</v>
      </c>
      <c r="R29" s="18">
        <v>0</v>
      </c>
      <c r="S29" s="18">
        <v>0</v>
      </c>
      <c r="T29" s="18" t="s">
        <v>43</v>
      </c>
      <c r="U29" s="18">
        <v>-1</v>
      </c>
      <c r="V29" s="18" t="s">
        <v>43</v>
      </c>
      <c r="W29" s="18">
        <v>10000</v>
      </c>
      <c r="X29" s="18" t="s">
        <v>43</v>
      </c>
      <c r="Y29" s="18">
        <v>1</v>
      </c>
      <c r="Z29" s="18">
        <v>1</v>
      </c>
      <c r="AA29" s="18" t="s">
        <v>43</v>
      </c>
      <c r="AB29" s="18">
        <v>1</v>
      </c>
      <c r="AC29" s="18">
        <v>0</v>
      </c>
    </row>
    <row r="30" spans="1:29" x14ac:dyDescent="0.2">
      <c r="A30" s="18">
        <v>56040001</v>
      </c>
      <c r="B30" s="18">
        <v>5604</v>
      </c>
      <c r="C30" s="18">
        <v>1</v>
      </c>
      <c r="D30" s="18">
        <v>0</v>
      </c>
      <c r="E30" s="18">
        <v>3560900</v>
      </c>
      <c r="F30" s="13" t="s">
        <v>196</v>
      </c>
      <c r="G30" s="13" t="s">
        <v>190</v>
      </c>
      <c r="H30" s="13" t="s">
        <v>196</v>
      </c>
      <c r="I30" s="13" t="s">
        <v>238</v>
      </c>
      <c r="J30" s="18" t="s">
        <v>213</v>
      </c>
      <c r="K30" s="18">
        <v>2</v>
      </c>
      <c r="L30" s="18">
        <v>10000</v>
      </c>
      <c r="M30" s="18" t="s">
        <v>43</v>
      </c>
      <c r="N30" s="18">
        <v>0</v>
      </c>
      <c r="O30" s="18">
        <v>0</v>
      </c>
      <c r="P30" s="18" t="s">
        <v>43</v>
      </c>
      <c r="Q30" s="18">
        <v>0</v>
      </c>
      <c r="R30" s="18">
        <v>0</v>
      </c>
      <c r="S30" s="18">
        <v>0</v>
      </c>
      <c r="T30" s="18" t="s">
        <v>43</v>
      </c>
      <c r="U30" s="18">
        <v>-1</v>
      </c>
      <c r="V30" s="18" t="s">
        <v>43</v>
      </c>
      <c r="W30" s="18">
        <v>10000</v>
      </c>
      <c r="X30" s="18" t="s">
        <v>43</v>
      </c>
      <c r="Y30" s="18">
        <v>1</v>
      </c>
      <c r="Z30" s="18">
        <v>1</v>
      </c>
      <c r="AA30" s="18" t="s">
        <v>43</v>
      </c>
      <c r="AB30" s="18">
        <v>1</v>
      </c>
      <c r="AC30" s="18">
        <v>0</v>
      </c>
    </row>
    <row r="31" spans="1:29" x14ac:dyDescent="0.2">
      <c r="A31" s="18">
        <v>56050001</v>
      </c>
      <c r="B31" s="18">
        <v>5605</v>
      </c>
      <c r="C31" s="18">
        <v>1</v>
      </c>
      <c r="D31" s="18">
        <v>0</v>
      </c>
      <c r="E31" s="18">
        <v>3561100</v>
      </c>
      <c r="F31" s="13" t="s">
        <v>197</v>
      </c>
      <c r="G31" s="13" t="s">
        <v>190</v>
      </c>
      <c r="H31" s="13" t="s">
        <v>197</v>
      </c>
      <c r="I31" s="13" t="s">
        <v>239</v>
      </c>
      <c r="J31" s="18" t="s">
        <v>43</v>
      </c>
      <c r="K31" s="18">
        <v>0</v>
      </c>
      <c r="L31" s="18">
        <v>0</v>
      </c>
      <c r="M31" s="18" t="s">
        <v>234</v>
      </c>
      <c r="N31" s="18">
        <v>2</v>
      </c>
      <c r="O31" s="18">
        <v>10000</v>
      </c>
      <c r="P31" s="18" t="s">
        <v>235</v>
      </c>
      <c r="Q31" s="18">
        <v>1</v>
      </c>
      <c r="R31" s="18">
        <v>1</v>
      </c>
      <c r="S31" s="18">
        <v>0</v>
      </c>
      <c r="T31" s="18" t="s">
        <v>43</v>
      </c>
      <c r="U31" s="18">
        <v>0</v>
      </c>
      <c r="V31" s="18" t="s">
        <v>43</v>
      </c>
      <c r="W31" s="18">
        <v>10000</v>
      </c>
      <c r="X31" s="18" t="s">
        <v>43</v>
      </c>
      <c r="Y31" s="18">
        <v>1</v>
      </c>
      <c r="Z31" s="18">
        <v>1</v>
      </c>
      <c r="AA31" s="18" t="s">
        <v>43</v>
      </c>
      <c r="AB31" s="18">
        <v>1</v>
      </c>
      <c r="AC31" s="18">
        <v>0</v>
      </c>
    </row>
    <row r="32" spans="1:29" x14ac:dyDescent="0.2">
      <c r="A32" s="18">
        <v>56060001</v>
      </c>
      <c r="B32" s="18">
        <v>5606</v>
      </c>
      <c r="C32" s="18">
        <v>1</v>
      </c>
      <c r="D32" s="18">
        <v>0</v>
      </c>
      <c r="E32" s="18">
        <v>3561400</v>
      </c>
      <c r="F32" s="13" t="s">
        <v>345</v>
      </c>
      <c r="G32" s="13" t="s">
        <v>190</v>
      </c>
      <c r="H32" s="13" t="s">
        <v>346</v>
      </c>
      <c r="I32" s="13" t="s">
        <v>367</v>
      </c>
      <c r="J32" s="18" t="s">
        <v>364</v>
      </c>
      <c r="K32" s="18">
        <v>2</v>
      </c>
      <c r="L32" s="18">
        <v>3500</v>
      </c>
      <c r="M32" s="18" t="s">
        <v>365</v>
      </c>
      <c r="N32" s="18">
        <v>35</v>
      </c>
      <c r="O32" s="18">
        <v>1</v>
      </c>
      <c r="P32" s="18" t="s">
        <v>43</v>
      </c>
      <c r="Q32" s="18">
        <v>0</v>
      </c>
      <c r="R32" s="18">
        <v>0</v>
      </c>
      <c r="S32" s="18">
        <v>0</v>
      </c>
      <c r="T32" s="18" t="s">
        <v>43</v>
      </c>
      <c r="U32" s="18">
        <v>0</v>
      </c>
      <c r="V32" s="18" t="s">
        <v>43</v>
      </c>
      <c r="W32" s="18">
        <v>10000</v>
      </c>
      <c r="X32" s="18" t="s">
        <v>43</v>
      </c>
      <c r="Y32" s="18">
        <v>1</v>
      </c>
      <c r="Z32" s="18">
        <v>1</v>
      </c>
      <c r="AA32" s="18" t="s">
        <v>366</v>
      </c>
      <c r="AB32" s="18">
        <v>1</v>
      </c>
      <c r="AC32" s="18">
        <v>1000</v>
      </c>
    </row>
    <row r="33" spans="1:29" x14ac:dyDescent="0.2">
      <c r="A33" s="19">
        <v>57010001</v>
      </c>
      <c r="B33" s="19">
        <v>5701</v>
      </c>
      <c r="C33" s="19">
        <v>1</v>
      </c>
      <c r="D33" s="19">
        <v>0</v>
      </c>
      <c r="E33" s="19">
        <v>3570200</v>
      </c>
      <c r="F33" s="13" t="s">
        <v>198</v>
      </c>
      <c r="G33" s="13" t="s">
        <v>191</v>
      </c>
      <c r="H33" s="13" t="s">
        <v>198</v>
      </c>
      <c r="I33" s="13" t="s">
        <v>240</v>
      </c>
      <c r="J33" s="19" t="s">
        <v>214</v>
      </c>
      <c r="K33" s="19">
        <v>2</v>
      </c>
      <c r="L33" s="19">
        <v>4000</v>
      </c>
      <c r="M33" s="19" t="s">
        <v>215</v>
      </c>
      <c r="N33" s="19">
        <v>1</v>
      </c>
      <c r="O33" s="19">
        <v>3</v>
      </c>
      <c r="P33" s="19" t="s">
        <v>43</v>
      </c>
      <c r="Q33" s="19">
        <v>0</v>
      </c>
      <c r="R33" s="19">
        <v>0</v>
      </c>
      <c r="S33" s="19">
        <v>0</v>
      </c>
      <c r="T33" s="19" t="s">
        <v>368</v>
      </c>
      <c r="U33" s="19">
        <v>4000</v>
      </c>
      <c r="V33" s="19" t="s">
        <v>43</v>
      </c>
      <c r="W33" s="19">
        <v>10000</v>
      </c>
      <c r="X33" s="19" t="s">
        <v>43</v>
      </c>
      <c r="Y33" s="19">
        <v>1</v>
      </c>
      <c r="Z33" s="19">
        <v>1</v>
      </c>
      <c r="AA33" s="19" t="s">
        <v>43</v>
      </c>
      <c r="AB33" s="19">
        <v>1</v>
      </c>
      <c r="AC33" s="19">
        <v>0</v>
      </c>
    </row>
    <row r="34" spans="1:29" x14ac:dyDescent="0.2">
      <c r="A34" s="19">
        <v>57020001</v>
      </c>
      <c r="B34" s="19">
        <v>5702</v>
      </c>
      <c r="C34" s="19">
        <v>1</v>
      </c>
      <c r="D34" s="19">
        <v>0</v>
      </c>
      <c r="E34" s="19">
        <v>3570500</v>
      </c>
      <c r="F34" s="13" t="s">
        <v>199</v>
      </c>
      <c r="G34" s="13" t="s">
        <v>191</v>
      </c>
      <c r="H34" s="13" t="s">
        <v>199</v>
      </c>
      <c r="I34" s="13" t="s">
        <v>241</v>
      </c>
      <c r="J34" s="19" t="s">
        <v>216</v>
      </c>
      <c r="K34" s="19">
        <v>1</v>
      </c>
      <c r="L34" s="19">
        <v>3</v>
      </c>
      <c r="M34" s="19" t="s">
        <v>217</v>
      </c>
      <c r="N34" s="19">
        <v>1</v>
      </c>
      <c r="O34" s="19">
        <v>1</v>
      </c>
      <c r="P34" s="19" t="s">
        <v>349</v>
      </c>
      <c r="Q34" s="19">
        <v>2</v>
      </c>
      <c r="R34" s="19">
        <v>2500</v>
      </c>
      <c r="S34" s="19">
        <v>0</v>
      </c>
      <c r="T34" s="19" t="s">
        <v>43</v>
      </c>
      <c r="U34" s="19">
        <v>-1</v>
      </c>
      <c r="V34" s="19" t="s">
        <v>43</v>
      </c>
      <c r="W34" s="19">
        <v>10000</v>
      </c>
      <c r="X34" s="19" t="s">
        <v>43</v>
      </c>
      <c r="Y34" s="19">
        <v>1</v>
      </c>
      <c r="Z34" s="19">
        <v>1</v>
      </c>
      <c r="AA34" s="19" t="s">
        <v>43</v>
      </c>
      <c r="AB34" s="19">
        <v>1</v>
      </c>
      <c r="AC34" s="19">
        <v>0</v>
      </c>
    </row>
    <row r="35" spans="1:29" x14ac:dyDescent="0.2">
      <c r="A35" s="19">
        <v>57030001</v>
      </c>
      <c r="B35" s="19">
        <v>5703</v>
      </c>
      <c r="C35" s="19">
        <v>1</v>
      </c>
      <c r="D35" s="19">
        <v>0</v>
      </c>
      <c r="E35" s="19">
        <v>3570700</v>
      </c>
      <c r="F35" s="13" t="s">
        <v>200</v>
      </c>
      <c r="G35" s="13" t="s">
        <v>191</v>
      </c>
      <c r="H35" s="13" t="s">
        <v>200</v>
      </c>
      <c r="I35" s="13" t="s">
        <v>236</v>
      </c>
      <c r="J35" s="19" t="s">
        <v>218</v>
      </c>
      <c r="K35" s="19">
        <v>1</v>
      </c>
      <c r="L35" s="19">
        <v>8</v>
      </c>
      <c r="M35" s="19" t="s">
        <v>219</v>
      </c>
      <c r="N35" s="19">
        <v>2</v>
      </c>
      <c r="O35" s="19">
        <v>10000</v>
      </c>
      <c r="P35" s="19" t="s">
        <v>220</v>
      </c>
      <c r="Q35" s="19">
        <v>1</v>
      </c>
      <c r="R35" s="19">
        <v>1</v>
      </c>
      <c r="S35" s="19">
        <v>0</v>
      </c>
      <c r="T35" s="19" t="s">
        <v>43</v>
      </c>
      <c r="U35" s="19">
        <v>0</v>
      </c>
      <c r="V35" s="19" t="s">
        <v>43</v>
      </c>
      <c r="W35" s="19">
        <v>10000</v>
      </c>
      <c r="X35" s="19" t="s">
        <v>43</v>
      </c>
      <c r="Y35" s="19">
        <v>1</v>
      </c>
      <c r="Z35" s="19">
        <v>1</v>
      </c>
      <c r="AA35" s="19" t="s">
        <v>43</v>
      </c>
      <c r="AB35" s="19">
        <v>1</v>
      </c>
      <c r="AC35" s="19">
        <v>0</v>
      </c>
    </row>
    <row r="36" spans="1:29" x14ac:dyDescent="0.2">
      <c r="A36" s="19">
        <v>57040001</v>
      </c>
      <c r="B36" s="19">
        <v>5704</v>
      </c>
      <c r="C36" s="19">
        <v>1</v>
      </c>
      <c r="D36" s="19">
        <v>0</v>
      </c>
      <c r="E36" s="19">
        <v>3570900</v>
      </c>
      <c r="F36" s="13" t="s">
        <v>348</v>
      </c>
      <c r="G36" s="13" t="s">
        <v>191</v>
      </c>
      <c r="H36" s="13" t="s">
        <v>201</v>
      </c>
      <c r="I36" s="13" t="s">
        <v>347</v>
      </c>
      <c r="J36" s="19" t="s">
        <v>221</v>
      </c>
      <c r="K36" s="19">
        <v>2</v>
      </c>
      <c r="L36" s="19">
        <v>2000</v>
      </c>
      <c r="M36" s="19" t="s">
        <v>326</v>
      </c>
      <c r="N36" s="19">
        <v>1</v>
      </c>
      <c r="O36" s="19">
        <v>20</v>
      </c>
      <c r="P36" s="19" t="s">
        <v>43</v>
      </c>
      <c r="Q36" s="19">
        <v>0</v>
      </c>
      <c r="R36" s="19">
        <v>0</v>
      </c>
      <c r="S36" s="19">
        <v>0</v>
      </c>
      <c r="T36" s="19" t="s">
        <v>43</v>
      </c>
      <c r="U36" s="19">
        <v>-1</v>
      </c>
      <c r="V36" s="19" t="s">
        <v>43</v>
      </c>
      <c r="W36" s="19">
        <v>10000</v>
      </c>
      <c r="X36" s="19" t="s">
        <v>43</v>
      </c>
      <c r="Y36" s="19">
        <v>1</v>
      </c>
      <c r="Z36" s="19">
        <v>1</v>
      </c>
      <c r="AA36" s="19" t="s">
        <v>43</v>
      </c>
      <c r="AB36" s="19">
        <v>1</v>
      </c>
      <c r="AC36" s="19">
        <v>0</v>
      </c>
    </row>
    <row r="37" spans="1:29" x14ac:dyDescent="0.2">
      <c r="A37" s="19">
        <v>57050001</v>
      </c>
      <c r="B37" s="19">
        <v>5705</v>
      </c>
      <c r="C37" s="19">
        <v>1</v>
      </c>
      <c r="D37" s="19">
        <v>0</v>
      </c>
      <c r="E37" s="19">
        <v>3571100</v>
      </c>
      <c r="F37" s="13" t="s">
        <v>351</v>
      </c>
      <c r="G37" s="13" t="s">
        <v>191</v>
      </c>
      <c r="H37" s="13" t="s">
        <v>350</v>
      </c>
      <c r="I37" s="13" t="s">
        <v>350</v>
      </c>
      <c r="J37" s="19" t="s">
        <v>222</v>
      </c>
      <c r="K37" s="19">
        <v>2</v>
      </c>
      <c r="L37" s="19">
        <v>10000</v>
      </c>
      <c r="M37" s="19" t="s">
        <v>223</v>
      </c>
      <c r="N37" s="19">
        <v>1</v>
      </c>
      <c r="O37" s="19">
        <v>1</v>
      </c>
      <c r="P37" s="19" t="s">
        <v>224</v>
      </c>
      <c r="Q37" s="19">
        <v>1</v>
      </c>
      <c r="R37" s="19">
        <v>100</v>
      </c>
      <c r="S37" s="19">
        <v>0</v>
      </c>
      <c r="T37" s="19" t="s">
        <v>43</v>
      </c>
      <c r="U37" s="19">
        <v>-1</v>
      </c>
      <c r="V37" s="19" t="s">
        <v>43</v>
      </c>
      <c r="W37" s="19">
        <v>10000</v>
      </c>
      <c r="X37" s="19" t="s">
        <v>43</v>
      </c>
      <c r="Y37" s="19">
        <v>1</v>
      </c>
      <c r="Z37" s="19">
        <v>1</v>
      </c>
      <c r="AA37" s="19" t="s">
        <v>43</v>
      </c>
      <c r="AB37" s="19">
        <v>1</v>
      </c>
      <c r="AC37" s="19">
        <v>0</v>
      </c>
    </row>
    <row r="38" spans="1:29" x14ac:dyDescent="0.2">
      <c r="A38" s="19">
        <v>57060001</v>
      </c>
      <c r="B38" s="19">
        <v>5706</v>
      </c>
      <c r="C38" s="19">
        <v>1</v>
      </c>
      <c r="D38" s="19">
        <v>0</v>
      </c>
      <c r="E38" s="19">
        <v>3571300</v>
      </c>
      <c r="F38" s="13" t="s">
        <v>202</v>
      </c>
      <c r="G38" s="13" t="s">
        <v>191</v>
      </c>
      <c r="H38" s="13" t="s">
        <v>202</v>
      </c>
      <c r="I38" s="13" t="s">
        <v>242</v>
      </c>
      <c r="J38" s="19" t="s">
        <v>43</v>
      </c>
      <c r="K38" s="19">
        <v>0</v>
      </c>
      <c r="L38" s="19">
        <v>0</v>
      </c>
      <c r="M38" s="19" t="s">
        <v>244</v>
      </c>
      <c r="N38" s="19">
        <v>2</v>
      </c>
      <c r="O38" s="19">
        <v>10000</v>
      </c>
      <c r="P38" s="19" t="s">
        <v>245</v>
      </c>
      <c r="Q38" s="19">
        <v>1</v>
      </c>
      <c r="R38" s="19">
        <v>1</v>
      </c>
      <c r="S38" s="19">
        <v>0</v>
      </c>
      <c r="T38" s="19" t="s">
        <v>43</v>
      </c>
      <c r="U38" s="19">
        <v>-1</v>
      </c>
      <c r="V38" s="19" t="s">
        <v>43</v>
      </c>
      <c r="W38" s="19">
        <v>10000</v>
      </c>
      <c r="X38" s="19" t="s">
        <v>43</v>
      </c>
      <c r="Y38" s="19">
        <v>1</v>
      </c>
      <c r="Z38" s="19">
        <v>1</v>
      </c>
      <c r="AA38" s="19" t="s">
        <v>43</v>
      </c>
      <c r="AB38" s="19">
        <v>1</v>
      </c>
      <c r="AC38" s="19">
        <v>0</v>
      </c>
    </row>
    <row r="39" spans="1:29" x14ac:dyDescent="0.2">
      <c r="A39" s="20">
        <v>58010001</v>
      </c>
      <c r="B39" s="20">
        <v>5801</v>
      </c>
      <c r="C39" s="20">
        <v>1</v>
      </c>
      <c r="D39" s="20">
        <v>0</v>
      </c>
      <c r="E39" s="20">
        <v>3580200</v>
      </c>
      <c r="F39" s="13" t="s">
        <v>203</v>
      </c>
      <c r="G39" s="13" t="s">
        <v>192</v>
      </c>
      <c r="H39" s="13" t="s">
        <v>203</v>
      </c>
      <c r="I39" s="13" t="s">
        <v>336</v>
      </c>
      <c r="J39" s="20" t="s">
        <v>225</v>
      </c>
      <c r="K39" s="20">
        <v>2</v>
      </c>
      <c r="L39" s="20">
        <v>3000</v>
      </c>
      <c r="M39" s="20" t="s">
        <v>226</v>
      </c>
      <c r="N39" s="20">
        <v>1</v>
      </c>
      <c r="O39" s="20">
        <v>30</v>
      </c>
      <c r="P39" s="20" t="s">
        <v>43</v>
      </c>
      <c r="Q39" s="20">
        <v>1</v>
      </c>
      <c r="R39" s="20">
        <v>0</v>
      </c>
      <c r="S39" s="20">
        <v>0</v>
      </c>
      <c r="T39" s="20" t="s">
        <v>369</v>
      </c>
      <c r="U39" s="20">
        <v>4000</v>
      </c>
      <c r="V39" s="20" t="s">
        <v>43</v>
      </c>
      <c r="W39" s="20">
        <v>10000</v>
      </c>
      <c r="X39" s="20" t="s">
        <v>227</v>
      </c>
      <c r="Y39" s="20">
        <v>1</v>
      </c>
      <c r="Z39" s="20">
        <v>1</v>
      </c>
      <c r="AA39" s="20" t="s">
        <v>341</v>
      </c>
      <c r="AB39" s="20">
        <v>1</v>
      </c>
      <c r="AC39" s="20">
        <v>1000</v>
      </c>
    </row>
    <row r="40" spans="1:29" x14ac:dyDescent="0.2">
      <c r="A40" s="20">
        <v>58020001</v>
      </c>
      <c r="B40" s="20">
        <v>5802</v>
      </c>
      <c r="C40" s="20">
        <v>1</v>
      </c>
      <c r="D40" s="20">
        <v>0</v>
      </c>
      <c r="E40" s="20">
        <v>3580500</v>
      </c>
      <c r="F40" s="13" t="s">
        <v>204</v>
      </c>
      <c r="G40" s="13" t="s">
        <v>192</v>
      </c>
      <c r="H40" s="13" t="s">
        <v>204</v>
      </c>
      <c r="I40" s="13" t="s">
        <v>236</v>
      </c>
      <c r="J40" s="20" t="s">
        <v>228</v>
      </c>
      <c r="K40" s="20">
        <v>1</v>
      </c>
      <c r="L40" s="20">
        <v>8</v>
      </c>
      <c r="M40" s="20" t="s">
        <v>229</v>
      </c>
      <c r="N40" s="20">
        <v>2</v>
      </c>
      <c r="O40" s="20">
        <v>10000</v>
      </c>
      <c r="P40" s="20" t="s">
        <v>230</v>
      </c>
      <c r="Q40" s="20">
        <v>1</v>
      </c>
      <c r="R40" s="20">
        <v>1</v>
      </c>
      <c r="S40" s="20">
        <v>0</v>
      </c>
      <c r="T40" s="20" t="s">
        <v>43</v>
      </c>
      <c r="U40" s="20">
        <v>-1</v>
      </c>
      <c r="V40" s="20" t="s">
        <v>43</v>
      </c>
      <c r="W40" s="20">
        <v>10000</v>
      </c>
      <c r="X40" s="20" t="s">
        <v>43</v>
      </c>
      <c r="Y40" s="20">
        <v>1</v>
      </c>
      <c r="Z40" s="20">
        <v>1</v>
      </c>
      <c r="AA40" s="20" t="s">
        <v>43</v>
      </c>
      <c r="AB40" s="20">
        <v>1</v>
      </c>
      <c r="AC40" s="20">
        <v>0</v>
      </c>
    </row>
    <row r="41" spans="1:29" x14ac:dyDescent="0.2">
      <c r="A41" s="20">
        <v>58030001</v>
      </c>
      <c r="B41" s="20">
        <v>5803</v>
      </c>
      <c r="C41" s="20">
        <v>1</v>
      </c>
      <c r="D41" s="20">
        <v>0</v>
      </c>
      <c r="E41" s="20">
        <v>3580700</v>
      </c>
      <c r="F41" s="13" t="s">
        <v>359</v>
      </c>
      <c r="G41" s="13" t="s">
        <v>192</v>
      </c>
      <c r="H41" s="13" t="s">
        <v>359</v>
      </c>
      <c r="I41" s="13" t="s">
        <v>360</v>
      </c>
      <c r="J41" s="20" t="s">
        <v>231</v>
      </c>
      <c r="K41" s="20">
        <v>1</v>
      </c>
      <c r="L41" s="20">
        <v>5</v>
      </c>
      <c r="M41" s="20" t="s">
        <v>361</v>
      </c>
      <c r="N41" s="20">
        <v>2</v>
      </c>
      <c r="O41" s="20">
        <v>10000</v>
      </c>
      <c r="P41" s="20" t="s">
        <v>43</v>
      </c>
      <c r="Q41" s="20">
        <v>0</v>
      </c>
      <c r="R41" s="20">
        <v>0</v>
      </c>
      <c r="S41" s="20">
        <v>0</v>
      </c>
      <c r="T41" s="20" t="s">
        <v>43</v>
      </c>
      <c r="U41" s="20">
        <v>0</v>
      </c>
      <c r="V41" s="20" t="s">
        <v>43</v>
      </c>
      <c r="W41" s="20">
        <v>10000</v>
      </c>
      <c r="X41" s="20" t="s">
        <v>43</v>
      </c>
      <c r="Y41" s="20">
        <v>1</v>
      </c>
      <c r="Z41" s="20">
        <v>1</v>
      </c>
      <c r="AA41" s="20" t="s">
        <v>43</v>
      </c>
      <c r="AB41" s="20">
        <v>1</v>
      </c>
      <c r="AC41" s="20">
        <v>0</v>
      </c>
    </row>
    <row r="42" spans="1:29" x14ac:dyDescent="0.2">
      <c r="A42" s="20">
        <v>58040001</v>
      </c>
      <c r="B42" s="20">
        <v>5804</v>
      </c>
      <c r="C42" s="20">
        <v>1</v>
      </c>
      <c r="D42" s="20">
        <v>0</v>
      </c>
      <c r="E42" s="20">
        <v>3580900</v>
      </c>
      <c r="F42" s="13" t="s">
        <v>188</v>
      </c>
      <c r="G42" s="13" t="s">
        <v>192</v>
      </c>
      <c r="H42" s="13" t="s">
        <v>188</v>
      </c>
      <c r="I42" s="13" t="s">
        <v>243</v>
      </c>
      <c r="J42" s="20" t="s">
        <v>43</v>
      </c>
      <c r="K42" s="20">
        <v>0</v>
      </c>
      <c r="L42" s="20">
        <v>0</v>
      </c>
      <c r="M42" s="20" t="s">
        <v>232</v>
      </c>
      <c r="N42" s="20">
        <v>2</v>
      </c>
      <c r="O42" s="20">
        <v>10000</v>
      </c>
      <c r="P42" s="20" t="s">
        <v>233</v>
      </c>
      <c r="Q42" s="20">
        <v>1</v>
      </c>
      <c r="R42" s="20">
        <v>1</v>
      </c>
      <c r="S42" s="20">
        <v>0</v>
      </c>
      <c r="T42" s="20" t="s">
        <v>43</v>
      </c>
      <c r="U42" s="20">
        <v>0</v>
      </c>
      <c r="V42" s="20" t="s">
        <v>43</v>
      </c>
      <c r="W42" s="20">
        <v>10000</v>
      </c>
      <c r="X42" s="20" t="s">
        <v>43</v>
      </c>
      <c r="Y42" s="20">
        <v>1</v>
      </c>
      <c r="Z42" s="20">
        <v>1</v>
      </c>
      <c r="AA42" s="20" t="s">
        <v>43</v>
      </c>
      <c r="AB42" s="20">
        <v>1</v>
      </c>
      <c r="AC42" s="20">
        <v>0</v>
      </c>
    </row>
    <row r="43" spans="1:29" x14ac:dyDescent="0.2">
      <c r="A43" s="23">
        <v>58050001</v>
      </c>
      <c r="B43" s="23">
        <v>5805</v>
      </c>
      <c r="C43" s="23">
        <v>1</v>
      </c>
      <c r="D43" s="23">
        <v>0</v>
      </c>
      <c r="E43" s="23">
        <v>3581200</v>
      </c>
      <c r="F43" s="13" t="s">
        <v>189</v>
      </c>
      <c r="G43" s="13" t="s">
        <v>192</v>
      </c>
      <c r="H43" s="13" t="s">
        <v>189</v>
      </c>
      <c r="I43" s="13" t="s">
        <v>337</v>
      </c>
      <c r="J43" s="20" t="s">
        <v>323</v>
      </c>
      <c r="K43" s="20">
        <v>2</v>
      </c>
      <c r="L43" s="20">
        <v>3000</v>
      </c>
      <c r="M43" s="20" t="s">
        <v>324</v>
      </c>
      <c r="N43" s="20">
        <v>0</v>
      </c>
      <c r="O43" s="20">
        <v>30</v>
      </c>
      <c r="P43" s="20" t="s">
        <v>43</v>
      </c>
      <c r="Q43" s="20">
        <v>0</v>
      </c>
      <c r="R43" s="20">
        <v>0</v>
      </c>
      <c r="S43" s="20">
        <v>0</v>
      </c>
      <c r="T43" s="20" t="s">
        <v>370</v>
      </c>
      <c r="U43" s="20">
        <v>4000</v>
      </c>
      <c r="V43" s="20" t="s">
        <v>43</v>
      </c>
      <c r="W43" s="20">
        <v>10000</v>
      </c>
      <c r="X43" s="20" t="s">
        <v>325</v>
      </c>
      <c r="Y43" s="20">
        <v>1</v>
      </c>
      <c r="Z43" s="20">
        <v>10</v>
      </c>
      <c r="AA43" s="20" t="s">
        <v>342</v>
      </c>
      <c r="AB43" s="20">
        <v>1</v>
      </c>
      <c r="AC43" s="20">
        <v>1000</v>
      </c>
    </row>
    <row r="44" spans="1:29" x14ac:dyDescent="0.2">
      <c r="A44" s="24">
        <v>59010001</v>
      </c>
      <c r="B44" s="24">
        <v>5901</v>
      </c>
      <c r="C44" s="24">
        <v>1</v>
      </c>
      <c r="D44" s="24">
        <v>0</v>
      </c>
      <c r="E44" s="24">
        <v>3590200</v>
      </c>
      <c r="F44" s="13" t="s">
        <v>247</v>
      </c>
      <c r="G44" s="13" t="s">
        <v>246</v>
      </c>
      <c r="H44" s="13"/>
      <c r="I44" s="13"/>
      <c r="J44" s="24" t="s">
        <v>280</v>
      </c>
      <c r="K44" s="24">
        <v>3</v>
      </c>
      <c r="L44" s="24">
        <v>200000</v>
      </c>
      <c r="M44" s="24" t="s">
        <v>281</v>
      </c>
      <c r="N44" s="24">
        <v>2</v>
      </c>
      <c r="O44" s="24">
        <v>10000</v>
      </c>
      <c r="P44" s="24" t="s">
        <v>282</v>
      </c>
      <c r="Q44" s="24">
        <v>1</v>
      </c>
      <c r="R44" s="24">
        <v>1</v>
      </c>
      <c r="S44" s="24">
        <v>0</v>
      </c>
      <c r="T44" s="24" t="s">
        <v>43</v>
      </c>
      <c r="U44" s="24">
        <v>0</v>
      </c>
      <c r="V44" s="24" t="s">
        <v>43</v>
      </c>
      <c r="W44" s="24">
        <v>10000</v>
      </c>
      <c r="X44" s="24" t="s">
        <v>43</v>
      </c>
      <c r="Y44" s="24">
        <v>1</v>
      </c>
      <c r="Z44" s="24">
        <v>1</v>
      </c>
      <c r="AA44" s="24" t="s">
        <v>43</v>
      </c>
      <c r="AB44" s="24">
        <v>1</v>
      </c>
      <c r="AC44" s="24">
        <v>0</v>
      </c>
    </row>
    <row r="45" spans="1:29" x14ac:dyDescent="0.2">
      <c r="A45" s="24">
        <v>59020001</v>
      </c>
      <c r="B45" s="24">
        <v>5902</v>
      </c>
      <c r="C45" s="24">
        <v>1</v>
      </c>
      <c r="D45" s="24">
        <v>0</v>
      </c>
      <c r="E45" s="24">
        <v>3590400</v>
      </c>
      <c r="F45" s="13" t="s">
        <v>248</v>
      </c>
      <c r="G45" s="13" t="s">
        <v>246</v>
      </c>
      <c r="H45" s="13"/>
      <c r="I45" s="13"/>
      <c r="J45" s="24" t="s">
        <v>283</v>
      </c>
      <c r="K45" s="24">
        <v>3</v>
      </c>
      <c r="L45" s="24">
        <v>200000</v>
      </c>
      <c r="M45" s="24" t="s">
        <v>43</v>
      </c>
      <c r="N45" s="24">
        <v>0</v>
      </c>
      <c r="O45" s="24">
        <v>0</v>
      </c>
      <c r="P45" s="24" t="s">
        <v>43</v>
      </c>
      <c r="Q45" s="24">
        <v>0</v>
      </c>
      <c r="R45" s="24">
        <v>0</v>
      </c>
      <c r="S45" s="24">
        <v>59030001</v>
      </c>
      <c r="T45" s="24" t="s">
        <v>371</v>
      </c>
      <c r="U45" s="24">
        <v>-1</v>
      </c>
      <c r="V45" s="24" t="s">
        <v>43</v>
      </c>
      <c r="W45" s="24">
        <v>10000</v>
      </c>
      <c r="X45" s="24" t="s">
        <v>43</v>
      </c>
      <c r="Y45" s="24">
        <v>1</v>
      </c>
      <c r="Z45" s="24">
        <v>1</v>
      </c>
      <c r="AA45" s="24" t="s">
        <v>43</v>
      </c>
      <c r="AB45" s="24">
        <v>1</v>
      </c>
      <c r="AC45" s="24">
        <v>0</v>
      </c>
    </row>
    <row r="46" spans="1:29" x14ac:dyDescent="0.2">
      <c r="A46" s="24">
        <v>59030001</v>
      </c>
      <c r="B46" s="24">
        <v>5903</v>
      </c>
      <c r="C46" s="24">
        <v>1</v>
      </c>
      <c r="D46" s="24">
        <v>0</v>
      </c>
      <c r="E46" s="24">
        <v>3590600</v>
      </c>
      <c r="F46" s="13" t="s">
        <v>249</v>
      </c>
      <c r="G46" s="13" t="s">
        <v>246</v>
      </c>
      <c r="H46" s="13"/>
      <c r="I46" s="13"/>
      <c r="J46" s="24" t="s">
        <v>43</v>
      </c>
      <c r="K46" s="24">
        <v>0</v>
      </c>
      <c r="L46" s="24">
        <v>0</v>
      </c>
      <c r="M46" s="24" t="s">
        <v>284</v>
      </c>
      <c r="N46" s="24">
        <v>2</v>
      </c>
      <c r="O46" s="24">
        <v>10000</v>
      </c>
      <c r="P46" s="24" t="s">
        <v>285</v>
      </c>
      <c r="Q46" s="24">
        <v>1</v>
      </c>
      <c r="R46" s="24">
        <v>1</v>
      </c>
      <c r="S46" s="24">
        <v>59200001</v>
      </c>
      <c r="T46" s="24" t="s">
        <v>43</v>
      </c>
      <c r="U46" s="24">
        <v>0</v>
      </c>
      <c r="V46" s="24" t="s">
        <v>43</v>
      </c>
      <c r="W46" s="24">
        <v>10000</v>
      </c>
      <c r="X46" s="24" t="s">
        <v>43</v>
      </c>
      <c r="Y46" s="24">
        <v>1</v>
      </c>
      <c r="Z46" s="24">
        <v>1</v>
      </c>
      <c r="AA46" s="24" t="s">
        <v>43</v>
      </c>
      <c r="AB46" s="24">
        <v>1</v>
      </c>
      <c r="AC46" s="24">
        <v>0</v>
      </c>
    </row>
    <row r="47" spans="1:29" x14ac:dyDescent="0.2">
      <c r="A47" s="24">
        <v>59040001</v>
      </c>
      <c r="B47" s="24">
        <v>5904</v>
      </c>
      <c r="C47" s="24">
        <v>1</v>
      </c>
      <c r="D47" s="24">
        <v>0</v>
      </c>
      <c r="E47" s="24">
        <v>3590800</v>
      </c>
      <c r="F47" s="13" t="s">
        <v>250</v>
      </c>
      <c r="G47" s="13" t="s">
        <v>246</v>
      </c>
      <c r="H47" s="13"/>
      <c r="I47" s="13"/>
      <c r="J47" s="24" t="s">
        <v>43</v>
      </c>
      <c r="K47" s="24">
        <v>0</v>
      </c>
      <c r="L47" s="24">
        <v>0</v>
      </c>
      <c r="M47" s="24" t="s">
        <v>286</v>
      </c>
      <c r="N47" s="24">
        <v>2</v>
      </c>
      <c r="O47" s="24">
        <v>10000</v>
      </c>
      <c r="P47" s="24" t="s">
        <v>287</v>
      </c>
      <c r="Q47" s="24">
        <v>1</v>
      </c>
      <c r="R47" s="24">
        <v>1</v>
      </c>
      <c r="S47" s="24">
        <v>59090001</v>
      </c>
      <c r="T47" s="24" t="s">
        <v>43</v>
      </c>
      <c r="U47" s="24">
        <v>-1</v>
      </c>
      <c r="V47" s="24" t="s">
        <v>43</v>
      </c>
      <c r="W47" s="24">
        <v>10000</v>
      </c>
      <c r="X47" s="24" t="s">
        <v>43</v>
      </c>
      <c r="Y47" s="24">
        <v>1</v>
      </c>
      <c r="Z47" s="24">
        <v>1</v>
      </c>
      <c r="AA47" s="24" t="s">
        <v>43</v>
      </c>
      <c r="AB47" s="24">
        <v>1</v>
      </c>
      <c r="AC47" s="24">
        <v>0</v>
      </c>
    </row>
    <row r="48" spans="1:29" x14ac:dyDescent="0.2">
      <c r="A48" s="24">
        <v>59050001</v>
      </c>
      <c r="B48" s="24">
        <v>5905</v>
      </c>
      <c r="C48" s="24">
        <v>1</v>
      </c>
      <c r="D48" s="24">
        <v>0</v>
      </c>
      <c r="E48" s="24">
        <v>3591000</v>
      </c>
      <c r="F48" s="13" t="s">
        <v>251</v>
      </c>
      <c r="G48" s="13" t="s">
        <v>246</v>
      </c>
      <c r="H48" s="13"/>
      <c r="I48" s="13"/>
      <c r="J48" s="24" t="s">
        <v>288</v>
      </c>
      <c r="K48" s="24">
        <v>2</v>
      </c>
      <c r="L48" s="24">
        <v>0</v>
      </c>
      <c r="M48" s="24" t="s">
        <v>343</v>
      </c>
      <c r="N48" s="24">
        <v>1</v>
      </c>
      <c r="O48" s="24">
        <v>0</v>
      </c>
      <c r="P48" s="24" t="s">
        <v>344</v>
      </c>
      <c r="Q48" s="24">
        <v>3</v>
      </c>
      <c r="R48" s="24">
        <v>0</v>
      </c>
      <c r="S48" s="24">
        <v>0</v>
      </c>
      <c r="T48" s="24" t="s">
        <v>43</v>
      </c>
      <c r="U48" s="24">
        <v>-1</v>
      </c>
      <c r="V48" s="24" t="s">
        <v>43</v>
      </c>
      <c r="W48" s="24">
        <v>10000</v>
      </c>
      <c r="X48" s="24" t="s">
        <v>43</v>
      </c>
      <c r="Y48" s="24">
        <v>1</v>
      </c>
      <c r="Z48" s="24">
        <v>1</v>
      </c>
      <c r="AA48" s="24" t="s">
        <v>43</v>
      </c>
      <c r="AB48" s="24">
        <v>1</v>
      </c>
      <c r="AC48" s="24">
        <v>0</v>
      </c>
    </row>
    <row r="49" spans="1:29" x14ac:dyDescent="0.2">
      <c r="A49" s="24">
        <v>59060001</v>
      </c>
      <c r="B49" s="24">
        <v>5906</v>
      </c>
      <c r="C49" s="24">
        <v>1</v>
      </c>
      <c r="D49" s="24">
        <v>0</v>
      </c>
      <c r="E49" s="24">
        <v>3591200</v>
      </c>
      <c r="F49" s="13" t="s">
        <v>252</v>
      </c>
      <c r="G49" s="13" t="s">
        <v>246</v>
      </c>
      <c r="H49" s="13"/>
      <c r="I49" s="13"/>
      <c r="J49" s="24" t="s">
        <v>289</v>
      </c>
      <c r="K49" s="24">
        <v>3</v>
      </c>
      <c r="L49" s="24">
        <v>1000000</v>
      </c>
      <c r="M49" s="24" t="s">
        <v>290</v>
      </c>
      <c r="N49" s="24">
        <v>2</v>
      </c>
      <c r="O49" s="24">
        <v>10000</v>
      </c>
      <c r="P49" s="24" t="s">
        <v>291</v>
      </c>
      <c r="Q49" s="24">
        <v>1</v>
      </c>
      <c r="R49" s="24">
        <v>1</v>
      </c>
      <c r="S49" s="24">
        <v>0</v>
      </c>
      <c r="T49" s="24" t="s">
        <v>43</v>
      </c>
      <c r="U49" s="24">
        <v>-1</v>
      </c>
      <c r="V49" s="24" t="s">
        <v>43</v>
      </c>
      <c r="W49" s="24">
        <v>10000</v>
      </c>
      <c r="X49" s="24" t="s">
        <v>43</v>
      </c>
      <c r="Y49" s="24">
        <v>1</v>
      </c>
      <c r="Z49" s="24">
        <v>1</v>
      </c>
      <c r="AA49" s="24" t="s">
        <v>43</v>
      </c>
      <c r="AB49" s="24">
        <v>1</v>
      </c>
      <c r="AC49" s="24">
        <v>0</v>
      </c>
    </row>
    <row r="50" spans="1:29" x14ac:dyDescent="0.2">
      <c r="A50" s="24">
        <v>59070001</v>
      </c>
      <c r="B50" s="24">
        <v>5907</v>
      </c>
      <c r="C50" s="24">
        <v>1</v>
      </c>
      <c r="D50" s="24">
        <v>0</v>
      </c>
      <c r="E50" s="24">
        <v>3591400</v>
      </c>
      <c r="F50" s="13" t="s">
        <v>253</v>
      </c>
      <c r="G50" s="13" t="s">
        <v>246</v>
      </c>
      <c r="H50" s="13"/>
      <c r="I50" s="13"/>
      <c r="J50" s="24" t="s">
        <v>292</v>
      </c>
      <c r="K50" s="24">
        <v>3</v>
      </c>
      <c r="L50" s="24">
        <v>500000</v>
      </c>
      <c r="M50" s="24" t="s">
        <v>293</v>
      </c>
      <c r="N50" s="24">
        <v>2</v>
      </c>
      <c r="O50" s="24">
        <v>10000</v>
      </c>
      <c r="P50" s="24" t="s">
        <v>294</v>
      </c>
      <c r="Q50" s="24">
        <v>1</v>
      </c>
      <c r="R50" s="24">
        <v>1</v>
      </c>
      <c r="S50" s="24">
        <v>59200002</v>
      </c>
      <c r="T50" s="24" t="s">
        <v>43</v>
      </c>
      <c r="U50" s="24">
        <v>-1</v>
      </c>
      <c r="V50" s="24" t="s">
        <v>43</v>
      </c>
      <c r="W50" s="24">
        <v>10000</v>
      </c>
      <c r="X50" s="24" t="s">
        <v>43</v>
      </c>
      <c r="Y50" s="24">
        <v>1</v>
      </c>
      <c r="Z50" s="24">
        <v>1</v>
      </c>
      <c r="AA50" s="24" t="s">
        <v>43</v>
      </c>
      <c r="AB50" s="24">
        <v>1</v>
      </c>
      <c r="AC50" s="24">
        <v>0</v>
      </c>
    </row>
    <row r="51" spans="1:29" x14ac:dyDescent="0.2">
      <c r="A51" s="24">
        <v>59080001</v>
      </c>
      <c r="B51" s="24">
        <v>5908</v>
      </c>
      <c r="C51" s="24">
        <v>1</v>
      </c>
      <c r="D51" s="24">
        <v>0</v>
      </c>
      <c r="E51" s="24">
        <v>3591600</v>
      </c>
      <c r="F51" s="13" t="s">
        <v>254</v>
      </c>
      <c r="G51" s="13" t="s">
        <v>246</v>
      </c>
      <c r="H51" s="13"/>
      <c r="I51" s="13"/>
      <c r="J51" s="24" t="s">
        <v>43</v>
      </c>
      <c r="K51" s="24">
        <v>0</v>
      </c>
      <c r="L51" s="24">
        <v>0</v>
      </c>
      <c r="M51" s="24" t="s">
        <v>295</v>
      </c>
      <c r="N51" s="24">
        <v>2</v>
      </c>
      <c r="O51" s="24">
        <v>10000</v>
      </c>
      <c r="P51" s="24" t="s">
        <v>296</v>
      </c>
      <c r="Q51" s="24">
        <v>1</v>
      </c>
      <c r="R51" s="24">
        <v>1</v>
      </c>
      <c r="S51" s="24">
        <v>90000001</v>
      </c>
      <c r="T51" s="24" t="s">
        <v>43</v>
      </c>
      <c r="U51" s="24">
        <v>0</v>
      </c>
      <c r="V51" s="24" t="s">
        <v>43</v>
      </c>
      <c r="W51" s="24">
        <v>10000</v>
      </c>
      <c r="X51" s="24" t="s">
        <v>43</v>
      </c>
      <c r="Y51" s="24">
        <v>1</v>
      </c>
      <c r="Z51" s="24">
        <v>1</v>
      </c>
      <c r="AA51" s="24" t="s">
        <v>43</v>
      </c>
      <c r="AB51" s="24">
        <v>1</v>
      </c>
      <c r="AC51" s="24">
        <v>0</v>
      </c>
    </row>
    <row r="52" spans="1:29" x14ac:dyDescent="0.2">
      <c r="A52" s="24">
        <v>59090001</v>
      </c>
      <c r="B52" s="24">
        <v>5909</v>
      </c>
      <c r="C52" s="24">
        <v>1</v>
      </c>
      <c r="D52" s="24">
        <v>0</v>
      </c>
      <c r="E52" s="24">
        <v>3591900</v>
      </c>
      <c r="F52" s="13" t="s">
        <v>362</v>
      </c>
      <c r="G52" s="13" t="s">
        <v>246</v>
      </c>
      <c r="H52" s="13"/>
      <c r="I52" s="13"/>
      <c r="J52" s="24" t="s">
        <v>43</v>
      </c>
      <c r="K52" s="24">
        <v>0</v>
      </c>
      <c r="L52" s="24">
        <v>0</v>
      </c>
      <c r="M52" s="24" t="s">
        <v>297</v>
      </c>
      <c r="N52" s="24">
        <v>1</v>
      </c>
      <c r="O52" s="24">
        <v>1</v>
      </c>
      <c r="P52" s="24" t="s">
        <v>43</v>
      </c>
      <c r="Q52" s="24">
        <v>0</v>
      </c>
      <c r="R52" s="24">
        <v>0</v>
      </c>
      <c r="S52" s="24">
        <v>0</v>
      </c>
      <c r="T52" s="24" t="s">
        <v>43</v>
      </c>
      <c r="U52" s="24">
        <v>-1</v>
      </c>
      <c r="V52" s="24" t="s">
        <v>43</v>
      </c>
      <c r="W52" s="24">
        <v>10000</v>
      </c>
      <c r="X52" s="24" t="s">
        <v>43</v>
      </c>
      <c r="Y52" s="24">
        <v>1</v>
      </c>
      <c r="Z52" s="24">
        <v>1</v>
      </c>
      <c r="AA52" s="24" t="s">
        <v>363</v>
      </c>
      <c r="AB52" s="24">
        <v>1</v>
      </c>
      <c r="AC52" s="24">
        <v>1000</v>
      </c>
    </row>
    <row r="53" spans="1:29" x14ac:dyDescent="0.2">
      <c r="A53" s="24">
        <v>59100001</v>
      </c>
      <c r="B53" s="24">
        <v>5910</v>
      </c>
      <c r="C53" s="24">
        <v>1</v>
      </c>
      <c r="D53" s="24">
        <v>0</v>
      </c>
      <c r="E53" s="24">
        <v>3541800</v>
      </c>
      <c r="F53" s="13" t="s">
        <v>316</v>
      </c>
      <c r="G53" s="13" t="s">
        <v>246</v>
      </c>
      <c r="H53" s="13"/>
      <c r="I53" s="13"/>
      <c r="J53" s="24" t="s">
        <v>43</v>
      </c>
      <c r="K53" s="24">
        <v>2</v>
      </c>
      <c r="L53" s="24">
        <v>1500</v>
      </c>
      <c r="M53" s="24" t="s">
        <v>43</v>
      </c>
      <c r="N53" s="24">
        <v>0</v>
      </c>
      <c r="O53" s="24">
        <v>0</v>
      </c>
      <c r="P53" s="24" t="s">
        <v>43</v>
      </c>
      <c r="Q53" s="24">
        <v>0</v>
      </c>
      <c r="R53" s="24">
        <v>0</v>
      </c>
      <c r="S53" s="24">
        <v>0</v>
      </c>
      <c r="T53" s="24" t="s">
        <v>43</v>
      </c>
      <c r="U53" s="24">
        <v>-1</v>
      </c>
      <c r="V53" s="24" t="s">
        <v>43</v>
      </c>
      <c r="W53" s="24">
        <v>10000</v>
      </c>
      <c r="X53" s="24" t="s">
        <v>43</v>
      </c>
      <c r="Y53" s="24">
        <v>1</v>
      </c>
      <c r="Z53" s="24">
        <v>1</v>
      </c>
      <c r="AA53" s="24" t="s">
        <v>43</v>
      </c>
      <c r="AB53" s="24">
        <v>1</v>
      </c>
      <c r="AC53" s="24">
        <v>0</v>
      </c>
    </row>
    <row r="54" spans="1:29" x14ac:dyDescent="0.2">
      <c r="A54" s="24">
        <v>59110001</v>
      </c>
      <c r="B54" s="24">
        <v>5911</v>
      </c>
      <c r="C54" s="24">
        <v>1</v>
      </c>
      <c r="D54" s="24">
        <v>0</v>
      </c>
      <c r="E54" s="24">
        <v>3541800</v>
      </c>
      <c r="F54" s="13" t="s">
        <v>317</v>
      </c>
      <c r="G54" s="13" t="s">
        <v>246</v>
      </c>
      <c r="H54" s="13"/>
      <c r="I54" s="13"/>
      <c r="J54" s="24" t="s">
        <v>43</v>
      </c>
      <c r="K54" s="24">
        <v>2</v>
      </c>
      <c r="L54" s="24">
        <v>5000</v>
      </c>
      <c r="M54" s="24" t="s">
        <v>43</v>
      </c>
      <c r="N54" s="24">
        <v>0</v>
      </c>
      <c r="O54" s="24">
        <v>0</v>
      </c>
      <c r="P54" s="24" t="s">
        <v>43</v>
      </c>
      <c r="Q54" s="24">
        <v>0</v>
      </c>
      <c r="R54" s="24">
        <v>0</v>
      </c>
      <c r="S54" s="24">
        <v>0</v>
      </c>
      <c r="T54" s="24" t="s">
        <v>43</v>
      </c>
      <c r="U54" s="24">
        <v>-1</v>
      </c>
      <c r="V54" s="24" t="s">
        <v>43</v>
      </c>
      <c r="W54" s="24">
        <v>10000</v>
      </c>
      <c r="X54" s="24" t="s">
        <v>43</v>
      </c>
      <c r="Y54" s="24">
        <v>1</v>
      </c>
      <c r="Z54" s="24">
        <v>1</v>
      </c>
      <c r="AA54" s="24" t="s">
        <v>43</v>
      </c>
      <c r="AB54" s="24">
        <v>1</v>
      </c>
      <c r="AC54" s="24">
        <v>0</v>
      </c>
    </row>
    <row r="55" spans="1:29" x14ac:dyDescent="0.2">
      <c r="A55" s="25">
        <v>59120001</v>
      </c>
      <c r="B55" s="24">
        <v>5912</v>
      </c>
      <c r="C55" s="24">
        <v>1</v>
      </c>
      <c r="D55" s="24">
        <v>0</v>
      </c>
      <c r="E55" s="24">
        <v>3592100</v>
      </c>
      <c r="F55" s="13" t="s">
        <v>374</v>
      </c>
      <c r="G55" s="13" t="s">
        <v>246</v>
      </c>
      <c r="H55" s="13"/>
      <c r="I55" s="13"/>
      <c r="J55" s="24" t="s">
        <v>373</v>
      </c>
      <c r="K55" s="24">
        <v>2</v>
      </c>
      <c r="L55" s="24">
        <v>0</v>
      </c>
      <c r="M55" s="24" t="s">
        <v>43</v>
      </c>
      <c r="N55" s="24">
        <v>0</v>
      </c>
      <c r="O55" s="24">
        <v>0</v>
      </c>
      <c r="P55" s="24" t="s">
        <v>43</v>
      </c>
      <c r="Q55" s="24">
        <v>0</v>
      </c>
      <c r="R55" s="24">
        <v>0</v>
      </c>
      <c r="S55" s="24">
        <v>0</v>
      </c>
      <c r="T55" s="24" t="s">
        <v>43</v>
      </c>
      <c r="U55" s="24">
        <v>-1</v>
      </c>
      <c r="V55" s="24" t="s">
        <v>43</v>
      </c>
      <c r="W55" s="24">
        <v>10000</v>
      </c>
      <c r="X55" s="24" t="s">
        <v>43</v>
      </c>
      <c r="Y55" s="24">
        <v>1</v>
      </c>
      <c r="Z55" s="24">
        <v>1</v>
      </c>
      <c r="AA55" s="24" t="s">
        <v>43</v>
      </c>
      <c r="AB55" s="24">
        <v>1</v>
      </c>
      <c r="AC55" s="24">
        <v>0</v>
      </c>
    </row>
    <row r="56" spans="1:29" x14ac:dyDescent="0.2">
      <c r="A56" s="21">
        <v>60010001</v>
      </c>
      <c r="B56" s="21">
        <v>6001</v>
      </c>
      <c r="C56" s="21">
        <v>1</v>
      </c>
      <c r="D56" s="21">
        <v>0</v>
      </c>
      <c r="E56" s="21">
        <v>3600200</v>
      </c>
      <c r="F56" s="13" t="s">
        <v>258</v>
      </c>
      <c r="G56" s="13" t="s">
        <v>255</v>
      </c>
      <c r="H56" s="13"/>
      <c r="I56" s="13"/>
      <c r="J56" s="21" t="s">
        <v>262</v>
      </c>
      <c r="K56" s="21">
        <v>1</v>
      </c>
      <c r="L56" s="21">
        <v>8</v>
      </c>
      <c r="M56" s="21" t="s">
        <v>263</v>
      </c>
      <c r="N56" s="21">
        <v>2</v>
      </c>
      <c r="O56" s="21">
        <v>10000</v>
      </c>
      <c r="P56" s="21" t="s">
        <v>264</v>
      </c>
      <c r="Q56" s="21">
        <v>1</v>
      </c>
      <c r="R56" s="21">
        <v>1</v>
      </c>
      <c r="S56" s="21">
        <v>0</v>
      </c>
      <c r="T56" s="21" t="s">
        <v>43</v>
      </c>
      <c r="U56" s="21">
        <v>0</v>
      </c>
      <c r="V56" s="21" t="s">
        <v>43</v>
      </c>
      <c r="W56" s="21">
        <v>10000</v>
      </c>
      <c r="X56" s="21" t="s">
        <v>43</v>
      </c>
      <c r="Y56" s="21">
        <v>1</v>
      </c>
      <c r="Z56" s="21">
        <v>1</v>
      </c>
      <c r="AA56" s="21" t="s">
        <v>43</v>
      </c>
      <c r="AB56" s="21">
        <v>1</v>
      </c>
      <c r="AC56" s="21">
        <v>0</v>
      </c>
    </row>
    <row r="57" spans="1:29" x14ac:dyDescent="0.2">
      <c r="A57" s="21">
        <v>60020001</v>
      </c>
      <c r="B57" s="21">
        <v>6002</v>
      </c>
      <c r="C57" s="21">
        <v>1</v>
      </c>
      <c r="D57" s="21">
        <v>0</v>
      </c>
      <c r="E57" s="21">
        <v>3600400</v>
      </c>
      <c r="F57" s="13" t="s">
        <v>259</v>
      </c>
      <c r="G57" s="13" t="s">
        <v>255</v>
      </c>
      <c r="H57" s="13"/>
      <c r="I57" s="13"/>
      <c r="J57" s="21" t="s">
        <v>265</v>
      </c>
      <c r="K57" s="21">
        <v>1</v>
      </c>
      <c r="L57" s="21">
        <v>1</v>
      </c>
      <c r="M57" s="21" t="s">
        <v>266</v>
      </c>
      <c r="N57" s="21">
        <v>2</v>
      </c>
      <c r="O57" s="21">
        <v>15000</v>
      </c>
      <c r="P57" s="21" t="s">
        <v>43</v>
      </c>
      <c r="Q57" s="21">
        <v>0</v>
      </c>
      <c r="R57" s="21">
        <v>0</v>
      </c>
      <c r="S57" s="21">
        <v>0</v>
      </c>
      <c r="T57" s="21" t="s">
        <v>43</v>
      </c>
      <c r="U57" s="21">
        <v>-1</v>
      </c>
      <c r="V57" s="21" t="s">
        <v>43</v>
      </c>
      <c r="W57" s="21">
        <v>10000</v>
      </c>
      <c r="X57" s="21" t="s">
        <v>43</v>
      </c>
      <c r="Y57" s="21">
        <v>1</v>
      </c>
      <c r="Z57" s="21">
        <v>1</v>
      </c>
      <c r="AA57" s="21" t="s">
        <v>43</v>
      </c>
      <c r="AB57" s="21">
        <v>1</v>
      </c>
      <c r="AC57" s="21">
        <v>0</v>
      </c>
    </row>
    <row r="58" spans="1:29" x14ac:dyDescent="0.2">
      <c r="A58" s="21">
        <v>60030001</v>
      </c>
      <c r="B58" s="21">
        <v>6003</v>
      </c>
      <c r="C58" s="21">
        <v>1</v>
      </c>
      <c r="D58" s="21">
        <v>0</v>
      </c>
      <c r="E58" s="21">
        <v>3600700</v>
      </c>
      <c r="F58" s="13" t="s">
        <v>260</v>
      </c>
      <c r="G58" s="13" t="s">
        <v>255</v>
      </c>
      <c r="H58" s="13"/>
      <c r="I58" s="13"/>
      <c r="J58" s="21" t="s">
        <v>298</v>
      </c>
      <c r="K58" s="21">
        <v>1</v>
      </c>
      <c r="L58" s="21">
        <v>8</v>
      </c>
      <c r="M58" s="21" t="s">
        <v>267</v>
      </c>
      <c r="N58" s="21">
        <v>2</v>
      </c>
      <c r="O58" s="21">
        <v>10000</v>
      </c>
      <c r="P58" s="21" t="s">
        <v>268</v>
      </c>
      <c r="Q58" s="21">
        <v>1</v>
      </c>
      <c r="R58" s="21">
        <v>1</v>
      </c>
      <c r="S58" s="21">
        <v>0</v>
      </c>
      <c r="T58" s="21" t="s">
        <v>43</v>
      </c>
      <c r="U58" s="21">
        <v>0</v>
      </c>
      <c r="V58" s="21" t="s">
        <v>43</v>
      </c>
      <c r="W58" s="21">
        <v>10000</v>
      </c>
      <c r="X58" s="21" t="s">
        <v>43</v>
      </c>
      <c r="Y58" s="21">
        <v>1</v>
      </c>
      <c r="Z58" s="21">
        <v>1</v>
      </c>
      <c r="AA58" s="21" t="s">
        <v>43</v>
      </c>
      <c r="AB58" s="21">
        <v>1</v>
      </c>
      <c r="AC58" s="21">
        <v>0</v>
      </c>
    </row>
    <row r="59" spans="1:29" x14ac:dyDescent="0.2">
      <c r="A59" s="21">
        <v>60040001</v>
      </c>
      <c r="B59" s="21">
        <v>6004</v>
      </c>
      <c r="C59" s="21">
        <v>1</v>
      </c>
      <c r="D59" s="21">
        <v>0</v>
      </c>
      <c r="E59" s="21">
        <v>3601000</v>
      </c>
      <c r="F59" s="13" t="s">
        <v>261</v>
      </c>
      <c r="G59" s="13" t="s">
        <v>255</v>
      </c>
      <c r="H59" s="13"/>
      <c r="I59" s="13"/>
      <c r="J59" s="21" t="s">
        <v>43</v>
      </c>
      <c r="K59" s="21">
        <v>0</v>
      </c>
      <c r="L59" s="21">
        <v>0</v>
      </c>
      <c r="M59" s="21" t="s">
        <v>269</v>
      </c>
      <c r="N59" s="21">
        <v>2</v>
      </c>
      <c r="O59" s="21">
        <v>10000</v>
      </c>
      <c r="P59" s="21" t="s">
        <v>270</v>
      </c>
      <c r="Q59" s="21">
        <v>1</v>
      </c>
      <c r="R59" s="21">
        <v>1</v>
      </c>
      <c r="S59" s="21">
        <v>0</v>
      </c>
      <c r="T59" s="21" t="s">
        <v>43</v>
      </c>
      <c r="U59" s="21">
        <v>0</v>
      </c>
      <c r="V59" s="21" t="s">
        <v>43</v>
      </c>
      <c r="W59" s="21">
        <v>10000</v>
      </c>
      <c r="X59" s="21" t="s">
        <v>43</v>
      </c>
      <c r="Y59" s="21">
        <v>1</v>
      </c>
      <c r="Z59" s="21">
        <v>1</v>
      </c>
      <c r="AA59" s="21" t="s">
        <v>43</v>
      </c>
      <c r="AB59" s="21">
        <v>1</v>
      </c>
      <c r="AC59" s="21">
        <v>0</v>
      </c>
    </row>
    <row r="60" spans="1:29" x14ac:dyDescent="0.2">
      <c r="A60" s="21">
        <v>60050001</v>
      </c>
      <c r="B60" s="21">
        <v>6005</v>
      </c>
      <c r="C60" s="21">
        <v>1</v>
      </c>
      <c r="D60" s="21">
        <v>0</v>
      </c>
      <c r="E60" s="21">
        <v>3541600</v>
      </c>
      <c r="F60" s="13" t="s">
        <v>318</v>
      </c>
      <c r="G60" s="13" t="s">
        <v>255</v>
      </c>
      <c r="H60" s="13"/>
      <c r="I60" s="13"/>
      <c r="J60" s="21" t="s">
        <v>120</v>
      </c>
      <c r="K60" s="21">
        <v>2</v>
      </c>
      <c r="L60" s="21">
        <v>-2000</v>
      </c>
      <c r="M60" s="21" t="s">
        <v>43</v>
      </c>
      <c r="N60" s="21">
        <v>0</v>
      </c>
      <c r="O60" s="21">
        <v>0</v>
      </c>
      <c r="P60" s="21" t="s">
        <v>43</v>
      </c>
      <c r="Q60" s="21">
        <v>0</v>
      </c>
      <c r="R60" s="21">
        <v>0</v>
      </c>
      <c r="S60" s="21">
        <v>0</v>
      </c>
      <c r="T60" s="21" t="s">
        <v>43</v>
      </c>
      <c r="U60" s="21">
        <v>-1</v>
      </c>
      <c r="V60" s="21" t="s">
        <v>43</v>
      </c>
      <c r="W60" s="21">
        <v>10000</v>
      </c>
      <c r="X60" s="21" t="s">
        <v>43</v>
      </c>
      <c r="Y60" s="21">
        <v>1</v>
      </c>
      <c r="Z60" s="21">
        <v>1</v>
      </c>
      <c r="AA60" s="21" t="s">
        <v>43</v>
      </c>
      <c r="AB60" s="21">
        <v>1</v>
      </c>
      <c r="AC60" s="21">
        <v>0</v>
      </c>
    </row>
    <row r="61" spans="1:29" x14ac:dyDescent="0.2">
      <c r="A61" s="21">
        <v>60060001</v>
      </c>
      <c r="B61" s="21">
        <v>6006</v>
      </c>
      <c r="C61" s="21">
        <v>1</v>
      </c>
      <c r="D61" s="21">
        <v>0</v>
      </c>
      <c r="E61" s="21">
        <v>3541800</v>
      </c>
      <c r="F61" s="13" t="s">
        <v>319</v>
      </c>
      <c r="G61" s="13" t="s">
        <v>255</v>
      </c>
      <c r="H61" s="13"/>
      <c r="I61" s="13"/>
      <c r="J61" s="21" t="s">
        <v>122</v>
      </c>
      <c r="K61" s="21">
        <v>2</v>
      </c>
      <c r="L61" s="21">
        <v>2500</v>
      </c>
      <c r="M61" s="21" t="s">
        <v>43</v>
      </c>
      <c r="N61" s="21">
        <v>0</v>
      </c>
      <c r="O61" s="21">
        <v>0</v>
      </c>
      <c r="P61" s="21" t="s">
        <v>43</v>
      </c>
      <c r="Q61" s="21">
        <v>0</v>
      </c>
      <c r="R61" s="21">
        <v>0</v>
      </c>
      <c r="S61" s="21">
        <v>0</v>
      </c>
      <c r="T61" s="21" t="s">
        <v>43</v>
      </c>
      <c r="U61" s="21">
        <v>-1</v>
      </c>
      <c r="V61" s="21" t="s">
        <v>43</v>
      </c>
      <c r="W61" s="21">
        <v>10000</v>
      </c>
      <c r="X61" s="21" t="s">
        <v>43</v>
      </c>
      <c r="Y61" s="21">
        <v>1</v>
      </c>
      <c r="Z61" s="21">
        <v>1</v>
      </c>
      <c r="AA61" s="21" t="s">
        <v>43</v>
      </c>
      <c r="AB61" s="21">
        <v>1</v>
      </c>
      <c r="AC61" s="21">
        <v>0</v>
      </c>
    </row>
    <row r="62" spans="1:29" x14ac:dyDescent="0.2">
      <c r="A62" s="21">
        <v>60070001</v>
      </c>
      <c r="B62" s="21">
        <v>6007</v>
      </c>
      <c r="C62" s="21">
        <v>1</v>
      </c>
      <c r="D62" s="21">
        <v>0</v>
      </c>
      <c r="E62" s="21">
        <v>3601300</v>
      </c>
      <c r="F62" s="13" t="s">
        <v>320</v>
      </c>
      <c r="G62" s="13" t="s">
        <v>255</v>
      </c>
      <c r="H62" s="13"/>
      <c r="I62" s="13"/>
      <c r="J62" s="21" t="s">
        <v>271</v>
      </c>
      <c r="K62" s="21">
        <v>2</v>
      </c>
      <c r="L62" s="21">
        <v>10000</v>
      </c>
      <c r="M62" s="21" t="s">
        <v>272</v>
      </c>
      <c r="N62" s="21">
        <v>2</v>
      </c>
      <c r="O62" s="21">
        <v>2000</v>
      </c>
      <c r="P62" s="21" t="s">
        <v>273</v>
      </c>
      <c r="Q62" s="21">
        <v>1</v>
      </c>
      <c r="R62" s="21">
        <v>0</v>
      </c>
      <c r="S62" s="21">
        <v>0</v>
      </c>
      <c r="T62" s="21" t="s">
        <v>43</v>
      </c>
      <c r="U62" s="21">
        <v>-1</v>
      </c>
      <c r="V62" s="21" t="s">
        <v>43</v>
      </c>
      <c r="W62" s="21">
        <v>10000</v>
      </c>
      <c r="X62" s="21" t="s">
        <v>43</v>
      </c>
      <c r="Y62" s="21">
        <v>1</v>
      </c>
      <c r="Z62" s="21">
        <v>1</v>
      </c>
      <c r="AA62" s="21" t="s">
        <v>43</v>
      </c>
      <c r="AB62" s="21">
        <v>1</v>
      </c>
      <c r="AC62" s="21">
        <v>0</v>
      </c>
    </row>
    <row r="63" spans="1:29" x14ac:dyDescent="0.2">
      <c r="A63" s="22">
        <v>61010001</v>
      </c>
      <c r="B63" s="22">
        <v>6101</v>
      </c>
      <c r="C63" s="22">
        <v>1</v>
      </c>
      <c r="D63" s="22">
        <v>0</v>
      </c>
      <c r="E63" s="22">
        <v>3610300</v>
      </c>
      <c r="F63" s="13" t="s">
        <v>299</v>
      </c>
      <c r="G63" s="13" t="s">
        <v>256</v>
      </c>
      <c r="H63" s="13"/>
      <c r="I63" s="13"/>
      <c r="J63" s="22" t="s">
        <v>274</v>
      </c>
      <c r="K63" s="22">
        <v>1</v>
      </c>
      <c r="L63" s="22">
        <v>8</v>
      </c>
      <c r="M63" s="22" t="s">
        <v>275</v>
      </c>
      <c r="N63" s="22">
        <v>2</v>
      </c>
      <c r="O63" s="22">
        <v>10000</v>
      </c>
      <c r="P63" s="22" t="s">
        <v>276</v>
      </c>
      <c r="Q63" s="22">
        <v>1</v>
      </c>
      <c r="R63" s="22">
        <v>1</v>
      </c>
      <c r="S63" s="22">
        <v>0</v>
      </c>
      <c r="T63" s="22" t="s">
        <v>43</v>
      </c>
      <c r="U63" s="22">
        <v>0</v>
      </c>
      <c r="V63" s="22" t="s">
        <v>43</v>
      </c>
      <c r="W63" s="22">
        <v>10000</v>
      </c>
      <c r="X63" s="22" t="s">
        <v>43</v>
      </c>
      <c r="Y63" s="22">
        <v>1</v>
      </c>
      <c r="Z63" s="22">
        <v>1</v>
      </c>
      <c r="AA63" s="22" t="s">
        <v>43</v>
      </c>
      <c r="AB63" s="22">
        <v>1</v>
      </c>
      <c r="AC63" s="22">
        <v>0</v>
      </c>
    </row>
    <row r="64" spans="1:29" x14ac:dyDescent="0.2">
      <c r="A64" s="22">
        <v>61020001</v>
      </c>
      <c r="B64" s="22">
        <v>6102</v>
      </c>
      <c r="C64" s="22">
        <v>1</v>
      </c>
      <c r="D64" s="22">
        <v>0</v>
      </c>
      <c r="E64" s="22">
        <v>3610500</v>
      </c>
      <c r="F64" s="13" t="s">
        <v>300</v>
      </c>
      <c r="G64" s="13" t="s">
        <v>256</v>
      </c>
      <c r="H64" s="13"/>
      <c r="I64" s="13"/>
      <c r="J64" s="22" t="s">
        <v>277</v>
      </c>
      <c r="K64" s="22">
        <v>2</v>
      </c>
      <c r="L64" s="22">
        <v>10000</v>
      </c>
      <c r="M64" s="22" t="s">
        <v>43</v>
      </c>
      <c r="N64" s="22">
        <v>0</v>
      </c>
      <c r="O64" s="22">
        <v>0</v>
      </c>
      <c r="P64" s="22" t="s">
        <v>43</v>
      </c>
      <c r="Q64" s="22">
        <v>0</v>
      </c>
      <c r="R64" s="22">
        <v>0</v>
      </c>
      <c r="S64" s="22">
        <v>0</v>
      </c>
      <c r="T64" s="22" t="s">
        <v>43</v>
      </c>
      <c r="U64" s="22">
        <v>-1</v>
      </c>
      <c r="V64" s="22" t="s">
        <v>43</v>
      </c>
      <c r="W64" s="22">
        <v>10000</v>
      </c>
      <c r="X64" s="22" t="s">
        <v>43</v>
      </c>
      <c r="Y64" s="22">
        <v>1</v>
      </c>
      <c r="Z64" s="22">
        <v>1</v>
      </c>
      <c r="AA64" s="22" t="s">
        <v>43</v>
      </c>
      <c r="AB64" s="22">
        <v>1</v>
      </c>
      <c r="AC64" s="22">
        <v>0</v>
      </c>
    </row>
    <row r="65" spans="1:29" x14ac:dyDescent="0.2">
      <c r="A65" s="22">
        <v>61030001</v>
      </c>
      <c r="B65" s="22">
        <v>6103</v>
      </c>
      <c r="C65" s="22">
        <v>1</v>
      </c>
      <c r="D65" s="22">
        <v>0</v>
      </c>
      <c r="E65" s="22">
        <v>3610700</v>
      </c>
      <c r="F65" s="13" t="s">
        <v>304</v>
      </c>
      <c r="G65" s="13" t="s">
        <v>256</v>
      </c>
      <c r="H65" s="13"/>
      <c r="I65" s="13"/>
      <c r="J65" s="22" t="s">
        <v>43</v>
      </c>
      <c r="K65" s="22">
        <v>0</v>
      </c>
      <c r="L65" s="22">
        <v>0</v>
      </c>
      <c r="M65" s="22" t="s">
        <v>278</v>
      </c>
      <c r="N65" s="22">
        <v>2</v>
      </c>
      <c r="O65" s="22">
        <v>10000</v>
      </c>
      <c r="P65" s="22" t="s">
        <v>279</v>
      </c>
      <c r="Q65" s="22">
        <v>1</v>
      </c>
      <c r="R65" s="22">
        <v>1</v>
      </c>
      <c r="S65" s="22">
        <v>0</v>
      </c>
      <c r="T65" s="22" t="s">
        <v>43</v>
      </c>
      <c r="U65" s="22">
        <v>0</v>
      </c>
      <c r="V65" s="22" t="s">
        <v>43</v>
      </c>
      <c r="W65" s="22">
        <v>10000</v>
      </c>
      <c r="X65" s="22" t="s">
        <v>43</v>
      </c>
      <c r="Y65" s="22">
        <v>1</v>
      </c>
      <c r="Z65" s="22">
        <v>1</v>
      </c>
      <c r="AA65" s="22" t="s">
        <v>43</v>
      </c>
      <c r="AB65" s="22">
        <v>1</v>
      </c>
      <c r="AC65" s="22">
        <v>0</v>
      </c>
    </row>
    <row r="66" spans="1:29" x14ac:dyDescent="0.2">
      <c r="A66" s="22">
        <v>61040001</v>
      </c>
      <c r="B66" s="22">
        <v>6104</v>
      </c>
      <c r="C66" s="22">
        <v>1</v>
      </c>
      <c r="D66" s="22">
        <v>0</v>
      </c>
      <c r="E66" s="22">
        <v>3541400</v>
      </c>
      <c r="F66" s="13" t="s">
        <v>257</v>
      </c>
      <c r="G66" s="13" t="s">
        <v>256</v>
      </c>
      <c r="H66" s="13"/>
      <c r="I66" s="13"/>
      <c r="J66" s="22" t="s">
        <v>119</v>
      </c>
      <c r="K66" s="22">
        <v>2</v>
      </c>
      <c r="L66" s="22">
        <v>5000</v>
      </c>
      <c r="M66" s="22" t="s">
        <v>43</v>
      </c>
      <c r="N66" s="22">
        <v>0</v>
      </c>
      <c r="O66" s="22">
        <v>0</v>
      </c>
      <c r="P66" s="22" t="s">
        <v>43</v>
      </c>
      <c r="Q66" s="22">
        <v>0</v>
      </c>
      <c r="R66" s="22">
        <v>0</v>
      </c>
      <c r="S66" s="22">
        <v>0</v>
      </c>
      <c r="T66" s="22" t="s">
        <v>43</v>
      </c>
      <c r="U66" s="22">
        <v>-1</v>
      </c>
      <c r="V66" s="22" t="s">
        <v>43</v>
      </c>
      <c r="W66" s="22">
        <v>10000</v>
      </c>
      <c r="X66" s="22" t="s">
        <v>43</v>
      </c>
      <c r="Y66" s="22">
        <v>1</v>
      </c>
      <c r="Z66" s="22">
        <v>1</v>
      </c>
      <c r="AA66" s="22" t="s">
        <v>43</v>
      </c>
      <c r="AB66" s="22">
        <v>1</v>
      </c>
      <c r="AC66" s="22">
        <v>0</v>
      </c>
    </row>
    <row r="67" spans="1:29" x14ac:dyDescent="0.2">
      <c r="A67" s="22">
        <v>61050001</v>
      </c>
      <c r="B67" s="22">
        <v>6105</v>
      </c>
      <c r="C67" s="22">
        <v>1</v>
      </c>
      <c r="D67" s="22">
        <v>0</v>
      </c>
      <c r="E67" s="22">
        <v>3610900</v>
      </c>
      <c r="F67" s="13" t="s">
        <v>301</v>
      </c>
      <c r="G67" s="13" t="s">
        <v>256</v>
      </c>
      <c r="H67" s="13"/>
      <c r="I67" s="13"/>
      <c r="J67" s="22" t="s">
        <v>306</v>
      </c>
      <c r="K67" s="22">
        <v>1</v>
      </c>
      <c r="L67" s="22">
        <v>1</v>
      </c>
      <c r="M67" s="22" t="s">
        <v>43</v>
      </c>
      <c r="N67" s="22">
        <v>0</v>
      </c>
      <c r="O67" s="22">
        <v>0</v>
      </c>
      <c r="P67" s="22" t="s">
        <v>43</v>
      </c>
      <c r="Q67" s="22">
        <v>0</v>
      </c>
      <c r="R67" s="22">
        <v>0</v>
      </c>
      <c r="S67" s="22">
        <v>0</v>
      </c>
      <c r="T67" s="22" t="s">
        <v>43</v>
      </c>
      <c r="U67" s="22">
        <v>-1</v>
      </c>
      <c r="V67" s="22" t="s">
        <v>43</v>
      </c>
      <c r="W67" s="22">
        <v>10000</v>
      </c>
      <c r="X67" s="22" t="s">
        <v>43</v>
      </c>
      <c r="Y67" s="22">
        <v>1</v>
      </c>
      <c r="Z67" s="22">
        <v>1</v>
      </c>
      <c r="AA67" s="22" t="s">
        <v>43</v>
      </c>
      <c r="AB67" s="22">
        <v>1</v>
      </c>
      <c r="AC67" s="22">
        <v>0</v>
      </c>
    </row>
    <row r="68" spans="1:29" x14ac:dyDescent="0.2">
      <c r="A68" s="22">
        <v>61060001</v>
      </c>
      <c r="B68" s="22">
        <v>6106</v>
      </c>
      <c r="C68" s="22">
        <v>1</v>
      </c>
      <c r="D68" s="22">
        <v>0</v>
      </c>
      <c r="E68" s="22">
        <v>3611100</v>
      </c>
      <c r="F68" s="13" t="s">
        <v>372</v>
      </c>
      <c r="G68" s="13" t="s">
        <v>256</v>
      </c>
      <c r="H68" s="13"/>
      <c r="I68" s="13"/>
      <c r="J68" s="22" t="s">
        <v>43</v>
      </c>
      <c r="K68" s="22">
        <v>0</v>
      </c>
      <c r="L68" s="22">
        <v>0</v>
      </c>
      <c r="M68" s="22" t="s">
        <v>43</v>
      </c>
      <c r="N68" s="22">
        <v>0</v>
      </c>
      <c r="O68" s="22">
        <v>0</v>
      </c>
      <c r="P68" s="22" t="s">
        <v>43</v>
      </c>
      <c r="Q68" s="22">
        <v>0</v>
      </c>
      <c r="R68" s="22">
        <v>0</v>
      </c>
      <c r="S68" s="22">
        <v>0</v>
      </c>
      <c r="T68" s="22" t="s">
        <v>43</v>
      </c>
      <c r="U68" s="22">
        <v>-1</v>
      </c>
      <c r="V68" s="22" t="s">
        <v>43</v>
      </c>
      <c r="W68" s="22">
        <v>10000</v>
      </c>
      <c r="X68" s="22" t="s">
        <v>43</v>
      </c>
      <c r="Y68" s="22">
        <v>1</v>
      </c>
      <c r="Z68" s="22">
        <v>1</v>
      </c>
      <c r="AA68" s="22" t="s">
        <v>43</v>
      </c>
      <c r="AB68" s="22">
        <v>1</v>
      </c>
      <c r="AC68" s="22">
        <v>0</v>
      </c>
    </row>
    <row r="69" spans="1:29" x14ac:dyDescent="0.2">
      <c r="A69" s="22">
        <v>61070001</v>
      </c>
      <c r="B69" s="22">
        <v>6107</v>
      </c>
      <c r="C69" s="22">
        <v>1</v>
      </c>
      <c r="D69" s="22">
        <v>0</v>
      </c>
      <c r="E69" s="22">
        <v>3611300</v>
      </c>
      <c r="F69" s="13" t="s">
        <v>321</v>
      </c>
      <c r="G69" s="13" t="s">
        <v>256</v>
      </c>
      <c r="H69" s="13"/>
      <c r="I69" s="13"/>
      <c r="J69" s="22" t="s">
        <v>307</v>
      </c>
      <c r="K69" s="22">
        <v>3</v>
      </c>
      <c r="L69" s="22">
        <v>300000</v>
      </c>
      <c r="M69" s="22" t="s">
        <v>43</v>
      </c>
      <c r="N69" s="22">
        <v>0</v>
      </c>
      <c r="O69" s="22">
        <v>0</v>
      </c>
      <c r="P69" s="22" t="s">
        <v>308</v>
      </c>
      <c r="Q69" s="22">
        <v>1</v>
      </c>
      <c r="R69" s="22">
        <v>100</v>
      </c>
      <c r="S69" s="22">
        <v>0</v>
      </c>
      <c r="T69" s="22" t="s">
        <v>43</v>
      </c>
      <c r="U69" s="22">
        <v>-1</v>
      </c>
      <c r="V69" s="22" t="s">
        <v>43</v>
      </c>
      <c r="W69" s="22">
        <v>10000</v>
      </c>
      <c r="X69" s="22" t="s">
        <v>43</v>
      </c>
      <c r="Y69" s="22">
        <v>1</v>
      </c>
      <c r="Z69" s="22">
        <v>1</v>
      </c>
      <c r="AA69" s="22" t="s">
        <v>43</v>
      </c>
      <c r="AB69" s="22">
        <v>1</v>
      </c>
      <c r="AC69" s="22">
        <v>0</v>
      </c>
    </row>
    <row r="70" spans="1:29" x14ac:dyDescent="0.2">
      <c r="A70" s="22">
        <v>61080001</v>
      </c>
      <c r="B70" s="22">
        <v>6108</v>
      </c>
      <c r="C70" s="22">
        <v>1</v>
      </c>
      <c r="D70" s="22">
        <v>0</v>
      </c>
      <c r="E70" s="22">
        <v>3611500</v>
      </c>
      <c r="F70" s="13" t="s">
        <v>302</v>
      </c>
      <c r="G70" s="13" t="s">
        <v>256</v>
      </c>
      <c r="H70" s="13"/>
      <c r="I70" s="13"/>
      <c r="J70" s="22" t="s">
        <v>43</v>
      </c>
      <c r="K70" s="22">
        <v>0</v>
      </c>
      <c r="L70" s="22">
        <v>0</v>
      </c>
      <c r="M70" s="22" t="s">
        <v>310</v>
      </c>
      <c r="N70" s="22">
        <v>2</v>
      </c>
      <c r="O70" s="22">
        <v>10000</v>
      </c>
      <c r="P70" s="22" t="s">
        <v>311</v>
      </c>
      <c r="Q70" s="22">
        <v>1</v>
      </c>
      <c r="R70" s="22">
        <v>1</v>
      </c>
      <c r="S70" s="22">
        <v>0</v>
      </c>
      <c r="T70" s="22" t="s">
        <v>43</v>
      </c>
      <c r="U70" s="22">
        <v>0</v>
      </c>
      <c r="V70" s="22" t="s">
        <v>43</v>
      </c>
      <c r="W70" s="22">
        <v>10000</v>
      </c>
      <c r="X70" s="22" t="s">
        <v>43</v>
      </c>
      <c r="Y70" s="22">
        <v>1</v>
      </c>
      <c r="Z70" s="22">
        <v>1</v>
      </c>
      <c r="AA70" s="22" t="s">
        <v>43</v>
      </c>
      <c r="AB70" s="22">
        <v>1</v>
      </c>
      <c r="AC70" s="22">
        <v>0</v>
      </c>
    </row>
    <row r="71" spans="1:29" x14ac:dyDescent="0.2">
      <c r="A71" s="22">
        <v>61090001</v>
      </c>
      <c r="B71" s="22">
        <v>6109</v>
      </c>
      <c r="C71" s="22">
        <v>1</v>
      </c>
      <c r="D71" s="22">
        <v>0</v>
      </c>
      <c r="E71" s="22">
        <v>3611700</v>
      </c>
      <c r="F71" s="13" t="s">
        <v>322</v>
      </c>
      <c r="G71" s="13" t="s">
        <v>256</v>
      </c>
      <c r="H71" s="13"/>
      <c r="I71" s="13"/>
      <c r="J71" s="22" t="s">
        <v>309</v>
      </c>
      <c r="K71" s="22">
        <v>3</v>
      </c>
      <c r="L71" s="22">
        <v>300000</v>
      </c>
      <c r="M71" s="22" t="s">
        <v>43</v>
      </c>
      <c r="N71" s="22">
        <v>0</v>
      </c>
      <c r="O71" s="22">
        <v>0</v>
      </c>
      <c r="P71" s="22" t="s">
        <v>43</v>
      </c>
      <c r="Q71" s="22">
        <v>0</v>
      </c>
      <c r="R71" s="22">
        <v>0</v>
      </c>
      <c r="S71" s="22">
        <v>0</v>
      </c>
      <c r="T71" s="22" t="s">
        <v>43</v>
      </c>
      <c r="U71" s="22">
        <v>-1</v>
      </c>
      <c r="V71" s="22" t="s">
        <v>43</v>
      </c>
      <c r="W71" s="22">
        <v>10000</v>
      </c>
      <c r="X71" s="22" t="s">
        <v>43</v>
      </c>
      <c r="Y71" s="22">
        <v>1</v>
      </c>
      <c r="Z71" s="22">
        <v>1</v>
      </c>
      <c r="AA71" s="22" t="s">
        <v>43</v>
      </c>
      <c r="AB71" s="22">
        <v>1</v>
      </c>
      <c r="AC71" s="22">
        <v>0</v>
      </c>
    </row>
    <row r="72" spans="1:29" x14ac:dyDescent="0.2">
      <c r="A72" s="22">
        <v>61100001</v>
      </c>
      <c r="B72" s="22">
        <v>6110</v>
      </c>
      <c r="C72" s="22">
        <v>1</v>
      </c>
      <c r="D72" s="22">
        <v>0</v>
      </c>
      <c r="E72" s="22">
        <v>3590800</v>
      </c>
      <c r="F72" s="13" t="s">
        <v>303</v>
      </c>
      <c r="G72" s="13" t="s">
        <v>256</v>
      </c>
      <c r="H72" s="13"/>
      <c r="I72" s="13"/>
      <c r="J72" s="22" t="s">
        <v>43</v>
      </c>
      <c r="K72" s="22">
        <v>0</v>
      </c>
      <c r="L72" s="22">
        <v>0</v>
      </c>
      <c r="M72" s="22" t="s">
        <v>305</v>
      </c>
      <c r="N72" s="22">
        <v>2</v>
      </c>
      <c r="O72" s="22">
        <v>10000</v>
      </c>
      <c r="P72" s="22" t="s">
        <v>312</v>
      </c>
      <c r="Q72" s="22">
        <v>1</v>
      </c>
      <c r="R72" s="22">
        <v>1</v>
      </c>
      <c r="S72" s="22">
        <v>0</v>
      </c>
      <c r="T72" s="22" t="s">
        <v>43</v>
      </c>
      <c r="U72" s="22">
        <v>0</v>
      </c>
      <c r="V72" s="22" t="s">
        <v>43</v>
      </c>
      <c r="W72" s="22">
        <v>10000</v>
      </c>
      <c r="X72" s="22" t="s">
        <v>43</v>
      </c>
      <c r="Y72" s="22">
        <v>1</v>
      </c>
      <c r="Z72" s="22">
        <v>1</v>
      </c>
      <c r="AA72" s="22" t="s">
        <v>43</v>
      </c>
      <c r="AB72" s="22">
        <v>1</v>
      </c>
      <c r="AC72" s="22">
        <v>0</v>
      </c>
    </row>
  </sheetData>
  <autoFilter ref="A4:AC72" xr:uid="{00000000-0001-0000-0000-000000000000}"/>
  <phoneticPr fontId="1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6:F43"/>
  <sheetViews>
    <sheetView topLeftCell="A3" workbookViewId="0">
      <selection activeCell="E34" sqref="E34"/>
    </sheetView>
  </sheetViews>
  <sheetFormatPr defaultColWidth="9" defaultRowHeight="13.5" x14ac:dyDescent="0.15"/>
  <cols>
    <col min="1" max="3" width="9" style="1"/>
    <col min="4" max="4" width="11.25" style="1" customWidth="1"/>
    <col min="5" max="5" width="30" style="1" customWidth="1"/>
    <col min="6" max="7" width="10.375" style="1"/>
    <col min="8" max="22" width="11.5" style="1"/>
    <col min="23" max="16384" width="9" style="1"/>
  </cols>
  <sheetData>
    <row r="6" spans="4:5" x14ac:dyDescent="0.15">
      <c r="D6" s="2" t="s">
        <v>48</v>
      </c>
      <c r="E6" s="2"/>
    </row>
    <row r="7" spans="4:5" x14ac:dyDescent="0.15">
      <c r="D7" s="2">
        <v>1</v>
      </c>
      <c r="E7" s="2" t="s">
        <v>49</v>
      </c>
    </row>
    <row r="8" spans="4:5" x14ac:dyDescent="0.15">
      <c r="D8" s="2"/>
      <c r="E8" s="2"/>
    </row>
    <row r="9" spans="4:5" x14ac:dyDescent="0.15">
      <c r="D9" s="2">
        <v>2</v>
      </c>
      <c r="E9" s="2" t="s">
        <v>50</v>
      </c>
    </row>
    <row r="10" spans="4:5" x14ac:dyDescent="0.15">
      <c r="D10" s="2">
        <v>2.1</v>
      </c>
      <c r="E10" s="2" t="s">
        <v>51</v>
      </c>
    </row>
    <row r="11" spans="4:5" x14ac:dyDescent="0.15">
      <c r="D11" s="2" t="s">
        <v>52</v>
      </c>
      <c r="E11" s="2" t="s">
        <v>53</v>
      </c>
    </row>
    <row r="12" spans="4:5" x14ac:dyDescent="0.15">
      <c r="D12" s="2" t="s">
        <v>54</v>
      </c>
      <c r="E12" s="2" t="s">
        <v>55</v>
      </c>
    </row>
    <row r="13" spans="4:5" x14ac:dyDescent="0.15">
      <c r="D13" s="2" t="s">
        <v>56</v>
      </c>
      <c r="E13" s="2" t="s">
        <v>57</v>
      </c>
    </row>
    <row r="14" spans="4:5" x14ac:dyDescent="0.15">
      <c r="D14" s="2"/>
      <c r="E14" s="2"/>
    </row>
    <row r="15" spans="4:5" x14ac:dyDescent="0.15">
      <c r="D15" s="2">
        <v>2.2000000000000002</v>
      </c>
      <c r="E15" s="2" t="s">
        <v>58</v>
      </c>
    </row>
    <row r="16" spans="4:5" x14ac:dyDescent="0.15">
      <c r="D16" s="2" t="s">
        <v>59</v>
      </c>
      <c r="E16" s="2" t="s">
        <v>53</v>
      </c>
    </row>
    <row r="17" spans="4:6" x14ac:dyDescent="0.15">
      <c r="D17" s="2" t="s">
        <v>60</v>
      </c>
      <c r="E17" s="2" t="s">
        <v>61</v>
      </c>
    </row>
    <row r="18" spans="4:6" x14ac:dyDescent="0.15">
      <c r="D18" s="2" t="s">
        <v>62</v>
      </c>
      <c r="E18" s="2" t="s">
        <v>63</v>
      </c>
    </row>
    <row r="24" spans="4:6" x14ac:dyDescent="0.15">
      <c r="E24" s="1" t="e">
        <f>_xlfn.TEXTJOIN(",",TRUE,E25:E43)</f>
        <v>#N/A</v>
      </c>
      <c r="F24" s="1" t="e">
        <f>_xlfn.TEXTJOIN(",",TRUE,F25:F43)</f>
        <v>#N/A</v>
      </c>
    </row>
    <row r="25" spans="4:6" x14ac:dyDescent="0.15">
      <c r="D25" s="1">
        <v>101000101</v>
      </c>
      <c r="E25" s="1" t="e">
        <f>VLOOKUP(D25,maze_skilleffect_v8!$A$5:$E$5,4,FALSE)</f>
        <v>#N/A</v>
      </c>
      <c r="F25" s="1" t="e" cm="1">
        <f t="array" ref="F25">_xlfn.UNIQUE(E25:E43)</f>
        <v>#N/A</v>
      </c>
    </row>
    <row r="26" spans="4:6" x14ac:dyDescent="0.15">
      <c r="D26" s="1">
        <v>102000101</v>
      </c>
      <c r="E26" s="1" t="e">
        <f>VLOOKUP(D26,maze_skilleffect_v8!$A$5:$E$5,4,FALSE)</f>
        <v>#N/A</v>
      </c>
    </row>
    <row r="27" spans="4:6" x14ac:dyDescent="0.15">
      <c r="D27" s="1">
        <v>103000201</v>
      </c>
      <c r="E27" s="1" t="e">
        <f>VLOOKUP(D27,maze_skilleffect_v8!$A$5:$E$5,4,FALSE)</f>
        <v>#N/A</v>
      </c>
    </row>
    <row r="28" spans="4:6" x14ac:dyDescent="0.15">
      <c r="D28" s="1">
        <v>104000101</v>
      </c>
      <c r="E28" s="1" t="e">
        <f>VLOOKUP(D28,maze_skilleffect_v8!$A$5:$E$5,4,FALSE)</f>
        <v>#N/A</v>
      </c>
    </row>
    <row r="29" spans="4:6" x14ac:dyDescent="0.15">
      <c r="D29" s="1">
        <v>1002000001</v>
      </c>
      <c r="E29" s="1" t="e">
        <f>VLOOKUP(D29,maze_skilleffect_v8!$A$5:$E$5,4,FALSE)</f>
        <v>#N/A</v>
      </c>
    </row>
    <row r="30" spans="4:6" x14ac:dyDescent="0.15">
      <c r="D30" s="1">
        <v>1002000002</v>
      </c>
      <c r="E30" s="1" t="e">
        <f>VLOOKUP(D30,maze_skilleffect_v8!$A$5:$E$5,4,FALSE)</f>
        <v>#N/A</v>
      </c>
    </row>
    <row r="31" spans="4:6" x14ac:dyDescent="0.15">
      <c r="D31" s="1">
        <v>1002000003</v>
      </c>
      <c r="E31" s="1" t="e">
        <f>VLOOKUP(D31,maze_skilleffect_v8!$A$5:$E$5,4,FALSE)</f>
        <v>#N/A</v>
      </c>
    </row>
    <row r="32" spans="4:6" x14ac:dyDescent="0.15">
      <c r="D32" s="1">
        <v>1003000001</v>
      </c>
      <c r="E32" s="1" t="e">
        <f>VLOOKUP(D32,maze_skilleffect_v8!$A$5:$E$5,4,FALSE)</f>
        <v>#N/A</v>
      </c>
    </row>
    <row r="33" spans="4:6" ht="14.25" x14ac:dyDescent="0.2">
      <c r="D33" s="1">
        <v>1003000002</v>
      </c>
      <c r="E33" s="1" t="e">
        <f>VLOOKUP(D33,maze_skilleffect_v8!$A$5:$E$5,4,FALSE)</f>
        <v>#N/A</v>
      </c>
      <c r="F33"/>
    </row>
    <row r="34" spans="4:6" ht="14.25" x14ac:dyDescent="0.2">
      <c r="D34" s="1">
        <v>1003000003</v>
      </c>
      <c r="E34" s="1" t="e">
        <f>VLOOKUP(D34,maze_skilleffect_v8!$A$5:$E$5,4,FALSE)</f>
        <v>#N/A</v>
      </c>
      <c r="F34"/>
    </row>
    <row r="35" spans="4:6" ht="14.25" x14ac:dyDescent="0.2">
      <c r="D35" s="1">
        <v>1004000001</v>
      </c>
      <c r="E35" s="1" t="e">
        <f>VLOOKUP(D35,maze_skilleffect_v8!$A$5:$E$5,4,FALSE)</f>
        <v>#N/A</v>
      </c>
      <c r="F35"/>
    </row>
    <row r="36" spans="4:6" ht="14.25" x14ac:dyDescent="0.2">
      <c r="D36" s="1">
        <v>1004000002</v>
      </c>
      <c r="E36" s="1" t="e">
        <f>VLOOKUP(D36,maze_skilleffect_v8!$A$5:$E$5,4,FALSE)</f>
        <v>#N/A</v>
      </c>
      <c r="F36"/>
    </row>
    <row r="37" spans="4:6" ht="14.25" x14ac:dyDescent="0.2">
      <c r="D37" s="1">
        <v>1004000003</v>
      </c>
      <c r="E37" s="1" t="e">
        <f>VLOOKUP(D37,maze_skilleffect_v8!$A$5:$E$5,4,FALSE)</f>
        <v>#N/A</v>
      </c>
      <c r="F37"/>
    </row>
    <row r="38" spans="4:6" ht="14.25" x14ac:dyDescent="0.2">
      <c r="D38" s="1">
        <v>1005000001</v>
      </c>
      <c r="E38" s="1" t="e">
        <f>VLOOKUP(D38,maze_skilleffect_v8!$A$5:$E$5,4,FALSE)</f>
        <v>#N/A</v>
      </c>
      <c r="F38"/>
    </row>
    <row r="39" spans="4:6" ht="14.25" x14ac:dyDescent="0.2">
      <c r="D39" s="1">
        <v>1005000002</v>
      </c>
      <c r="E39" s="1" t="e">
        <f>VLOOKUP(D39,maze_skilleffect_v8!$A$5:$E$5,4,FALSE)</f>
        <v>#N/A</v>
      </c>
      <c r="F39"/>
    </row>
    <row r="40" spans="4:6" ht="14.25" x14ac:dyDescent="0.2">
      <c r="D40" s="1">
        <v>1005000003</v>
      </c>
      <c r="E40" s="1" t="e">
        <f>VLOOKUP(D40,maze_skilleffect_v8!$A$5:$E$5,4,FALSE)</f>
        <v>#N/A</v>
      </c>
      <c r="F40"/>
    </row>
    <row r="41" spans="4:6" ht="14.25" x14ac:dyDescent="0.2">
      <c r="D41" s="1">
        <v>1006000001</v>
      </c>
      <c r="E41" s="1" t="e">
        <f>VLOOKUP(D41,maze_skilleffect_v8!$A$5:$E$5,4,FALSE)</f>
        <v>#N/A</v>
      </c>
      <c r="F41"/>
    </row>
    <row r="42" spans="4:6" ht="14.25" x14ac:dyDescent="0.2">
      <c r="D42" s="1">
        <v>1006000002</v>
      </c>
      <c r="E42" s="1" t="e">
        <f>VLOOKUP(D42,maze_skilleffect_v8!$A$5:$E$5,4,FALSE)</f>
        <v>#N/A</v>
      </c>
      <c r="F42"/>
    </row>
    <row r="43" spans="4:6" ht="14.25" x14ac:dyDescent="0.2">
      <c r="D43" s="1">
        <v>1006000003</v>
      </c>
      <c r="E43" s="1" t="e">
        <f>VLOOKUP(D43,maze_skilleffect_v8!$A$5:$E$5,4,FALSE)</f>
        <v>#N/A</v>
      </c>
      <c r="F43"/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maze_skilleffect_v8</vt:lpstr>
      <vt:lpstr>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2024-05-30T06:25:00Z</dcterms:created>
  <dcterms:modified xsi:type="dcterms:W3CDTF">2025-04-27T12:07:37Z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0BF27E4B1B84453F99CED36F01AD2E1E_12</vt:lpwstr>
  </property>
  <property fmtid="{D5CDD505-2E9C-101B-9397-08002B2CF9AE}" pid="3" name="KSOProductBuildVer">
    <vt:lpwstr>2052-12.1.0.18608</vt:lpwstr>
  </property>
</Properties>
</file>